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cfonline-my.sharepoint.com/personal/13963_icf_com/Documents/Documents/RTR/PyTRIM/Tier1_TestCases/BaP-Hg/output/"/>
    </mc:Choice>
  </mc:AlternateContent>
  <xr:revisionPtr revIDLastSave="224" documentId="8_{C14C46E1-F185-42D4-B2FA-DFB85F07F6F6}" xr6:coauthVersionLast="47" xr6:coauthVersionMax="47" xr10:uidLastSave="{1D88BC2E-865C-4293-9F0E-2F403B271ED2}"/>
  <bookViews>
    <workbookView xWindow="-120" yWindow="-120" windowWidth="29040" windowHeight="15840" xr2:uid="{BFE42E72-E44B-4B99-A48C-B4453A2EAA1B}"/>
  </bookViews>
  <sheets>
    <sheet name="Aggregate" sheetId="1" r:id="rId1"/>
    <sheet name="methylmercury" sheetId="2" r:id="rId2"/>
    <sheet name="divalent_mercury" sheetId="3" r:id="rId3"/>
    <sheet name="elemental_mercury" sheetId="4" state="hidden" r:id="rId4"/>
    <sheet name="benzo_a_pyrene" sheetId="5" r:id="rId5"/>
    <sheet name="2_3_7_8_tcdd" sheetId="6" r:id="rId6"/>
    <sheet name="cadmium" sheetId="7" r:id="rId7"/>
    <sheet name="arsenic" sheetId="8" r:id="rId8"/>
    <sheet name="lead" sheetId="9" state="hidden" r:id="rId9"/>
  </sheets>
  <definedNames>
    <definedName name="ExternalData_1" localSheetId="7" hidden="1">arsenic!$A$1:$B$79</definedName>
    <definedName name="ExternalData_1" localSheetId="4" hidden="1">benzo_a_pyrene!$A$1:$B$79</definedName>
    <definedName name="ExternalData_1" localSheetId="6" hidden="1">'cadmium'!$A$1:$B$79</definedName>
    <definedName name="ExternalData_1" localSheetId="1" hidden="1">methylmercury!$A$1:$B$79</definedName>
    <definedName name="ExternalData_2" localSheetId="5" hidden="1">'2_3_7_8_tcdd'!$A$1:$B$79</definedName>
    <definedName name="ExternalData_2" localSheetId="2" hidden="1">divalent_mercury!$A$1:$B$79</definedName>
    <definedName name="ExternalData_2" localSheetId="8" hidden="1">lead!$A$1:$B$79</definedName>
    <definedName name="ExternalData_3" localSheetId="3" hidden="1">elemental_mercury!$A$1:$B$79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" i="3" l="1"/>
  <c r="C8" i="1" s="1"/>
  <c r="F7" i="3"/>
  <c r="F8" i="3"/>
  <c r="F9" i="3"/>
  <c r="E11" i="1" s="1"/>
  <c r="F10" i="3"/>
  <c r="D12" i="1" s="1"/>
  <c r="F11" i="3"/>
  <c r="F12" i="3"/>
  <c r="F5" i="3"/>
  <c r="E6" i="1"/>
  <c r="E7" i="1"/>
  <c r="E9" i="1"/>
  <c r="E10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5" i="1"/>
  <c r="D5" i="1"/>
  <c r="D6" i="1"/>
  <c r="D7" i="1"/>
  <c r="D9" i="1"/>
  <c r="D10" i="1"/>
  <c r="D11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C22" i="1"/>
  <c r="C23" i="1"/>
  <c r="C24" i="1"/>
  <c r="C25" i="1"/>
  <c r="C26" i="1"/>
  <c r="C6" i="1"/>
  <c r="C7" i="1"/>
  <c r="C9" i="1"/>
  <c r="C10" i="1"/>
  <c r="C11" i="1"/>
  <c r="C13" i="1"/>
  <c r="C14" i="1"/>
  <c r="C15" i="1"/>
  <c r="C16" i="1"/>
  <c r="C17" i="1"/>
  <c r="C18" i="1"/>
  <c r="C19" i="1"/>
  <c r="C20" i="1"/>
  <c r="C21" i="1"/>
  <c r="C5" i="1"/>
  <c r="F5" i="8"/>
  <c r="F4" i="8"/>
  <c r="F11" i="8"/>
  <c r="F10" i="8"/>
  <c r="F9" i="8"/>
  <c r="F8" i="8"/>
  <c r="F7" i="8"/>
  <c r="F6" i="8"/>
  <c r="F23" i="9"/>
  <c r="F22" i="9"/>
  <c r="F21" i="9"/>
  <c r="F20" i="9"/>
  <c r="F19" i="9"/>
  <c r="F18" i="9"/>
  <c r="F17" i="9"/>
  <c r="F16" i="9"/>
  <c r="F15" i="9"/>
  <c r="F14" i="9"/>
  <c r="F13" i="9"/>
  <c r="F12" i="9"/>
  <c r="F11" i="9"/>
  <c r="F10" i="9"/>
  <c r="F9" i="9"/>
  <c r="F5" i="9"/>
  <c r="F4" i="9"/>
  <c r="F3" i="9"/>
  <c r="F2" i="9"/>
  <c r="F23" i="8"/>
  <c r="F22" i="8"/>
  <c r="F21" i="8"/>
  <c r="F20" i="8"/>
  <c r="F19" i="8"/>
  <c r="F18" i="8"/>
  <c r="F17" i="8"/>
  <c r="F16" i="8"/>
  <c r="F15" i="8"/>
  <c r="F14" i="8"/>
  <c r="F13" i="8"/>
  <c r="F12" i="8"/>
  <c r="F3" i="8"/>
  <c r="F2" i="8"/>
  <c r="F23" i="7"/>
  <c r="F22" i="7"/>
  <c r="F21" i="7"/>
  <c r="F20" i="7"/>
  <c r="F19" i="7"/>
  <c r="F18" i="7"/>
  <c r="F17" i="7"/>
  <c r="F16" i="7"/>
  <c r="F15" i="7"/>
  <c r="F14" i="7"/>
  <c r="F13" i="7"/>
  <c r="F12" i="7"/>
  <c r="F11" i="7"/>
  <c r="F10" i="7"/>
  <c r="F9" i="7"/>
  <c r="F8" i="7"/>
  <c r="F7" i="7"/>
  <c r="F6" i="7"/>
  <c r="F5" i="7"/>
  <c r="F4" i="7"/>
  <c r="F3" i="7"/>
  <c r="F2" i="7"/>
  <c r="F23" i="6"/>
  <c r="F22" i="6"/>
  <c r="F21" i="6"/>
  <c r="F20" i="6"/>
  <c r="F19" i="6"/>
  <c r="F18" i="6"/>
  <c r="F17" i="6"/>
  <c r="F16" i="6"/>
  <c r="F15" i="6"/>
  <c r="F14" i="6"/>
  <c r="F13" i="6"/>
  <c r="F12" i="6"/>
  <c r="F11" i="6"/>
  <c r="F10" i="6"/>
  <c r="F9" i="6"/>
  <c r="F8" i="6"/>
  <c r="F7" i="6"/>
  <c r="F6" i="6"/>
  <c r="F5" i="6"/>
  <c r="F4" i="6"/>
  <c r="F3" i="6"/>
  <c r="F2" i="6"/>
  <c r="F23" i="5"/>
  <c r="F22" i="5"/>
  <c r="F21" i="5"/>
  <c r="F20" i="5"/>
  <c r="F19" i="5"/>
  <c r="F18" i="5"/>
  <c r="F17" i="5"/>
  <c r="F16" i="5"/>
  <c r="F15" i="5"/>
  <c r="F14" i="5"/>
  <c r="F13" i="5"/>
  <c r="F12" i="5"/>
  <c r="F11" i="5"/>
  <c r="F10" i="5"/>
  <c r="F9" i="5"/>
  <c r="F8" i="5"/>
  <c r="F7" i="5"/>
  <c r="F6" i="5"/>
  <c r="F5" i="5"/>
  <c r="F4" i="5"/>
  <c r="F3" i="5"/>
  <c r="F2" i="5"/>
  <c r="F44" i="4"/>
  <c r="F43" i="4"/>
  <c r="F42" i="4"/>
  <c r="F41" i="4"/>
  <c r="F38" i="4"/>
  <c r="F37" i="4"/>
  <c r="F36" i="4"/>
  <c r="F35" i="4"/>
  <c r="F34" i="4"/>
  <c r="F33" i="4"/>
  <c r="F32" i="4"/>
  <c r="F31" i="4"/>
  <c r="F30" i="4"/>
  <c r="F29" i="4"/>
  <c r="F28" i="4"/>
  <c r="F27" i="4"/>
  <c r="F26" i="4"/>
  <c r="F25" i="4"/>
  <c r="F24" i="4"/>
  <c r="F23" i="4"/>
  <c r="F24" i="3"/>
  <c r="F23" i="3"/>
  <c r="F22" i="3"/>
  <c r="F21" i="3"/>
  <c r="F20" i="3"/>
  <c r="F19" i="3"/>
  <c r="F18" i="3"/>
  <c r="F17" i="3"/>
  <c r="F16" i="3"/>
  <c r="F15" i="3"/>
  <c r="F14" i="3"/>
  <c r="F13" i="3"/>
  <c r="F4" i="3"/>
  <c r="F3" i="3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3" i="2"/>
  <c r="F2" i="2"/>
  <c r="D8" i="1" l="1"/>
  <c r="E8" i="1"/>
  <c r="C12" i="1"/>
  <c r="E1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FFBAE4C-3ACE-49AB-AAF3-CF8AF95FB6B6}" keepAlive="1" name="Query - 2_3_7_8_tcdd" description="Connection to the '2_3_7_8_tcdd' query in the workbook." type="5" refreshedVersion="8" background="1" saveData="1">
    <dbPr connection="Provider=Microsoft.Mashup.OleDb.1;Data Source=$Workbook$;Location=2_3_7_8_tcdd;Extended Properties=&quot;&quot;" command="SELECT * FROM [2_3_7_8_tcdd]"/>
  </connection>
  <connection id="2" xr16:uid="{9BBA213E-C255-498B-ABF0-ABCC440C0349}" keepAlive="1" name="Query - arsenic" description="Connection to the 'arsenic' query in the workbook." type="5" refreshedVersion="8" background="1" saveData="1">
    <dbPr connection="Provider=Microsoft.Mashup.OleDb.1;Data Source=$Workbook$;Location=arsenic;Extended Properties=&quot;&quot;" command="SELECT * FROM [arsenic]"/>
  </connection>
  <connection id="3" xr16:uid="{D8358230-3DC9-4E2D-AA5C-014D5F8D7192}" keepAlive="1" name="Query - benzo_a_pyrene" description="Connection to the 'benzo_a_pyrene' query in the workbook." type="5" refreshedVersion="8" background="1" saveData="1">
    <dbPr connection="Provider=Microsoft.Mashup.OleDb.1;Data Source=$Workbook$;Location=benzo_a_pyrene;Extended Properties=&quot;&quot;" command="SELECT * FROM [benzo_a_pyrene]"/>
  </connection>
  <connection id="4" xr16:uid="{2A451CF6-41C8-4D58-A8DF-E70C0FCF21C4}" keepAlive="1" name="Query - cadmium" description="Connection to the 'cadmium' query in the workbook." type="5" refreshedVersion="8" background="1" saveData="1">
    <dbPr connection="Provider=Microsoft.Mashup.OleDb.1;Data Source=$Workbook$;Location=cadmium;Extended Properties=&quot;&quot;" command="SELECT * FROM [cadmium]"/>
  </connection>
  <connection id="5" xr16:uid="{CB455B49-8F3A-4CD2-8144-B2FB5F414DFB}" keepAlive="1" name="Query - divalent_mercury" description="Connection to the 'divalent_mercury' query in the workbook." type="5" refreshedVersion="8" background="1" saveData="1">
    <dbPr connection="Provider=Microsoft.Mashup.OleDb.1;Data Source=$Workbook$;Location=divalent_mercury;Extended Properties=&quot;&quot;" command="SELECT * FROM [divalent_mercury]"/>
  </connection>
  <connection id="6" xr16:uid="{3B1A73B2-8423-4547-BA04-D26EDFF65E23}" keepAlive="1" name="Query - elemental_mercury" description="Connection to the 'elemental_mercury' query in the workbook." type="5" refreshedVersion="8" background="1" saveData="1">
    <dbPr connection="Provider=Microsoft.Mashup.OleDb.1;Data Source=$Workbook$;Location=elemental_mercury;Extended Properties=&quot;&quot;" command="SELECT * FROM [elemental_mercury]"/>
  </connection>
  <connection id="7" xr16:uid="{91F00E3C-8B3F-4BCA-AFD7-9A815D74AB9E}" keepAlive="1" name="Query - lead" description="Connection to the 'lead' query in the workbook." type="5" refreshedVersion="8" background="1" saveData="1">
    <dbPr connection="Provider=Microsoft.Mashup.OleDb.1;Data Source=$Workbook$;Location=lead;Extended Properties=&quot;&quot;" command="SELECT * FROM [lead]"/>
  </connection>
  <connection id="8" xr16:uid="{AC6F6809-31A8-49D4-AD0C-BD623E70A094}" keepAlive="1" name="Query - methylmercury" description="Connection to the 'methylmercury' query in the workbook." type="5" refreshedVersion="8" background="1" saveData="1">
    <dbPr connection="Provider=Microsoft.Mashup.OleDb.1;Data Source=$Workbook$;Location=methylmercury;Extended Properties=&quot;&quot;" command="SELECT * FROM [methylmercury]"/>
  </connection>
</connections>
</file>

<file path=xl/sharedStrings.xml><?xml version="1.0" encoding="utf-8"?>
<sst xmlns="http://schemas.openxmlformats.org/spreadsheetml/2006/main" count="865" uniqueCount="113">
  <si>
    <t>Compartment</t>
  </si>
  <si>
    <t>Ratio</t>
  </si>
  <si>
    <t>surface_water_in_sw_pond</t>
  </si>
  <si>
    <t>sediment_in_sed_pond</t>
  </si>
  <si>
    <t>soil_surface_in_surfsoil_source</t>
  </si>
  <si>
    <t>soil_root_zone_in_rootsoil_source</t>
  </si>
  <si>
    <t>soil_vadose_zone_in_vadosesoil_source</t>
  </si>
  <si>
    <t>groundwater_in_gw_source</t>
  </si>
  <si>
    <t>soil_surface_in_surfsoil_n1</t>
  </si>
  <si>
    <t>soil_root_zone_in_rootsoil_n1</t>
  </si>
  <si>
    <t>soil_vadose_zone_in_vadosesoil_n1</t>
  </si>
  <si>
    <t>groundwater_in_gw_n1</t>
  </si>
  <si>
    <t>soil_surface_in_surfsoil_n6</t>
  </si>
  <si>
    <t>soil_root_zone_in_rootsoil_n6</t>
  </si>
  <si>
    <t>soil_vadose_zone_in_vadosesoil_n6</t>
  </si>
  <si>
    <t>groundwater_in_gw_n6</t>
  </si>
  <si>
    <t>soil_surface_in_surfsoil_n7</t>
  </si>
  <si>
    <t>soil_root_zone_in_rootsoil_n7</t>
  </si>
  <si>
    <t>soil_vadose_zone_in_vadosesoil_n7</t>
  </si>
  <si>
    <t>groundwater_in_gw_n7</t>
  </si>
  <si>
    <t>soil_surface_in_surfsoil_n3</t>
  </si>
  <si>
    <t>soil_root_zone_in_rootsoil_n3</t>
  </si>
  <si>
    <t>soil_vadose_zone_in_vadosesoil_n3</t>
  </si>
  <si>
    <t>groundwater_in_gw_n3</t>
  </si>
  <si>
    <t>soil_surface_in_surfsoil_n4</t>
  </si>
  <si>
    <t>soil_root_zone_in_rootsoil_n4</t>
  </si>
  <si>
    <t>soil_vadose_zone_in_vadosesoil_n4</t>
  </si>
  <si>
    <t>groundwater_in_gw_n4</t>
  </si>
  <si>
    <t>soil_surface_in_surfsoil_n5</t>
  </si>
  <si>
    <t>soil_root_zone_in_rootsoil_n5</t>
  </si>
  <si>
    <t>soil_vadose_zone_in_vadosesoil_n5</t>
  </si>
  <si>
    <t>groundwater_in_gw_n5</t>
  </si>
  <si>
    <t>soil_surface_in_surfsoil_s1</t>
  </si>
  <si>
    <t>soil_root_zone_in_rootsoil_s1</t>
  </si>
  <si>
    <t>soil_vadose_zone_in_vadosesoil_s1</t>
  </si>
  <si>
    <t>groundwater_in_gw_s1</t>
  </si>
  <si>
    <t>soil_surface_in_surfsoil_s4</t>
  </si>
  <si>
    <t>soil_root_zone_in_rootsoil_s4</t>
  </si>
  <si>
    <t>soil_vadose_zone_in_vadosesoil_s4</t>
  </si>
  <si>
    <t>groundwater_in_gw_s4</t>
  </si>
  <si>
    <t>soil_surface_in_surfsoil_s5</t>
  </si>
  <si>
    <t>soil_root_zone_in_rootsoil_s5</t>
  </si>
  <si>
    <t>soil_vadose_zone_in_vadosesoil_s5</t>
  </si>
  <si>
    <t>groundwater_in_gw_s5</t>
  </si>
  <si>
    <t>macrophyte_in_sw_pond</t>
  </si>
  <si>
    <t>zooplankton_in_sw_pond</t>
  </si>
  <si>
    <t>water_column_herbivore_in_sw_pond</t>
  </si>
  <si>
    <t>water_column_omnivore_in_sw_pond</t>
  </si>
  <si>
    <t>water_column_carnivore_in_sw_pond</t>
  </si>
  <si>
    <t>benthic_invertebrate_in_sed_pond</t>
  </si>
  <si>
    <t>benthic_omnivore_in_sed_pond</t>
  </si>
  <si>
    <t>benthic_carnivore_in_sed_pond</t>
  </si>
  <si>
    <t>leaf_grasses_herbs_in_surfsoil_n1</t>
  </si>
  <si>
    <t>leaf_particle_grasses_herbs_in_surfsoil_n1</t>
  </si>
  <si>
    <t>stem_grasses_herbs_in_surfsoil_n1</t>
  </si>
  <si>
    <t>root_grasses_herbs_in_surfsoil_n1</t>
  </si>
  <si>
    <t>leaf_grasses_herbs_in_surfsoil_n7</t>
  </si>
  <si>
    <t>leaf_particle_grasses_herbs_in_surfsoil_n7</t>
  </si>
  <si>
    <t>stem_grasses_herbs_in_surfsoil_n7</t>
  </si>
  <si>
    <t>root_grasses_herbs_in_surfsoil_n7</t>
  </si>
  <si>
    <t>leaf_grasses_herbs_in_surfsoil_n3</t>
  </si>
  <si>
    <t>leaf_particle_grasses_herbs_in_surfsoil_n3</t>
  </si>
  <si>
    <t>stem_grasses_herbs_in_surfsoil_n3</t>
  </si>
  <si>
    <t>root_grasses_herbs_in_surfsoil_n3</t>
  </si>
  <si>
    <t>leaf_coniferous_forest_in_surfsoil_n4</t>
  </si>
  <si>
    <t>leaf_particle_coniferous_forest_in_surfsoil_n4</t>
  </si>
  <si>
    <t>leaf_coniferous_forest_in_surfsoil_n5</t>
  </si>
  <si>
    <t>leaf_particle_coniferous_forest_in_surfsoil_n5</t>
  </si>
  <si>
    <t>leaf_grasses_herbs_in_surfsoil_s1</t>
  </si>
  <si>
    <t>leaf_particle_grasses_herbs_in_surfsoil_s1</t>
  </si>
  <si>
    <t>stem_grasses_herbs_in_surfsoil_s1</t>
  </si>
  <si>
    <t>root_grasses_herbs_in_surfsoil_s1</t>
  </si>
  <si>
    <t>leaf_coniferous_forest_in_surfsoil_s4</t>
  </si>
  <si>
    <t>leaf_particle_coniferous_forest_in_surfsoil_s4</t>
  </si>
  <si>
    <t>leaf_coniferous_forest_in_surfsoil_s5</t>
  </si>
  <si>
    <t>leaf_particle_coniferous_forest_in_surfsoil_s5</t>
  </si>
  <si>
    <t>dryparticlesource_in_dryparticlesource_source</t>
  </si>
  <si>
    <t>dryvaporsource_in_dryvaporsource_source</t>
  </si>
  <si>
    <t>wetparticlesource_in_wetparticlesource_source</t>
  </si>
  <si>
    <t>wetvaporsource_in_wetvaporsource_source</t>
  </si>
  <si>
    <t>inf</t>
  </si>
  <si>
    <t>Surface water</t>
  </si>
  <si>
    <t>Sediment</t>
  </si>
  <si>
    <t>Surface soil</t>
  </si>
  <si>
    <t>Root zone soil</t>
  </si>
  <si>
    <t>Vadose zone soil</t>
  </si>
  <si>
    <t>Groundwater</t>
  </si>
  <si>
    <t>Macrophyte</t>
  </si>
  <si>
    <t>Zooplankton</t>
  </si>
  <si>
    <t>Water column herbivore</t>
  </si>
  <si>
    <t>Water column omnivore</t>
  </si>
  <si>
    <t>Water column carnivore</t>
  </si>
  <si>
    <t>Benthic invertebrate</t>
  </si>
  <si>
    <t>Benthic omnivore</t>
  </si>
  <si>
    <t>Benthic carnivore</t>
  </si>
  <si>
    <t>Untilled surface soil</t>
  </si>
  <si>
    <t>Vegetationless surface soil</t>
  </si>
  <si>
    <t>Coniferous leaf</t>
  </si>
  <si>
    <t>Coniferous leaf particle</t>
  </si>
  <si>
    <t>Grass leaf</t>
  </si>
  <si>
    <t>Grass leaf particle</t>
  </si>
  <si>
    <t>Grass stem</t>
  </si>
  <si>
    <t>Grass root</t>
  </si>
  <si>
    <t>Column1</t>
  </si>
  <si>
    <t>Average Ratio PyTRIM:Legacy TRIM</t>
  </si>
  <si>
    <t>Compartment Type</t>
  </si>
  <si>
    <t>Average Ratio of pyTRIM to Legacy TRIM</t>
  </si>
  <si>
    <t>Max Ratio of pyTRIM to Legacy TRIM</t>
  </si>
  <si>
    <t>Min Ratio of pyTRIM to Legacy TRIM</t>
  </si>
  <si>
    <t>Tilled surface soil</t>
  </si>
  <si>
    <t>Risk-sensitive aquatic compartments (per MIRC protocols)</t>
  </si>
  <si>
    <t>Risk-sensitive soil compartments (per MIRC protocols)</t>
  </si>
  <si>
    <t xml:space="preserve">PyTRIM versus Legacy TRIM Comparison (Tier 1 Layout, Averaged Over 6 Chemicals)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</si>
</sst>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NumberFormat="1"/>
    <xf numFmtId="2" fontId="0" fillId="0" borderId="0" xfId="0" applyNumberFormat="1"/>
    <xf numFmtId="0" fontId="1" fillId="0" borderId="0" xfId="0" applyFont="1"/>
    <xf numFmtId="0" fontId="0" fillId="2" borderId="0" xfId="0" applyFill="1"/>
    <xf numFmtId="2" fontId="0" fillId="2" borderId="1" xfId="0" applyNumberFormat="1" applyFill="1" applyBorder="1"/>
    <xf numFmtId="2" fontId="0" fillId="0" borderId="1" xfId="0" applyNumberFormat="1" applyBorder="1"/>
    <xf numFmtId="0" fontId="0" fillId="2" borderId="5" xfId="0" applyFill="1" applyBorder="1"/>
    <xf numFmtId="2" fontId="0" fillId="2" borderId="6" xfId="0" applyNumberFormat="1" applyFill="1" applyBorder="1"/>
    <xf numFmtId="0" fontId="0" fillId="0" borderId="5" xfId="0" applyBorder="1"/>
    <xf numFmtId="2" fontId="0" fillId="0" borderId="6" xfId="0" applyNumberFormat="1" applyBorder="1"/>
    <xf numFmtId="0" fontId="0" fillId="0" borderId="7" xfId="0" applyBorder="1"/>
    <xf numFmtId="2" fontId="0" fillId="0" borderId="8" xfId="0" applyNumberFormat="1" applyBorder="1"/>
    <xf numFmtId="2" fontId="0" fillId="0" borderId="9" xfId="0" applyNumberFormat="1" applyBorder="1"/>
    <xf numFmtId="0" fontId="1" fillId="3" borderId="2" xfId="0" applyFont="1" applyFill="1" applyBorder="1"/>
    <xf numFmtId="0" fontId="1" fillId="3" borderId="3" xfId="0" applyFont="1" applyFill="1" applyBorder="1"/>
    <xf numFmtId="0" fontId="1" fillId="3" borderId="4" xfId="0" applyFont="1" applyFill="1" applyBorder="1"/>
    <xf numFmtId="0" fontId="0" fillId="4" borderId="5" xfId="0" applyFill="1" applyBorder="1"/>
    <xf numFmtId="2" fontId="0" fillId="4" borderId="1" xfId="0" applyNumberFormat="1" applyFill="1" applyBorder="1"/>
    <xf numFmtId="2" fontId="0" fillId="4" borderId="6" xfId="0" applyNumberFormat="1" applyFill="1" applyBorder="1"/>
    <xf numFmtId="0" fontId="0" fillId="4" borderId="0" xfId="0" applyFill="1"/>
  </cellXfs>
  <cellStyles count="1">
    <cellStyle name="Normal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8" xr16:uid="{E60BF787-FEE3-4C19-B08E-608DE47958C2}" autoFormatId="16" applyNumberFormats="0" applyBorderFormats="0" applyFontFormats="0" applyPatternFormats="0" applyAlignmentFormats="0" applyWidthHeightFormats="0">
  <queryTableRefresh nextId="3">
    <queryTableFields count="2">
      <queryTableField id="1" name="Compartment" tableColumnId="1"/>
      <queryTableField id="2" name="Ratio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5" xr16:uid="{70371873-DEBB-43E6-81C2-F7A24535CB68}" autoFormatId="16" applyNumberFormats="0" applyBorderFormats="0" applyFontFormats="0" applyPatternFormats="0" applyAlignmentFormats="0" applyWidthHeightFormats="0">
  <queryTableRefresh nextId="3">
    <queryTableFields count="2">
      <queryTableField id="1" name="Compartment" tableColumnId="1"/>
      <queryTableField id="2" name="Ratio" tableColumnId="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6" xr16:uid="{FC8D6A1A-6866-4680-9712-6F4BE87C128B}" autoFormatId="16" applyNumberFormats="0" applyBorderFormats="0" applyFontFormats="0" applyPatternFormats="0" applyAlignmentFormats="0" applyWidthHeightFormats="0">
  <queryTableRefresh nextId="3">
    <queryTableFields count="2">
      <queryTableField id="1" name="Compartment" tableColumnId="1"/>
      <queryTableField id="2" name="Ratio" tableColumnId="2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B9677844-61DE-4D35-8F85-8C14B946A4F9}" autoFormatId="16" applyNumberFormats="0" applyBorderFormats="0" applyFontFormats="0" applyPatternFormats="0" applyAlignmentFormats="0" applyWidthHeightFormats="0">
  <queryTableRefresh nextId="3">
    <queryTableFields count="2">
      <queryTableField id="1" name="Compartment" tableColumnId="1"/>
      <queryTableField id="2" name="Ratio" tableColumnId="2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5A0941CB-ABE6-4417-AA96-3254BEF0094E}" autoFormatId="16" applyNumberFormats="0" applyBorderFormats="0" applyFontFormats="0" applyPatternFormats="0" applyAlignmentFormats="0" applyWidthHeightFormats="0">
  <queryTableRefresh nextId="3">
    <queryTableFields count="2">
      <queryTableField id="1" name="Compartment" tableColumnId="1"/>
      <queryTableField id="2" name="Ratio" tableColumnId="2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0E163166-6783-45B9-A679-FA4892D0ADBD}" autoFormatId="16" applyNumberFormats="0" applyBorderFormats="0" applyFontFormats="0" applyPatternFormats="0" applyAlignmentFormats="0" applyWidthHeightFormats="0">
  <queryTableRefresh nextId="3">
    <queryTableFields count="2">
      <queryTableField id="1" name="Compartment" tableColumnId="1"/>
      <queryTableField id="2" name="Ratio" tableColumnId="2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197E45F8-2DB9-4B88-A5D5-2612E7680D2C}" autoFormatId="16" applyNumberFormats="0" applyBorderFormats="0" applyFontFormats="0" applyPatternFormats="0" applyAlignmentFormats="0" applyWidthHeightFormats="0">
  <queryTableRefresh nextId="3">
    <queryTableFields count="2">
      <queryTableField id="1" name="Compartment" tableColumnId="1"/>
      <queryTableField id="2" name="Ratio" tableColumnId="2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7" xr16:uid="{1D65F70B-776F-4C42-8D1F-8A7BAFF3E934}" autoFormatId="16" applyNumberFormats="0" applyBorderFormats="0" applyFontFormats="0" applyPatternFormats="0" applyAlignmentFormats="0" applyWidthHeightFormats="0">
  <queryTableRefresh nextId="4" unboundColumnsRight="1">
    <queryTableFields count="3">
      <queryTableField id="1" name="Compartment" tableColumnId="1"/>
      <queryTableField id="2" name="Ratio" tableColumnId="2"/>
      <queryTableField id="3" dataBound="0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37B5696-D424-4EB5-BBEB-9D514AAC312B}" name="methylmercury" displayName="methylmercury" ref="A1:B79" tableType="queryTable" totalsRowShown="0">
  <autoFilter ref="A1:B79" xr:uid="{437B5696-D424-4EB5-BBEB-9D514AAC312B}"/>
  <tableColumns count="2">
    <tableColumn id="1" xr3:uid="{A51D277D-EAC2-4DE1-91CD-B7107F536B60}" uniqueName="1" name="Compartment" queryTableFieldId="1" dataDxfId="7"/>
    <tableColumn id="2" xr3:uid="{505AB4E3-295D-4B8D-8C71-849F82E8DB22}" uniqueName="2" name="Ratio" queryTableFieldId="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5D3BBF2-F6E6-45CB-9F88-7E057818F08F}" name="divalent_mercury" displayName="divalent_mercury" ref="A1:B79" tableType="queryTable" totalsRowShown="0">
  <autoFilter ref="A1:B79" xr:uid="{F5D3BBF2-F6E6-45CB-9F88-7E057818F08F}"/>
  <tableColumns count="2">
    <tableColumn id="1" xr3:uid="{7109034D-86F7-4331-B7CE-0AEDB08DB076}" uniqueName="1" name="Compartment" queryTableFieldId="1" dataDxfId="6"/>
    <tableColumn id="2" xr3:uid="{D09A8619-5BF1-4DF2-9368-ECB78D0AC333}" uniqueName="2" name="Ratio" queryTableFieldId="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D4C698F-F44C-45ED-B9B0-3579F39D528E}" name="elemental_mercury" displayName="elemental_mercury" ref="A1:B79" tableType="queryTable" totalsRowShown="0">
  <autoFilter ref="A1:B79" xr:uid="{2D4C698F-F44C-45ED-B9B0-3579F39D528E}"/>
  <tableColumns count="2">
    <tableColumn id="1" xr3:uid="{961B4EB0-BD25-41F3-90FC-9B6F2DDA2092}" uniqueName="1" name="Compartment" queryTableFieldId="1" dataDxfId="5"/>
    <tableColumn id="2" xr3:uid="{66847A07-686E-428E-9F2B-DED00B74AF72}" uniqueName="2" name="Ratio" queryTableFieldId="2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F6E71AF-4DAD-4ED9-8DE7-C6CD51A657B7}" name="benzo_a_pyrene" displayName="benzo_a_pyrene" ref="A1:B79" tableType="queryTable" totalsRowShown="0">
  <autoFilter ref="A1:B79" xr:uid="{AF6E71AF-4DAD-4ED9-8DE7-C6CD51A657B7}"/>
  <tableColumns count="2">
    <tableColumn id="1" xr3:uid="{FD7DA248-CB1E-4248-B7AA-261D38D8CAF0}" uniqueName="1" name="Compartment" queryTableFieldId="1" dataDxfId="4"/>
    <tableColumn id="2" xr3:uid="{CAB3C3F7-29E5-4A6B-82C6-B1543C425D9E}" uniqueName="2" name="Ratio" queryTableFieldId="2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04E238D-14F8-4D70-A843-85475D4E3832}" name="_2_3_7_8_tcdd" displayName="_2_3_7_8_tcdd" ref="A1:B79" tableType="queryTable" totalsRowShown="0">
  <autoFilter ref="A1:B79" xr:uid="{A04E238D-14F8-4D70-A843-85475D4E3832}"/>
  <tableColumns count="2">
    <tableColumn id="1" xr3:uid="{52880956-3F2C-40B1-83CE-2418C4392541}" uniqueName="1" name="Compartment" queryTableFieldId="1" dataDxfId="3"/>
    <tableColumn id="2" xr3:uid="{67716D0D-C041-4C5B-A2DA-821730BCD09A}" uniqueName="2" name="Ratio" queryTableFieldId="2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7C3A066-D5F8-4289-95D5-68EAD1C6A92C}" name="cadmium" displayName="cadmium" ref="A1:B79" tableType="queryTable" totalsRowShown="0">
  <autoFilter ref="A1:B79" xr:uid="{E7C3A066-D5F8-4289-95D5-68EAD1C6A92C}"/>
  <tableColumns count="2">
    <tableColumn id="1" xr3:uid="{6F755501-2F97-4171-9677-1C7BE8485F75}" uniqueName="1" name="Compartment" queryTableFieldId="1" dataDxfId="2"/>
    <tableColumn id="2" xr3:uid="{D827718D-474C-46D4-9AF5-90162E81F9E6}" uniqueName="2" name="Ratio" queryTableFieldId="2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3546F7E-8C04-461E-8332-11E2E90450C3}" name="arsenic" displayName="arsenic" ref="A1:B79" tableType="queryTable" totalsRowShown="0">
  <autoFilter ref="A1:B79" xr:uid="{C3546F7E-8C04-461E-8332-11E2E90450C3}"/>
  <tableColumns count="2">
    <tableColumn id="1" xr3:uid="{79F11FA1-D9D2-47BA-8BA8-B25AD046B9B6}" uniqueName="1" name="Compartment" queryTableFieldId="1" dataDxfId="1"/>
    <tableColumn id="2" xr3:uid="{3C300AAA-60C6-4058-9D3F-8932F5CA8222}" uniqueName="2" name="Ratio" queryTableFieldId="2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48711CC1-BAAC-4947-82D6-3009763B0A1B}" name="lead" displayName="lead" ref="A1:C79" tableType="queryTable" totalsRowShown="0">
  <autoFilter ref="A1:C79" xr:uid="{48711CC1-BAAC-4947-82D6-3009763B0A1B}"/>
  <tableColumns count="3">
    <tableColumn id="1" xr3:uid="{F9E967BC-FE48-41F6-82B9-97FA151A4871}" uniqueName="1" name="Compartment" queryTableFieldId="1" dataDxfId="0"/>
    <tableColumn id="2" xr3:uid="{21CF427B-A34A-4343-B10B-48689A49B563}" uniqueName="2" name="Ratio" queryTableFieldId="2"/>
    <tableColumn id="3" xr3:uid="{9828AB5B-2878-470A-A59D-2E0711696F12}" uniqueName="3" name="Column1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FB0D0B-8564-481F-8D8E-2C7588851114}">
  <dimension ref="B2:E30"/>
  <sheetViews>
    <sheetView tabSelected="1" workbookViewId="0">
      <selection activeCell="E21" sqref="E21"/>
    </sheetView>
  </sheetViews>
  <sheetFormatPr defaultRowHeight="15" x14ac:dyDescent="0.25"/>
  <cols>
    <col min="2" max="2" width="65.42578125" bestFit="1" customWidth="1"/>
    <col min="3" max="3" width="36.85546875" bestFit="1" customWidth="1"/>
    <col min="4" max="4" width="33.140625" bestFit="1" customWidth="1"/>
    <col min="5" max="5" width="33.5703125" bestFit="1" customWidth="1"/>
  </cols>
  <sheetData>
    <row r="2" spans="2:5" x14ac:dyDescent="0.25">
      <c r="B2" s="3" t="s">
        <v>112</v>
      </c>
    </row>
    <row r="3" spans="2:5" ht="15.75" thickBot="1" x14ac:dyDescent="0.3"/>
    <row r="4" spans="2:5" x14ac:dyDescent="0.25">
      <c r="B4" s="14" t="s">
        <v>105</v>
      </c>
      <c r="C4" s="15" t="s">
        <v>106</v>
      </c>
      <c r="D4" s="15" t="s">
        <v>107</v>
      </c>
      <c r="E4" s="16" t="s">
        <v>108</v>
      </c>
    </row>
    <row r="5" spans="2:5" x14ac:dyDescent="0.25">
      <c r="B5" s="7" t="s">
        <v>81</v>
      </c>
      <c r="C5" s="5">
        <f>AVERAGE(methylmercury!F2,divalent_mercury!F3,benzo_a_pyrene!F2,'2_3_7_8_tcdd'!F2,'cadmium'!F2,arsenic!F2)</f>
        <v>1.0083333333333333</v>
      </c>
      <c r="D5" s="5">
        <f>MAX(methylmercury!F2,divalent_mercury!F3,benzo_a_pyrene!F2,'2_3_7_8_tcdd'!F2,'cadmium'!F2,arsenic!F2)</f>
        <v>1.05</v>
      </c>
      <c r="E5" s="8">
        <f>MIN(methylmercury!F2,divalent_mercury!F3,benzo_a_pyrene!F2,'2_3_7_8_tcdd'!F2,'cadmium'!F2,arsenic!F2)</f>
        <v>0.98</v>
      </c>
    </row>
    <row r="6" spans="2:5" x14ac:dyDescent="0.25">
      <c r="B6" s="7" t="s">
        <v>82</v>
      </c>
      <c r="C6" s="5">
        <f>AVERAGE(methylmercury!F3,divalent_mercury!F4,benzo_a_pyrene!F3,'2_3_7_8_tcdd'!F3,'cadmium'!F3,arsenic!F3)</f>
        <v>1.0066666666666666</v>
      </c>
      <c r="D6" s="5">
        <f>MAX(methylmercury!F3,divalent_mercury!F4,benzo_a_pyrene!F3,'2_3_7_8_tcdd'!F3,'cadmium'!F3,arsenic!F3)</f>
        <v>1.05</v>
      </c>
      <c r="E6" s="8">
        <f>MIN(methylmercury!F3,divalent_mercury!F4,benzo_a_pyrene!F3,'2_3_7_8_tcdd'!F3,'cadmium'!F3,arsenic!F3)</f>
        <v>0.98</v>
      </c>
    </row>
    <row r="7" spans="2:5" x14ac:dyDescent="0.25">
      <c r="B7" s="9" t="s">
        <v>87</v>
      </c>
      <c r="C7" s="6">
        <f>AVERAGE(methylmercury!F4,divalent_mercury!F5,benzo_a_pyrene!F4,'2_3_7_8_tcdd'!F4,'cadmium'!F4,arsenic!F4)</f>
        <v>1.0083333333333333</v>
      </c>
      <c r="D7" s="6">
        <f>MAX(methylmercury!F4,divalent_mercury!F5,benzo_a_pyrene!F4,'2_3_7_8_tcdd'!F4,'cadmium'!F4,arsenic!F4)</f>
        <v>1.05</v>
      </c>
      <c r="E7" s="10">
        <f>MIN(methylmercury!F4,divalent_mercury!F5,benzo_a_pyrene!F4,'2_3_7_8_tcdd'!F4,'cadmium'!F4,arsenic!F4)</f>
        <v>0.98</v>
      </c>
    </row>
    <row r="8" spans="2:5" x14ac:dyDescent="0.25">
      <c r="B8" s="9" t="s">
        <v>88</v>
      </c>
      <c r="C8" s="6">
        <f>AVERAGE(methylmercury!F5,divalent_mercury!F6,benzo_a_pyrene!F5,'2_3_7_8_tcdd'!F5,'cadmium'!F5,arsenic!F5)</f>
        <v>1.0083333333333333</v>
      </c>
      <c r="D8" s="6">
        <f>MAX(methylmercury!F5,divalent_mercury!F6,benzo_a_pyrene!F5,'2_3_7_8_tcdd'!F5,'cadmium'!F5,arsenic!F5)</f>
        <v>1.05</v>
      </c>
      <c r="E8" s="10">
        <f>MIN(methylmercury!F5,divalent_mercury!F6,benzo_a_pyrene!F5,'2_3_7_8_tcdd'!F5,'cadmium'!F5,arsenic!F5)</f>
        <v>0.98</v>
      </c>
    </row>
    <row r="9" spans="2:5" x14ac:dyDescent="0.25">
      <c r="B9" s="7" t="s">
        <v>89</v>
      </c>
      <c r="C9" s="5">
        <f>AVERAGE(methylmercury!F6,divalent_mercury!F7,benzo_a_pyrene!F6,'2_3_7_8_tcdd'!F6,'cadmium'!F6,arsenic!F6)</f>
        <v>1.0083333333333333</v>
      </c>
      <c r="D9" s="5">
        <f>MAX(methylmercury!F6,divalent_mercury!F7,benzo_a_pyrene!F6,'2_3_7_8_tcdd'!F6,'cadmium'!F6,arsenic!F6)</f>
        <v>1.05</v>
      </c>
      <c r="E9" s="8">
        <f>MIN(methylmercury!F6,divalent_mercury!F7,benzo_a_pyrene!F6,'2_3_7_8_tcdd'!F6,'cadmium'!F6,arsenic!F6)</f>
        <v>0.98</v>
      </c>
    </row>
    <row r="10" spans="2:5" x14ac:dyDescent="0.25">
      <c r="B10" s="7" t="s">
        <v>90</v>
      </c>
      <c r="C10" s="5">
        <f>AVERAGE(methylmercury!F7,divalent_mercury!F8,benzo_a_pyrene!F7,'2_3_7_8_tcdd'!F7,'cadmium'!F7,arsenic!F7)</f>
        <v>1.0083333333333333</v>
      </c>
      <c r="D10" s="5">
        <f>MAX(methylmercury!F7,divalent_mercury!F8,benzo_a_pyrene!F7,'2_3_7_8_tcdd'!F7,'cadmium'!F7,arsenic!F7)</f>
        <v>1.05</v>
      </c>
      <c r="E10" s="8">
        <f>MIN(methylmercury!F7,divalent_mercury!F8,benzo_a_pyrene!F7,'2_3_7_8_tcdd'!F7,'cadmium'!F7,arsenic!F7)</f>
        <v>0.98</v>
      </c>
    </row>
    <row r="11" spans="2:5" x14ac:dyDescent="0.25">
      <c r="B11" s="7" t="s">
        <v>91</v>
      </c>
      <c r="C11" s="5">
        <f>AVERAGE(methylmercury!F8,divalent_mercury!F9,benzo_a_pyrene!F8,'2_3_7_8_tcdd'!F8,'cadmium'!F8,arsenic!F8)</f>
        <v>1.0083333333333333</v>
      </c>
      <c r="D11" s="5">
        <f>MAX(methylmercury!F8,divalent_mercury!F9,benzo_a_pyrene!F8,'2_3_7_8_tcdd'!F8,'cadmium'!F8,arsenic!F8)</f>
        <v>1.05</v>
      </c>
      <c r="E11" s="8">
        <f>MIN(methylmercury!F8,divalent_mercury!F9,benzo_a_pyrene!F8,'2_3_7_8_tcdd'!F8,'cadmium'!F8,arsenic!F8)</f>
        <v>0.98</v>
      </c>
    </row>
    <row r="12" spans="2:5" x14ac:dyDescent="0.25">
      <c r="B12" s="7" t="s">
        <v>92</v>
      </c>
      <c r="C12" s="5">
        <f>AVERAGE(methylmercury!F9,divalent_mercury!F10,benzo_a_pyrene!F9,'2_3_7_8_tcdd'!F9,'cadmium'!F9,arsenic!F9)</f>
        <v>1.0083333333333333</v>
      </c>
      <c r="D12" s="5">
        <f>MAX(methylmercury!F9,divalent_mercury!F10,benzo_a_pyrene!F9,'2_3_7_8_tcdd'!F9,'cadmium'!F9,arsenic!F9)</f>
        <v>1.05</v>
      </c>
      <c r="E12" s="8">
        <f>MIN(methylmercury!F9,divalent_mercury!F10,benzo_a_pyrene!F9,'2_3_7_8_tcdd'!F9,'cadmium'!F9,arsenic!F9)</f>
        <v>0.98</v>
      </c>
    </row>
    <row r="13" spans="2:5" x14ac:dyDescent="0.25">
      <c r="B13" s="7" t="s">
        <v>93</v>
      </c>
      <c r="C13" s="5">
        <f>AVERAGE(methylmercury!F10,divalent_mercury!F11,benzo_a_pyrene!F10,'2_3_7_8_tcdd'!F10,'cadmium'!F10,arsenic!F10)</f>
        <v>1.0066666666666666</v>
      </c>
      <c r="D13" s="5">
        <f>MAX(methylmercury!F10,divalent_mercury!F11,benzo_a_pyrene!F10,'2_3_7_8_tcdd'!F10,'cadmium'!F10,arsenic!F10)</f>
        <v>1.05</v>
      </c>
      <c r="E13" s="8">
        <f>MIN(methylmercury!F10,divalent_mercury!F11,benzo_a_pyrene!F10,'2_3_7_8_tcdd'!F10,'cadmium'!F10,arsenic!F10)</f>
        <v>0.98</v>
      </c>
    </row>
    <row r="14" spans="2:5" x14ac:dyDescent="0.25">
      <c r="B14" s="7" t="s">
        <v>94</v>
      </c>
      <c r="C14" s="5">
        <f>AVERAGE(methylmercury!F11,divalent_mercury!F12,benzo_a_pyrene!F11,'2_3_7_8_tcdd'!F11,'cadmium'!F11,arsenic!F11)</f>
        <v>1.0066666666666666</v>
      </c>
      <c r="D14" s="5">
        <f>MAX(methylmercury!F11,divalent_mercury!F12,benzo_a_pyrene!F11,'2_3_7_8_tcdd'!F11,'cadmium'!F11,arsenic!F11)</f>
        <v>1.05</v>
      </c>
      <c r="E14" s="8">
        <f>MIN(methylmercury!F11,divalent_mercury!F12,benzo_a_pyrene!F11,'2_3_7_8_tcdd'!F11,'cadmium'!F11,arsenic!F11)</f>
        <v>0.98</v>
      </c>
    </row>
    <row r="15" spans="2:5" x14ac:dyDescent="0.25">
      <c r="B15" s="17" t="s">
        <v>109</v>
      </c>
      <c r="C15" s="18">
        <f>AVERAGE(methylmercury!F12,divalent_mercury!F13,benzo_a_pyrene!F12,'2_3_7_8_tcdd'!F12,'cadmium'!F12,arsenic!F12)</f>
        <v>1.0016666666666667</v>
      </c>
      <c r="D15" s="18">
        <f>MAX(methylmercury!F12,divalent_mercury!F13,benzo_a_pyrene!F12,'2_3_7_8_tcdd'!F12,'cadmium'!F12,arsenic!F12)</f>
        <v>1.03</v>
      </c>
      <c r="E15" s="19">
        <f>MIN(methylmercury!F12,divalent_mercury!F13,benzo_a_pyrene!F12,'2_3_7_8_tcdd'!F12,'cadmium'!F12,arsenic!F12)</f>
        <v>0.99</v>
      </c>
    </row>
    <row r="16" spans="2:5" x14ac:dyDescent="0.25">
      <c r="B16" s="17" t="s">
        <v>95</v>
      </c>
      <c r="C16" s="18">
        <f>AVERAGE(methylmercury!F13,divalent_mercury!F14,benzo_a_pyrene!F13,'2_3_7_8_tcdd'!F13,'cadmium'!F13,arsenic!F13)</f>
        <v>0.9966666666666667</v>
      </c>
      <c r="D16" s="18">
        <f>MAX(methylmercury!F13,divalent_mercury!F14,benzo_a_pyrene!F13,'2_3_7_8_tcdd'!F13,'cadmium'!F13,arsenic!F13)</f>
        <v>1</v>
      </c>
      <c r="E16" s="19">
        <f>MIN(methylmercury!F13,divalent_mercury!F14,benzo_a_pyrene!F13,'2_3_7_8_tcdd'!F13,'cadmium'!F13,arsenic!F13)</f>
        <v>0.99</v>
      </c>
    </row>
    <row r="17" spans="2:5" x14ac:dyDescent="0.25">
      <c r="B17" s="9" t="s">
        <v>83</v>
      </c>
      <c r="C17" s="6">
        <f>AVERAGE(methylmercury!F14,divalent_mercury!F15,benzo_a_pyrene!F14,'2_3_7_8_tcdd'!F14,'cadmium'!F14,arsenic!F14)</f>
        <v>1.0187499999999998</v>
      </c>
      <c r="D17" s="6">
        <f>MAX(methylmercury!F14,divalent_mercury!F15,benzo_a_pyrene!F14,'2_3_7_8_tcdd'!F14,'cadmium'!F14,arsenic!F14)</f>
        <v>1.04125</v>
      </c>
      <c r="E17" s="10">
        <f>MIN(methylmercury!F14,divalent_mercury!F15,benzo_a_pyrene!F14,'2_3_7_8_tcdd'!F14,'cadmium'!F14,arsenic!F14)</f>
        <v>0.99875000000000003</v>
      </c>
    </row>
    <row r="18" spans="2:5" x14ac:dyDescent="0.25">
      <c r="B18" s="9" t="s">
        <v>84</v>
      </c>
      <c r="C18" s="6">
        <f>AVERAGE(methylmercury!F15,divalent_mercury!F16,benzo_a_pyrene!F15,'2_3_7_8_tcdd'!F15,'cadmium'!F15,arsenic!F15)</f>
        <v>1.0152083333333335</v>
      </c>
      <c r="D18" s="6">
        <f>MAX(methylmercury!F15,divalent_mercury!F16,benzo_a_pyrene!F15,'2_3_7_8_tcdd'!F15,'cadmium'!F15,arsenic!F15)</f>
        <v>1.03</v>
      </c>
      <c r="E18" s="10">
        <f>MIN(methylmercury!F15,divalent_mercury!F16,benzo_a_pyrene!F15,'2_3_7_8_tcdd'!F15,'cadmium'!F15,arsenic!F15)</f>
        <v>0.99875000000000003</v>
      </c>
    </row>
    <row r="19" spans="2:5" x14ac:dyDescent="0.25">
      <c r="B19" s="9" t="s">
        <v>85</v>
      </c>
      <c r="C19" s="6">
        <f>AVERAGE(methylmercury!F16,divalent_mercury!F17,benzo_a_pyrene!F16,'2_3_7_8_tcdd'!F16,'cadmium'!F16,arsenic!F16)</f>
        <v>1.016875</v>
      </c>
      <c r="D19" s="6">
        <f>MAX(methylmercury!F16,divalent_mercury!F17,benzo_a_pyrene!F16,'2_3_7_8_tcdd'!F16,'cadmium'!F16,arsenic!F16)</f>
        <v>1.03125</v>
      </c>
      <c r="E19" s="10">
        <f>MIN(methylmercury!F16,divalent_mercury!F17,benzo_a_pyrene!F16,'2_3_7_8_tcdd'!F16,'cadmium'!F16,arsenic!F16)</f>
        <v>1.00125</v>
      </c>
    </row>
    <row r="20" spans="2:5" x14ac:dyDescent="0.25">
      <c r="B20" s="9" t="s">
        <v>86</v>
      </c>
      <c r="C20" s="6">
        <f>AVERAGE(methylmercury!F17,divalent_mercury!F18,benzo_a_pyrene!F17,'2_3_7_8_tcdd'!F17,'cadmium'!F17,arsenic!F17)</f>
        <v>1.0174999999999998</v>
      </c>
      <c r="D20" s="6">
        <f>MAX(methylmercury!F17,divalent_mercury!F18,benzo_a_pyrene!F17,'2_3_7_8_tcdd'!F17,'cadmium'!F17,arsenic!F17)</f>
        <v>1.0337499999999999</v>
      </c>
      <c r="E20" s="10">
        <f>MIN(methylmercury!F17,divalent_mercury!F18,benzo_a_pyrene!F17,'2_3_7_8_tcdd'!F17,'cadmium'!F17,arsenic!F17)</f>
        <v>1.00125</v>
      </c>
    </row>
    <row r="21" spans="2:5" x14ac:dyDescent="0.25">
      <c r="B21" s="9" t="s">
        <v>97</v>
      </c>
      <c r="C21" s="6">
        <f>AVERAGE(methylmercury!F18,divalent_mercury!F19,benzo_a_pyrene!F18,'2_3_7_8_tcdd'!F18,'cadmium'!F18,arsenic!F18)</f>
        <v>0.80333333333333334</v>
      </c>
      <c r="D21" s="6">
        <f>MAX(methylmercury!F18,divalent_mercury!F19,benzo_a_pyrene!F18,'2_3_7_8_tcdd'!F18,'cadmium'!F18,arsenic!F18)</f>
        <v>0.99</v>
      </c>
      <c r="E21" s="10">
        <f>MIN(methylmercury!F18,divalent_mercury!F19,benzo_a_pyrene!F18,'2_3_7_8_tcdd'!F18,'cadmium'!F18,arsenic!F18)</f>
        <v>0</v>
      </c>
    </row>
    <row r="22" spans="2:5" x14ac:dyDescent="0.25">
      <c r="B22" s="9" t="s">
        <v>98</v>
      </c>
      <c r="C22" s="6">
        <f>AVERAGE(methylmercury!F19,divalent_mercury!F20,benzo_a_pyrene!F19,'2_3_7_8_tcdd'!F19,'cadmium'!F19,arsenic!F19)</f>
        <v>0.74708333333333332</v>
      </c>
      <c r="D22" s="6">
        <f>MAX(methylmercury!F19,divalent_mercury!F20,benzo_a_pyrene!F19,'2_3_7_8_tcdd'!F19,'cadmium'!F19,arsenic!F19)</f>
        <v>1</v>
      </c>
      <c r="E22" s="10">
        <f>MIN(methylmercury!F19,divalent_mercury!F20,benzo_a_pyrene!F19,'2_3_7_8_tcdd'!F19,'cadmium'!F19,arsenic!F19)</f>
        <v>0</v>
      </c>
    </row>
    <row r="23" spans="2:5" x14ac:dyDescent="0.25">
      <c r="B23" s="9" t="s">
        <v>99</v>
      </c>
      <c r="C23" s="6">
        <f>AVERAGE(methylmercury!F20,divalent_mercury!F21,benzo_a_pyrene!F20,'2_3_7_8_tcdd'!F20,'cadmium'!F20,arsenic!F20)</f>
        <v>0.90541666666666665</v>
      </c>
      <c r="D23" s="6">
        <f>MAX(methylmercury!F20,divalent_mercury!F21,benzo_a_pyrene!F20,'2_3_7_8_tcdd'!F20,'cadmium'!F20,arsenic!F20)</f>
        <v>1.29</v>
      </c>
      <c r="E23" s="10">
        <f>MIN(methylmercury!F20,divalent_mercury!F21,benzo_a_pyrene!F20,'2_3_7_8_tcdd'!F20,'cadmium'!F20,arsenic!F20)</f>
        <v>0.71</v>
      </c>
    </row>
    <row r="24" spans="2:5" x14ac:dyDescent="0.25">
      <c r="B24" s="9" t="s">
        <v>100</v>
      </c>
      <c r="C24" s="6">
        <f>AVERAGE(methylmercury!F21,divalent_mercury!F22,benzo_a_pyrene!F21,'2_3_7_8_tcdd'!F21,'cadmium'!F21,arsenic!F21)</f>
        <v>0.98666666666666669</v>
      </c>
      <c r="D24" s="6">
        <f>MAX(methylmercury!F21,divalent_mercury!F22,benzo_a_pyrene!F21,'2_3_7_8_tcdd'!F21,'cadmium'!F21,arsenic!F21)</f>
        <v>1.3</v>
      </c>
      <c r="E24" s="10">
        <f>MIN(methylmercury!F21,divalent_mercury!F22,benzo_a_pyrene!F21,'2_3_7_8_tcdd'!F21,'cadmium'!F21,arsenic!F21)</f>
        <v>0.36</v>
      </c>
    </row>
    <row r="25" spans="2:5" x14ac:dyDescent="0.25">
      <c r="B25" s="9" t="s">
        <v>101</v>
      </c>
      <c r="C25" s="6">
        <f>AVERAGE(methylmercury!F22,divalent_mercury!F23,benzo_a_pyrene!F22,'2_3_7_8_tcdd'!F22,'cadmium'!F22,arsenic!F22)</f>
        <v>0.65041666666666675</v>
      </c>
      <c r="D25" s="6">
        <f>MAX(methylmercury!F22,divalent_mercury!F23,benzo_a_pyrene!F22,'2_3_7_8_tcdd'!F22,'cadmium'!F22,arsenic!F22)</f>
        <v>0.99750000000000005</v>
      </c>
      <c r="E25" s="10">
        <f>MIN(methylmercury!F22,divalent_mercury!F23,benzo_a_pyrene!F22,'2_3_7_8_tcdd'!F22,'cadmium'!F22,arsenic!F22)</f>
        <v>0.39</v>
      </c>
    </row>
    <row r="26" spans="2:5" ht="15.75" thickBot="1" x14ac:dyDescent="0.3">
      <c r="B26" s="11" t="s">
        <v>102</v>
      </c>
      <c r="C26" s="12">
        <f>AVERAGE(methylmercury!F23,divalent_mercury!F24,benzo_a_pyrene!F23,'2_3_7_8_tcdd'!F23,'cadmium'!F23,arsenic!F23)</f>
        <v>0.99458333333333337</v>
      </c>
      <c r="D26" s="12">
        <f>MAX(methylmercury!F23,divalent_mercury!F24,benzo_a_pyrene!F23,'2_3_7_8_tcdd'!F23,'cadmium'!F23,arsenic!F23)</f>
        <v>1.0725</v>
      </c>
      <c r="E26" s="13">
        <f>MIN(methylmercury!F23,divalent_mercury!F24,benzo_a_pyrene!F23,'2_3_7_8_tcdd'!F23,'cadmium'!F23,arsenic!F23)</f>
        <v>0.81500000000000006</v>
      </c>
    </row>
    <row r="29" spans="2:5" x14ac:dyDescent="0.25">
      <c r="B29" s="4" t="s">
        <v>110</v>
      </c>
    </row>
    <row r="30" spans="2:5" x14ac:dyDescent="0.25">
      <c r="B30" s="20" t="s">
        <v>111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42C0B-C724-44E1-A73C-C24284C2FC73}">
  <dimension ref="A1:F79"/>
  <sheetViews>
    <sheetView workbookViewId="0">
      <selection activeCell="F4" sqref="F4"/>
    </sheetView>
  </sheetViews>
  <sheetFormatPr defaultRowHeight="15" x14ac:dyDescent="0.25"/>
  <cols>
    <col min="1" max="1" width="44.7109375" bestFit="1" customWidth="1"/>
    <col min="2" max="2" width="7.85546875" bestFit="1" customWidth="1"/>
    <col min="5" max="5" width="25.140625" bestFit="1" customWidth="1"/>
    <col min="6" max="6" width="32.28515625" bestFit="1" customWidth="1"/>
  </cols>
  <sheetData>
    <row r="1" spans="1:6" x14ac:dyDescent="0.25">
      <c r="A1" t="s">
        <v>0</v>
      </c>
      <c r="B1" t="s">
        <v>1</v>
      </c>
      <c r="E1" s="3" t="s">
        <v>0</v>
      </c>
      <c r="F1" s="3" t="s">
        <v>104</v>
      </c>
    </row>
    <row r="2" spans="1:6" x14ac:dyDescent="0.25">
      <c r="A2" s="1" t="s">
        <v>2</v>
      </c>
      <c r="B2">
        <v>1</v>
      </c>
      <c r="E2" t="s">
        <v>81</v>
      </c>
      <c r="F2" s="2">
        <f>B2</f>
        <v>1</v>
      </c>
    </row>
    <row r="3" spans="1:6" x14ac:dyDescent="0.25">
      <c r="A3" s="1" t="s">
        <v>3</v>
      </c>
      <c r="B3">
        <v>1</v>
      </c>
      <c r="E3" t="s">
        <v>82</v>
      </c>
      <c r="F3" s="2">
        <f>B3</f>
        <v>1</v>
      </c>
    </row>
    <row r="4" spans="1:6" x14ac:dyDescent="0.25">
      <c r="A4" s="1" t="s">
        <v>4</v>
      </c>
      <c r="B4">
        <v>0.99</v>
      </c>
      <c r="E4" t="s">
        <v>87</v>
      </c>
      <c r="F4" s="2">
        <f t="shared" ref="F4:F11" si="0">B44</f>
        <v>1</v>
      </c>
    </row>
    <row r="5" spans="1:6" x14ac:dyDescent="0.25">
      <c r="A5" s="1" t="s">
        <v>5</v>
      </c>
      <c r="B5">
        <v>0.99</v>
      </c>
      <c r="E5" t="s">
        <v>88</v>
      </c>
      <c r="F5" s="2">
        <f t="shared" si="0"/>
        <v>1</v>
      </c>
    </row>
    <row r="6" spans="1:6" x14ac:dyDescent="0.25">
      <c r="A6" s="1" t="s">
        <v>6</v>
      </c>
      <c r="B6">
        <v>0.99</v>
      </c>
      <c r="E6" t="s">
        <v>89</v>
      </c>
      <c r="F6" s="2">
        <f t="shared" si="0"/>
        <v>1</v>
      </c>
    </row>
    <row r="7" spans="1:6" x14ac:dyDescent="0.25">
      <c r="A7" s="1" t="s">
        <v>7</v>
      </c>
      <c r="B7">
        <v>1</v>
      </c>
      <c r="E7" t="s">
        <v>90</v>
      </c>
      <c r="F7" s="2">
        <f t="shared" si="0"/>
        <v>1</v>
      </c>
    </row>
    <row r="8" spans="1:6" x14ac:dyDescent="0.25">
      <c r="A8" s="1" t="s">
        <v>8</v>
      </c>
      <c r="B8">
        <v>1.01</v>
      </c>
      <c r="E8" t="s">
        <v>91</v>
      </c>
      <c r="F8" s="2">
        <f t="shared" si="0"/>
        <v>1</v>
      </c>
    </row>
    <row r="9" spans="1:6" x14ac:dyDescent="0.25">
      <c r="A9" s="1" t="s">
        <v>9</v>
      </c>
      <c r="B9">
        <v>0.98</v>
      </c>
      <c r="E9" t="s">
        <v>92</v>
      </c>
      <c r="F9" s="2">
        <f t="shared" si="0"/>
        <v>1</v>
      </c>
    </row>
    <row r="10" spans="1:6" x14ac:dyDescent="0.25">
      <c r="A10" s="1" t="s">
        <v>10</v>
      </c>
      <c r="B10">
        <v>0.99</v>
      </c>
      <c r="E10" t="s">
        <v>93</v>
      </c>
      <c r="F10" s="2">
        <f t="shared" si="0"/>
        <v>1</v>
      </c>
    </row>
    <row r="11" spans="1:6" x14ac:dyDescent="0.25">
      <c r="A11" s="1" t="s">
        <v>11</v>
      </c>
      <c r="B11">
        <v>1.01</v>
      </c>
      <c r="E11" t="s">
        <v>94</v>
      </c>
      <c r="F11" s="2">
        <f t="shared" si="0"/>
        <v>1</v>
      </c>
    </row>
    <row r="12" spans="1:6" x14ac:dyDescent="0.25">
      <c r="A12" s="1" t="s">
        <v>12</v>
      </c>
      <c r="B12">
        <v>0.99</v>
      </c>
      <c r="E12" t="s">
        <v>109</v>
      </c>
      <c r="F12" s="2">
        <f>B12</f>
        <v>0.99</v>
      </c>
    </row>
    <row r="13" spans="1:6" x14ac:dyDescent="0.25">
      <c r="A13" s="1" t="s">
        <v>13</v>
      </c>
      <c r="B13">
        <v>0.99</v>
      </c>
      <c r="E13" t="s">
        <v>95</v>
      </c>
      <c r="F13" s="2">
        <f>B4</f>
        <v>0.99</v>
      </c>
    </row>
    <row r="14" spans="1:6" x14ac:dyDescent="0.25">
      <c r="A14" s="1" t="s">
        <v>14</v>
      </c>
      <c r="B14">
        <v>0.99</v>
      </c>
      <c r="E14" t="s">
        <v>83</v>
      </c>
      <c r="F14" s="2">
        <f>AVERAGE(B8,B16,B20,B24,B28,B32,B36,B40)</f>
        <v>1.0049999999999999</v>
      </c>
    </row>
    <row r="15" spans="1:6" x14ac:dyDescent="0.25">
      <c r="A15" s="1" t="s">
        <v>15</v>
      </c>
      <c r="B15">
        <v>1</v>
      </c>
      <c r="E15" t="s">
        <v>84</v>
      </c>
      <c r="F15" s="2">
        <f>AVERAGE(B9,B17,B21,B25,B29,B33,B37,B41)</f>
        <v>0.99875000000000003</v>
      </c>
    </row>
    <row r="16" spans="1:6" x14ac:dyDescent="0.25">
      <c r="A16" s="1" t="s">
        <v>16</v>
      </c>
      <c r="B16">
        <v>1.01</v>
      </c>
      <c r="E16" t="s">
        <v>85</v>
      </c>
      <c r="F16" s="2">
        <f>AVERAGE(B10,B18,B22,B26,B30,B34,B38,B42)</f>
        <v>1.00125</v>
      </c>
    </row>
    <row r="17" spans="1:6" x14ac:dyDescent="0.25">
      <c r="A17" s="1" t="s">
        <v>17</v>
      </c>
      <c r="B17">
        <v>0.99</v>
      </c>
      <c r="E17" t="s">
        <v>86</v>
      </c>
      <c r="F17" s="2">
        <f>AVERAGE(B11,B19,B23,B27,B31,B35,B39,B43)</f>
        <v>1.0075000000000001</v>
      </c>
    </row>
    <row r="18" spans="1:6" x14ac:dyDescent="0.25">
      <c r="A18" s="1" t="s">
        <v>18</v>
      </c>
      <c r="B18">
        <v>1</v>
      </c>
      <c r="E18" t="s">
        <v>97</v>
      </c>
      <c r="F18" s="2">
        <f>AVERAGE(B64,B66,B72,B74)</f>
        <v>0</v>
      </c>
    </row>
    <row r="19" spans="1:6" x14ac:dyDescent="0.25">
      <c r="A19" s="1" t="s">
        <v>19</v>
      </c>
      <c r="B19">
        <v>1.01</v>
      </c>
      <c r="E19" t="s">
        <v>98</v>
      </c>
      <c r="F19" s="2">
        <f>AVERAGE(B65,B67,B73,B75)</f>
        <v>0</v>
      </c>
    </row>
    <row r="20" spans="1:6" x14ac:dyDescent="0.25">
      <c r="A20" s="1" t="s">
        <v>20</v>
      </c>
      <c r="B20">
        <v>1.01</v>
      </c>
      <c r="E20" t="s">
        <v>99</v>
      </c>
      <c r="F20" s="2">
        <f>AVERAGE(B52,B56,B60,B68)</f>
        <v>0.745</v>
      </c>
    </row>
    <row r="21" spans="1:6" x14ac:dyDescent="0.25">
      <c r="A21" s="1" t="s">
        <v>21</v>
      </c>
      <c r="B21">
        <v>1.01</v>
      </c>
      <c r="E21" t="s">
        <v>100</v>
      </c>
      <c r="F21" s="2">
        <f>AVERAGE(B53,B57,B61,B69)</f>
        <v>0.6775000000000001</v>
      </c>
    </row>
    <row r="22" spans="1:6" x14ac:dyDescent="0.25">
      <c r="A22" s="1" t="s">
        <v>22</v>
      </c>
      <c r="B22">
        <v>1.01</v>
      </c>
      <c r="E22" t="s">
        <v>101</v>
      </c>
      <c r="F22" s="2">
        <f>AVERAGE(B54,B58,B62,B70)</f>
        <v>0.65500000000000003</v>
      </c>
    </row>
    <row r="23" spans="1:6" x14ac:dyDescent="0.25">
      <c r="A23" s="1" t="s">
        <v>23</v>
      </c>
      <c r="B23">
        <v>1.02</v>
      </c>
      <c r="E23" t="s">
        <v>102</v>
      </c>
      <c r="F23" s="2">
        <f>AVERAGE(B55,B59,B63,B71)</f>
        <v>0.99750000000000005</v>
      </c>
    </row>
    <row r="24" spans="1:6" x14ac:dyDescent="0.25">
      <c r="A24" s="1" t="s">
        <v>24</v>
      </c>
      <c r="B24">
        <v>1</v>
      </c>
    </row>
    <row r="25" spans="1:6" x14ac:dyDescent="0.25">
      <c r="A25" s="1" t="s">
        <v>25</v>
      </c>
      <c r="B25">
        <v>1</v>
      </c>
    </row>
    <row r="26" spans="1:6" x14ac:dyDescent="0.25">
      <c r="A26" s="1" t="s">
        <v>26</v>
      </c>
      <c r="B26">
        <v>1</v>
      </c>
    </row>
    <row r="27" spans="1:6" x14ac:dyDescent="0.25">
      <c r="A27" s="1" t="s">
        <v>27</v>
      </c>
      <c r="B27">
        <v>1</v>
      </c>
    </row>
    <row r="28" spans="1:6" x14ac:dyDescent="0.25">
      <c r="A28" s="1" t="s">
        <v>28</v>
      </c>
      <c r="B28">
        <v>1</v>
      </c>
    </row>
    <row r="29" spans="1:6" x14ac:dyDescent="0.25">
      <c r="A29" s="1" t="s">
        <v>29</v>
      </c>
      <c r="B29">
        <v>1</v>
      </c>
    </row>
    <row r="30" spans="1:6" x14ac:dyDescent="0.25">
      <c r="A30" s="1" t="s">
        <v>30</v>
      </c>
      <c r="B30">
        <v>1</v>
      </c>
    </row>
    <row r="31" spans="1:6" x14ac:dyDescent="0.25">
      <c r="A31" s="1" t="s">
        <v>31</v>
      </c>
      <c r="B31">
        <v>1</v>
      </c>
    </row>
    <row r="32" spans="1:6" x14ac:dyDescent="0.25">
      <c r="A32" s="1" t="s">
        <v>32</v>
      </c>
      <c r="B32">
        <v>1.01</v>
      </c>
    </row>
    <row r="33" spans="1:2" x14ac:dyDescent="0.25">
      <c r="A33" s="1" t="s">
        <v>33</v>
      </c>
      <c r="B33">
        <v>1.01</v>
      </c>
    </row>
    <row r="34" spans="1:2" x14ac:dyDescent="0.25">
      <c r="A34" s="1" t="s">
        <v>34</v>
      </c>
      <c r="B34">
        <v>1.01</v>
      </c>
    </row>
    <row r="35" spans="1:2" x14ac:dyDescent="0.25">
      <c r="A35" s="1" t="s">
        <v>35</v>
      </c>
      <c r="B35">
        <v>1.02</v>
      </c>
    </row>
    <row r="36" spans="1:2" x14ac:dyDescent="0.25">
      <c r="A36" s="1" t="s">
        <v>36</v>
      </c>
      <c r="B36">
        <v>1</v>
      </c>
    </row>
    <row r="37" spans="1:2" x14ac:dyDescent="0.25">
      <c r="A37" s="1" t="s">
        <v>37</v>
      </c>
      <c r="B37">
        <v>1</v>
      </c>
    </row>
    <row r="38" spans="1:2" x14ac:dyDescent="0.25">
      <c r="A38" s="1" t="s">
        <v>38</v>
      </c>
      <c r="B38">
        <v>1</v>
      </c>
    </row>
    <row r="39" spans="1:2" x14ac:dyDescent="0.25">
      <c r="A39" s="1" t="s">
        <v>39</v>
      </c>
      <c r="B39">
        <v>1</v>
      </c>
    </row>
    <row r="40" spans="1:2" x14ac:dyDescent="0.25">
      <c r="A40" s="1" t="s">
        <v>40</v>
      </c>
      <c r="B40">
        <v>1</v>
      </c>
    </row>
    <row r="41" spans="1:2" x14ac:dyDescent="0.25">
      <c r="A41" s="1" t="s">
        <v>41</v>
      </c>
      <c r="B41">
        <v>1</v>
      </c>
    </row>
    <row r="42" spans="1:2" x14ac:dyDescent="0.25">
      <c r="A42" s="1" t="s">
        <v>42</v>
      </c>
      <c r="B42">
        <v>1</v>
      </c>
    </row>
    <row r="43" spans="1:2" x14ac:dyDescent="0.25">
      <c r="A43" s="1" t="s">
        <v>43</v>
      </c>
      <c r="B43">
        <v>1</v>
      </c>
    </row>
    <row r="44" spans="1:2" x14ac:dyDescent="0.25">
      <c r="A44" s="1" t="s">
        <v>44</v>
      </c>
      <c r="B44">
        <v>1</v>
      </c>
    </row>
    <row r="45" spans="1:2" x14ac:dyDescent="0.25">
      <c r="A45" s="1" t="s">
        <v>45</v>
      </c>
      <c r="B45">
        <v>1</v>
      </c>
    </row>
    <row r="46" spans="1:2" x14ac:dyDescent="0.25">
      <c r="A46" s="1" t="s">
        <v>46</v>
      </c>
      <c r="B46">
        <v>1</v>
      </c>
    </row>
    <row r="47" spans="1:2" x14ac:dyDescent="0.25">
      <c r="A47" s="1" t="s">
        <v>47</v>
      </c>
      <c r="B47">
        <v>1</v>
      </c>
    </row>
    <row r="48" spans="1:2" x14ac:dyDescent="0.25">
      <c r="A48" s="1" t="s">
        <v>48</v>
      </c>
      <c r="B48">
        <v>1</v>
      </c>
    </row>
    <row r="49" spans="1:2" x14ac:dyDescent="0.25">
      <c r="A49" s="1" t="s">
        <v>49</v>
      </c>
      <c r="B49">
        <v>1</v>
      </c>
    </row>
    <row r="50" spans="1:2" x14ac:dyDescent="0.25">
      <c r="A50" s="1" t="s">
        <v>50</v>
      </c>
      <c r="B50">
        <v>1</v>
      </c>
    </row>
    <row r="51" spans="1:2" x14ac:dyDescent="0.25">
      <c r="A51" s="1" t="s">
        <v>51</v>
      </c>
      <c r="B51">
        <v>1</v>
      </c>
    </row>
    <row r="52" spans="1:2" x14ac:dyDescent="0.25">
      <c r="A52" s="1" t="s">
        <v>52</v>
      </c>
      <c r="B52">
        <v>0.87</v>
      </c>
    </row>
    <row r="53" spans="1:2" x14ac:dyDescent="0.25">
      <c r="A53" s="1" t="s">
        <v>53</v>
      </c>
      <c r="B53">
        <v>0.79</v>
      </c>
    </row>
    <row r="54" spans="1:2" x14ac:dyDescent="0.25">
      <c r="A54" s="1" t="s">
        <v>54</v>
      </c>
      <c r="B54">
        <v>0.75</v>
      </c>
    </row>
    <row r="55" spans="1:2" x14ac:dyDescent="0.25">
      <c r="A55" s="1" t="s">
        <v>55</v>
      </c>
      <c r="B55">
        <v>0.98</v>
      </c>
    </row>
    <row r="56" spans="1:2" x14ac:dyDescent="0.25">
      <c r="A56" s="1" t="s">
        <v>56</v>
      </c>
      <c r="B56">
        <v>0.88</v>
      </c>
    </row>
    <row r="57" spans="1:2" x14ac:dyDescent="0.25">
      <c r="A57" s="1" t="s">
        <v>57</v>
      </c>
      <c r="B57">
        <v>0.8</v>
      </c>
    </row>
    <row r="58" spans="1:2" x14ac:dyDescent="0.25">
      <c r="A58" s="1" t="s">
        <v>58</v>
      </c>
      <c r="B58">
        <v>0.76</v>
      </c>
    </row>
    <row r="59" spans="1:2" x14ac:dyDescent="0.25">
      <c r="A59" s="1" t="s">
        <v>59</v>
      </c>
      <c r="B59">
        <v>0.99</v>
      </c>
    </row>
    <row r="60" spans="1:2" x14ac:dyDescent="0.25">
      <c r="A60" s="1" t="s">
        <v>60</v>
      </c>
      <c r="B60">
        <v>0.9</v>
      </c>
    </row>
    <row r="61" spans="1:2" x14ac:dyDescent="0.25">
      <c r="A61" s="1" t="s">
        <v>61</v>
      </c>
      <c r="B61">
        <v>0.81</v>
      </c>
    </row>
    <row r="62" spans="1:2" x14ac:dyDescent="0.25">
      <c r="A62" s="1" t="s">
        <v>62</v>
      </c>
      <c r="B62">
        <v>0.77</v>
      </c>
    </row>
    <row r="63" spans="1:2" x14ac:dyDescent="0.25">
      <c r="A63" s="1" t="s">
        <v>63</v>
      </c>
      <c r="B63">
        <v>1.01</v>
      </c>
    </row>
    <row r="64" spans="1:2" x14ac:dyDescent="0.25">
      <c r="A64" s="1" t="s">
        <v>64</v>
      </c>
      <c r="B64">
        <v>0</v>
      </c>
    </row>
    <row r="65" spans="1:2" x14ac:dyDescent="0.25">
      <c r="A65" s="1" t="s">
        <v>65</v>
      </c>
      <c r="B65">
        <v>0</v>
      </c>
    </row>
    <row r="66" spans="1:2" x14ac:dyDescent="0.25">
      <c r="A66" s="1" t="s">
        <v>66</v>
      </c>
      <c r="B66">
        <v>0</v>
      </c>
    </row>
    <row r="67" spans="1:2" x14ac:dyDescent="0.25">
      <c r="A67" s="1" t="s">
        <v>67</v>
      </c>
      <c r="B67">
        <v>0</v>
      </c>
    </row>
    <row r="68" spans="1:2" x14ac:dyDescent="0.25">
      <c r="A68" s="1" t="s">
        <v>68</v>
      </c>
      <c r="B68">
        <v>0.33</v>
      </c>
    </row>
    <row r="69" spans="1:2" x14ac:dyDescent="0.25">
      <c r="A69" s="1" t="s">
        <v>69</v>
      </c>
      <c r="B69">
        <v>0.31</v>
      </c>
    </row>
    <row r="70" spans="1:2" x14ac:dyDescent="0.25">
      <c r="A70" s="1" t="s">
        <v>70</v>
      </c>
      <c r="B70">
        <v>0.34</v>
      </c>
    </row>
    <row r="71" spans="1:2" x14ac:dyDescent="0.25">
      <c r="A71" s="1" t="s">
        <v>71</v>
      </c>
      <c r="B71">
        <v>1.01</v>
      </c>
    </row>
    <row r="72" spans="1:2" x14ac:dyDescent="0.25">
      <c r="A72" s="1" t="s">
        <v>72</v>
      </c>
      <c r="B72">
        <v>0</v>
      </c>
    </row>
    <row r="73" spans="1:2" x14ac:dyDescent="0.25">
      <c r="A73" s="1" t="s">
        <v>73</v>
      </c>
      <c r="B73">
        <v>0</v>
      </c>
    </row>
    <row r="74" spans="1:2" x14ac:dyDescent="0.25">
      <c r="A74" s="1" t="s">
        <v>74</v>
      </c>
      <c r="B74">
        <v>0</v>
      </c>
    </row>
    <row r="75" spans="1:2" x14ac:dyDescent="0.25">
      <c r="A75" s="1" t="s">
        <v>75</v>
      </c>
      <c r="B75">
        <v>0</v>
      </c>
    </row>
    <row r="76" spans="1:2" x14ac:dyDescent="0.25">
      <c r="A76" s="1" t="s">
        <v>76</v>
      </c>
      <c r="B76">
        <v>1</v>
      </c>
    </row>
    <row r="77" spans="1:2" x14ac:dyDescent="0.25">
      <c r="A77" s="1" t="s">
        <v>77</v>
      </c>
      <c r="B77">
        <v>1</v>
      </c>
    </row>
    <row r="78" spans="1:2" x14ac:dyDescent="0.25">
      <c r="A78" s="1" t="s">
        <v>78</v>
      </c>
      <c r="B78">
        <v>1</v>
      </c>
    </row>
    <row r="79" spans="1:2" x14ac:dyDescent="0.25">
      <c r="A79" s="1" t="s">
        <v>79</v>
      </c>
      <c r="B79">
        <v>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2BB18-E844-42FB-A257-A6023A9A1762}">
  <dimension ref="A1:F79"/>
  <sheetViews>
    <sheetView workbookViewId="0">
      <selection activeCell="E1" sqref="E1"/>
    </sheetView>
  </sheetViews>
  <sheetFormatPr defaultRowHeight="15" x14ac:dyDescent="0.25"/>
  <cols>
    <col min="1" max="1" width="44.7109375" bestFit="1" customWidth="1"/>
    <col min="2" max="2" width="7.85546875" bestFit="1" customWidth="1"/>
    <col min="5" max="5" width="25.140625" bestFit="1" customWidth="1"/>
    <col min="6" max="6" width="32.5703125" bestFit="1" customWidth="1"/>
  </cols>
  <sheetData>
    <row r="1" spans="1:6" x14ac:dyDescent="0.25">
      <c r="A1" t="s">
        <v>0</v>
      </c>
      <c r="B1" t="s">
        <v>1</v>
      </c>
    </row>
    <row r="2" spans="1:6" x14ac:dyDescent="0.25">
      <c r="A2" s="1" t="s">
        <v>2</v>
      </c>
      <c r="B2">
        <v>1</v>
      </c>
      <c r="E2" s="3" t="s">
        <v>0</v>
      </c>
      <c r="F2" s="3" t="s">
        <v>104</v>
      </c>
    </row>
    <row r="3" spans="1:6" x14ac:dyDescent="0.25">
      <c r="A3" s="1" t="s">
        <v>3</v>
      </c>
      <c r="B3">
        <v>1</v>
      </c>
      <c r="E3" t="s">
        <v>81</v>
      </c>
      <c r="F3" s="2">
        <f>B3</f>
        <v>1</v>
      </c>
    </row>
    <row r="4" spans="1:6" x14ac:dyDescent="0.25">
      <c r="A4" s="1" t="s">
        <v>4</v>
      </c>
      <c r="B4">
        <v>0.99</v>
      </c>
      <c r="E4" t="s">
        <v>82</v>
      </c>
      <c r="F4" s="2">
        <f>B4</f>
        <v>0.99</v>
      </c>
    </row>
    <row r="5" spans="1:6" x14ac:dyDescent="0.25">
      <c r="A5" s="1" t="s">
        <v>5</v>
      </c>
      <c r="B5">
        <v>0.99</v>
      </c>
      <c r="E5" t="s">
        <v>87</v>
      </c>
      <c r="F5" s="2">
        <f>B44</f>
        <v>1</v>
      </c>
    </row>
    <row r="6" spans="1:6" x14ac:dyDescent="0.25">
      <c r="A6" s="1" t="s">
        <v>6</v>
      </c>
      <c r="B6">
        <v>0.99</v>
      </c>
      <c r="E6" t="s">
        <v>88</v>
      </c>
      <c r="F6" s="2">
        <f t="shared" ref="F6:F12" si="0">B45</f>
        <v>1</v>
      </c>
    </row>
    <row r="7" spans="1:6" x14ac:dyDescent="0.25">
      <c r="A7" s="1" t="s">
        <v>7</v>
      </c>
      <c r="B7">
        <v>1</v>
      </c>
      <c r="E7" t="s">
        <v>89</v>
      </c>
      <c r="F7" s="2">
        <f t="shared" si="0"/>
        <v>1</v>
      </c>
    </row>
    <row r="8" spans="1:6" x14ac:dyDescent="0.25">
      <c r="A8" s="1" t="s">
        <v>8</v>
      </c>
      <c r="B8">
        <v>1.01</v>
      </c>
      <c r="E8" t="s">
        <v>90</v>
      </c>
      <c r="F8" s="2">
        <f t="shared" si="0"/>
        <v>1</v>
      </c>
    </row>
    <row r="9" spans="1:6" x14ac:dyDescent="0.25">
      <c r="A9" s="1" t="s">
        <v>9</v>
      </c>
      <c r="B9">
        <v>0.98</v>
      </c>
      <c r="E9" t="s">
        <v>91</v>
      </c>
      <c r="F9" s="2">
        <f t="shared" si="0"/>
        <v>1</v>
      </c>
    </row>
    <row r="10" spans="1:6" x14ac:dyDescent="0.25">
      <c r="A10" s="1" t="s">
        <v>10</v>
      </c>
      <c r="B10">
        <v>0.99</v>
      </c>
      <c r="E10" t="s">
        <v>92</v>
      </c>
      <c r="F10" s="2">
        <f t="shared" si="0"/>
        <v>1</v>
      </c>
    </row>
    <row r="11" spans="1:6" x14ac:dyDescent="0.25">
      <c r="A11" s="1" t="s">
        <v>11</v>
      </c>
      <c r="B11">
        <v>1.01</v>
      </c>
      <c r="E11" t="s">
        <v>93</v>
      </c>
      <c r="F11" s="2">
        <f t="shared" si="0"/>
        <v>0.99</v>
      </c>
    </row>
    <row r="12" spans="1:6" x14ac:dyDescent="0.25">
      <c r="A12" s="1" t="s">
        <v>12</v>
      </c>
      <c r="B12">
        <v>0.99</v>
      </c>
      <c r="E12" t="s">
        <v>94</v>
      </c>
      <c r="F12" s="2">
        <f t="shared" si="0"/>
        <v>0.99</v>
      </c>
    </row>
    <row r="13" spans="1:6" x14ac:dyDescent="0.25">
      <c r="A13" s="1" t="s">
        <v>13</v>
      </c>
      <c r="B13">
        <v>0.99</v>
      </c>
      <c r="E13" t="s">
        <v>109</v>
      </c>
      <c r="F13" s="2">
        <f>B13</f>
        <v>0.99</v>
      </c>
    </row>
    <row r="14" spans="1:6" x14ac:dyDescent="0.25">
      <c r="A14" s="1" t="s">
        <v>14</v>
      </c>
      <c r="B14">
        <v>0.99</v>
      </c>
      <c r="E14" t="s">
        <v>95</v>
      </c>
      <c r="F14" s="2">
        <f>B5</f>
        <v>0.99</v>
      </c>
    </row>
    <row r="15" spans="1:6" x14ac:dyDescent="0.25">
      <c r="A15" s="1" t="s">
        <v>15</v>
      </c>
      <c r="B15">
        <v>1</v>
      </c>
      <c r="E15" t="s">
        <v>83</v>
      </c>
      <c r="F15" s="2">
        <f>AVERAGE(B9,B17,B21,B25,B29,B33,B37,B41)</f>
        <v>0.99875000000000003</v>
      </c>
    </row>
    <row r="16" spans="1:6" x14ac:dyDescent="0.25">
      <c r="A16" s="1" t="s">
        <v>16</v>
      </c>
      <c r="B16">
        <v>1.01</v>
      </c>
      <c r="E16" t="s">
        <v>84</v>
      </c>
      <c r="F16" s="2">
        <f>AVERAGE(B10,B18,B22,B26,B30,B34,B38,B42)</f>
        <v>1.00125</v>
      </c>
    </row>
    <row r="17" spans="1:6" x14ac:dyDescent="0.25">
      <c r="A17" s="1" t="s">
        <v>17</v>
      </c>
      <c r="B17">
        <v>0.99</v>
      </c>
      <c r="E17" t="s">
        <v>85</v>
      </c>
      <c r="F17" s="2">
        <f>AVERAGE(B11,B19,B23,B27,B31,B35,B39,B43)</f>
        <v>1.0075000000000001</v>
      </c>
    </row>
    <row r="18" spans="1:6" x14ac:dyDescent="0.25">
      <c r="A18" s="1" t="s">
        <v>18</v>
      </c>
      <c r="B18">
        <v>1</v>
      </c>
      <c r="E18" t="s">
        <v>86</v>
      </c>
      <c r="F18" s="2">
        <f>AVERAGE(B12,B20,B24,B28,B32,B36,B40,B44)</f>
        <v>1.00125</v>
      </c>
    </row>
    <row r="19" spans="1:6" x14ac:dyDescent="0.25">
      <c r="A19" s="1" t="s">
        <v>19</v>
      </c>
      <c r="B19">
        <v>1.01</v>
      </c>
      <c r="E19" t="s">
        <v>97</v>
      </c>
      <c r="F19" s="2">
        <f>AVERAGE(B65,B67,B73,B75)</f>
        <v>0.99</v>
      </c>
    </row>
    <row r="20" spans="1:6" x14ac:dyDescent="0.25">
      <c r="A20" s="1" t="s">
        <v>20</v>
      </c>
      <c r="B20">
        <v>1.01</v>
      </c>
      <c r="E20" t="s">
        <v>98</v>
      </c>
      <c r="F20" s="2">
        <f>AVERAGE(B66,B68,B74,B76)</f>
        <v>0.90249999999999997</v>
      </c>
    </row>
    <row r="21" spans="1:6" x14ac:dyDescent="0.25">
      <c r="A21" s="1" t="s">
        <v>21</v>
      </c>
      <c r="B21">
        <v>1.01</v>
      </c>
      <c r="E21" t="s">
        <v>99</v>
      </c>
      <c r="F21" s="2">
        <f>AVERAGE(B53,B57,B61,B69)</f>
        <v>1.0625</v>
      </c>
    </row>
    <row r="22" spans="1:6" x14ac:dyDescent="0.25">
      <c r="A22" s="1" t="s">
        <v>22</v>
      </c>
      <c r="B22">
        <v>1.01</v>
      </c>
      <c r="E22" t="s">
        <v>100</v>
      </c>
      <c r="F22" s="2">
        <f>AVERAGE(B54,B58,B62,B70)</f>
        <v>0.36</v>
      </c>
    </row>
    <row r="23" spans="1:6" x14ac:dyDescent="0.25">
      <c r="A23" s="1" t="s">
        <v>23</v>
      </c>
      <c r="B23">
        <v>1.02</v>
      </c>
      <c r="E23" t="s">
        <v>101</v>
      </c>
      <c r="F23" s="2">
        <f>AVERAGE(B55,B59,B63,B71)</f>
        <v>0.99750000000000005</v>
      </c>
    </row>
    <row r="24" spans="1:6" x14ac:dyDescent="0.25">
      <c r="A24" s="1" t="s">
        <v>24</v>
      </c>
      <c r="B24">
        <v>1</v>
      </c>
      <c r="E24" t="s">
        <v>102</v>
      </c>
      <c r="F24" s="2">
        <f>AVERAGE(B56,B60,B64,B72)</f>
        <v>0.81500000000000006</v>
      </c>
    </row>
    <row r="25" spans="1:6" x14ac:dyDescent="0.25">
      <c r="A25" s="1" t="s">
        <v>25</v>
      </c>
      <c r="B25">
        <v>1</v>
      </c>
    </row>
    <row r="26" spans="1:6" x14ac:dyDescent="0.25">
      <c r="A26" s="1" t="s">
        <v>26</v>
      </c>
      <c r="B26">
        <v>1</v>
      </c>
    </row>
    <row r="27" spans="1:6" x14ac:dyDescent="0.25">
      <c r="A27" s="1" t="s">
        <v>27</v>
      </c>
      <c r="B27">
        <v>1</v>
      </c>
    </row>
    <row r="28" spans="1:6" x14ac:dyDescent="0.25">
      <c r="A28" s="1" t="s">
        <v>28</v>
      </c>
      <c r="B28">
        <v>1</v>
      </c>
    </row>
    <row r="29" spans="1:6" x14ac:dyDescent="0.25">
      <c r="A29" s="1" t="s">
        <v>29</v>
      </c>
      <c r="B29">
        <v>1</v>
      </c>
    </row>
    <row r="30" spans="1:6" x14ac:dyDescent="0.25">
      <c r="A30" s="1" t="s">
        <v>30</v>
      </c>
      <c r="B30">
        <v>1</v>
      </c>
    </row>
    <row r="31" spans="1:6" x14ac:dyDescent="0.25">
      <c r="A31" s="1" t="s">
        <v>31</v>
      </c>
      <c r="B31">
        <v>1</v>
      </c>
    </row>
    <row r="32" spans="1:6" x14ac:dyDescent="0.25">
      <c r="A32" s="1" t="s">
        <v>32</v>
      </c>
      <c r="B32">
        <v>1.01</v>
      </c>
    </row>
    <row r="33" spans="1:2" x14ac:dyDescent="0.25">
      <c r="A33" s="1" t="s">
        <v>33</v>
      </c>
      <c r="B33">
        <v>1.01</v>
      </c>
    </row>
    <row r="34" spans="1:2" x14ac:dyDescent="0.25">
      <c r="A34" s="1" t="s">
        <v>34</v>
      </c>
      <c r="B34">
        <v>1.01</v>
      </c>
    </row>
    <row r="35" spans="1:2" x14ac:dyDescent="0.25">
      <c r="A35" s="1" t="s">
        <v>35</v>
      </c>
      <c r="B35">
        <v>1.02</v>
      </c>
    </row>
    <row r="36" spans="1:2" x14ac:dyDescent="0.25">
      <c r="A36" s="1" t="s">
        <v>36</v>
      </c>
      <c r="B36">
        <v>1</v>
      </c>
    </row>
    <row r="37" spans="1:2" x14ac:dyDescent="0.25">
      <c r="A37" s="1" t="s">
        <v>37</v>
      </c>
      <c r="B37">
        <v>1</v>
      </c>
    </row>
    <row r="38" spans="1:2" x14ac:dyDescent="0.25">
      <c r="A38" s="1" t="s">
        <v>38</v>
      </c>
      <c r="B38">
        <v>1</v>
      </c>
    </row>
    <row r="39" spans="1:2" x14ac:dyDescent="0.25">
      <c r="A39" s="1" t="s">
        <v>39</v>
      </c>
      <c r="B39">
        <v>1</v>
      </c>
    </row>
    <row r="40" spans="1:2" x14ac:dyDescent="0.25">
      <c r="A40" s="1" t="s">
        <v>40</v>
      </c>
      <c r="B40">
        <v>1</v>
      </c>
    </row>
    <row r="41" spans="1:2" x14ac:dyDescent="0.25">
      <c r="A41" s="1" t="s">
        <v>41</v>
      </c>
      <c r="B41">
        <v>1</v>
      </c>
    </row>
    <row r="42" spans="1:2" x14ac:dyDescent="0.25">
      <c r="A42" s="1" t="s">
        <v>42</v>
      </c>
      <c r="B42">
        <v>1</v>
      </c>
    </row>
    <row r="43" spans="1:2" x14ac:dyDescent="0.25">
      <c r="A43" s="1" t="s">
        <v>43</v>
      </c>
      <c r="B43">
        <v>1</v>
      </c>
    </row>
    <row r="44" spans="1:2" x14ac:dyDescent="0.25">
      <c r="A44" s="1" t="s">
        <v>44</v>
      </c>
      <c r="B44">
        <v>1</v>
      </c>
    </row>
    <row r="45" spans="1:2" x14ac:dyDescent="0.25">
      <c r="A45" s="1" t="s">
        <v>45</v>
      </c>
      <c r="B45">
        <v>1</v>
      </c>
    </row>
    <row r="46" spans="1:2" x14ac:dyDescent="0.25">
      <c r="A46" s="1" t="s">
        <v>46</v>
      </c>
      <c r="B46">
        <v>1</v>
      </c>
    </row>
    <row r="47" spans="1:2" x14ac:dyDescent="0.25">
      <c r="A47" s="1" t="s">
        <v>47</v>
      </c>
      <c r="B47">
        <v>1</v>
      </c>
    </row>
    <row r="48" spans="1:2" x14ac:dyDescent="0.25">
      <c r="A48" s="1" t="s">
        <v>48</v>
      </c>
      <c r="B48">
        <v>1</v>
      </c>
    </row>
    <row r="49" spans="1:2" x14ac:dyDescent="0.25">
      <c r="A49" s="1" t="s">
        <v>49</v>
      </c>
      <c r="B49">
        <v>1</v>
      </c>
    </row>
    <row r="50" spans="1:2" x14ac:dyDescent="0.25">
      <c r="A50" s="1" t="s">
        <v>50</v>
      </c>
      <c r="B50">
        <v>0.99</v>
      </c>
    </row>
    <row r="51" spans="1:2" x14ac:dyDescent="0.25">
      <c r="A51" s="1" t="s">
        <v>51</v>
      </c>
      <c r="B51">
        <v>0.99</v>
      </c>
    </row>
    <row r="52" spans="1:2" x14ac:dyDescent="0.25">
      <c r="A52" s="1" t="s">
        <v>52</v>
      </c>
      <c r="B52">
        <v>0.65</v>
      </c>
    </row>
    <row r="53" spans="1:2" x14ac:dyDescent="0.25">
      <c r="A53" s="1" t="s">
        <v>53</v>
      </c>
      <c r="B53">
        <v>1.05</v>
      </c>
    </row>
    <row r="54" spans="1:2" x14ac:dyDescent="0.25">
      <c r="A54" s="1" t="s">
        <v>54</v>
      </c>
      <c r="B54">
        <v>0.36</v>
      </c>
    </row>
    <row r="55" spans="1:2" x14ac:dyDescent="0.25">
      <c r="A55" s="1" t="s">
        <v>55</v>
      </c>
      <c r="B55">
        <v>0.98</v>
      </c>
    </row>
    <row r="56" spans="1:2" x14ac:dyDescent="0.25">
      <c r="A56" s="1" t="s">
        <v>56</v>
      </c>
      <c r="B56">
        <v>0.65</v>
      </c>
    </row>
    <row r="57" spans="1:2" x14ac:dyDescent="0.25">
      <c r="A57" s="1" t="s">
        <v>57</v>
      </c>
      <c r="B57">
        <v>1.1000000000000001</v>
      </c>
    </row>
    <row r="58" spans="1:2" x14ac:dyDescent="0.25">
      <c r="A58" s="1" t="s">
        <v>58</v>
      </c>
      <c r="B58">
        <v>0.36</v>
      </c>
    </row>
    <row r="59" spans="1:2" x14ac:dyDescent="0.25">
      <c r="A59" s="1" t="s">
        <v>59</v>
      </c>
      <c r="B59">
        <v>0.99</v>
      </c>
    </row>
    <row r="60" spans="1:2" x14ac:dyDescent="0.25">
      <c r="A60" s="1" t="s">
        <v>60</v>
      </c>
      <c r="B60">
        <v>0.65</v>
      </c>
    </row>
    <row r="61" spans="1:2" x14ac:dyDescent="0.25">
      <c r="A61" s="1" t="s">
        <v>61</v>
      </c>
      <c r="B61">
        <v>1.05</v>
      </c>
    </row>
    <row r="62" spans="1:2" x14ac:dyDescent="0.25">
      <c r="A62" s="1" t="s">
        <v>62</v>
      </c>
      <c r="B62">
        <v>0.36</v>
      </c>
    </row>
    <row r="63" spans="1:2" x14ac:dyDescent="0.25">
      <c r="A63" s="1" t="s">
        <v>63</v>
      </c>
      <c r="B63">
        <v>1.01</v>
      </c>
    </row>
    <row r="64" spans="1:2" x14ac:dyDescent="0.25">
      <c r="A64" s="1" t="s">
        <v>64</v>
      </c>
      <c r="B64">
        <v>0.98</v>
      </c>
    </row>
    <row r="65" spans="1:2" x14ac:dyDescent="0.25">
      <c r="A65" s="1" t="s">
        <v>65</v>
      </c>
      <c r="B65">
        <v>0.99</v>
      </c>
    </row>
    <row r="66" spans="1:2" x14ac:dyDescent="0.25">
      <c r="A66" s="1" t="s">
        <v>66</v>
      </c>
      <c r="B66">
        <v>0.98</v>
      </c>
    </row>
    <row r="67" spans="1:2" x14ac:dyDescent="0.25">
      <c r="A67" s="1" t="s">
        <v>67</v>
      </c>
      <c r="B67">
        <v>0.99</v>
      </c>
    </row>
    <row r="68" spans="1:2" x14ac:dyDescent="0.25">
      <c r="A68" s="1" t="s">
        <v>68</v>
      </c>
      <c r="B68">
        <v>0.65</v>
      </c>
    </row>
    <row r="69" spans="1:2" x14ac:dyDescent="0.25">
      <c r="A69" s="1" t="s">
        <v>69</v>
      </c>
      <c r="B69">
        <v>1.05</v>
      </c>
    </row>
    <row r="70" spans="1:2" x14ac:dyDescent="0.25">
      <c r="A70" s="1" t="s">
        <v>70</v>
      </c>
      <c r="B70">
        <v>0.36</v>
      </c>
    </row>
    <row r="71" spans="1:2" x14ac:dyDescent="0.25">
      <c r="A71" s="1" t="s">
        <v>71</v>
      </c>
      <c r="B71">
        <v>1.01</v>
      </c>
    </row>
    <row r="72" spans="1:2" x14ac:dyDescent="0.25">
      <c r="A72" s="1" t="s">
        <v>72</v>
      </c>
      <c r="B72">
        <v>0.98</v>
      </c>
    </row>
    <row r="73" spans="1:2" x14ac:dyDescent="0.25">
      <c r="A73" s="1" t="s">
        <v>73</v>
      </c>
      <c r="B73">
        <v>0.99</v>
      </c>
    </row>
    <row r="74" spans="1:2" x14ac:dyDescent="0.25">
      <c r="A74" s="1" t="s">
        <v>74</v>
      </c>
      <c r="B74">
        <v>0.98</v>
      </c>
    </row>
    <row r="75" spans="1:2" x14ac:dyDescent="0.25">
      <c r="A75" s="1" t="s">
        <v>75</v>
      </c>
      <c r="B75">
        <v>0.99</v>
      </c>
    </row>
    <row r="76" spans="1:2" x14ac:dyDescent="0.25">
      <c r="A76" s="1" t="s">
        <v>76</v>
      </c>
      <c r="B76">
        <v>1</v>
      </c>
    </row>
    <row r="77" spans="1:2" x14ac:dyDescent="0.25">
      <c r="A77" s="1" t="s">
        <v>77</v>
      </c>
      <c r="B77">
        <v>1</v>
      </c>
    </row>
    <row r="78" spans="1:2" x14ac:dyDescent="0.25">
      <c r="A78" s="1" t="s">
        <v>78</v>
      </c>
      <c r="B78">
        <v>1</v>
      </c>
    </row>
    <row r="79" spans="1:2" x14ac:dyDescent="0.25">
      <c r="A79" s="1" t="s">
        <v>79</v>
      </c>
      <c r="B79">
        <v>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94CB3A-4B64-4E2A-80C8-6D8AFAF5F69A}">
  <dimension ref="A1:F79"/>
  <sheetViews>
    <sheetView topLeftCell="A22" workbookViewId="0">
      <selection activeCell="F41" sqref="F41"/>
    </sheetView>
  </sheetViews>
  <sheetFormatPr defaultRowHeight="15" x14ac:dyDescent="0.25"/>
  <cols>
    <col min="1" max="1" width="44.7109375" bestFit="1" customWidth="1"/>
    <col min="2" max="2" width="12" bestFit="1" customWidth="1"/>
    <col min="5" max="5" width="25.140625" bestFit="1" customWidth="1"/>
    <col min="6" max="6" width="32.57031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 t="s">
        <v>2</v>
      </c>
      <c r="B2">
        <v>1</v>
      </c>
    </row>
    <row r="3" spans="1:2" x14ac:dyDescent="0.25">
      <c r="A3" s="1" t="s">
        <v>3</v>
      </c>
      <c r="B3">
        <v>1</v>
      </c>
    </row>
    <row r="4" spans="1:2" x14ac:dyDescent="0.25">
      <c r="A4" s="1" t="s">
        <v>4</v>
      </c>
      <c r="B4">
        <v>1</v>
      </c>
    </row>
    <row r="5" spans="1:2" x14ac:dyDescent="0.25">
      <c r="A5" s="1" t="s">
        <v>5</v>
      </c>
      <c r="B5">
        <v>1</v>
      </c>
    </row>
    <row r="6" spans="1:2" x14ac:dyDescent="0.25">
      <c r="A6" s="1" t="s">
        <v>6</v>
      </c>
      <c r="B6">
        <v>1</v>
      </c>
    </row>
    <row r="7" spans="1:2" x14ac:dyDescent="0.25">
      <c r="A7" s="1" t="s">
        <v>7</v>
      </c>
      <c r="B7">
        <v>1</v>
      </c>
    </row>
    <row r="8" spans="1:2" x14ac:dyDescent="0.25">
      <c r="A8" s="1" t="s">
        <v>8</v>
      </c>
      <c r="B8">
        <v>1.02</v>
      </c>
    </row>
    <row r="9" spans="1:2" x14ac:dyDescent="0.25">
      <c r="A9" s="1" t="s">
        <v>9</v>
      </c>
      <c r="B9">
        <v>1</v>
      </c>
    </row>
    <row r="10" spans="1:2" x14ac:dyDescent="0.25">
      <c r="A10" s="1" t="s">
        <v>10</v>
      </c>
      <c r="B10">
        <v>1</v>
      </c>
    </row>
    <row r="11" spans="1:2" x14ac:dyDescent="0.25">
      <c r="A11" s="1" t="s">
        <v>11</v>
      </c>
      <c r="B11">
        <v>1.01</v>
      </c>
    </row>
    <row r="12" spans="1:2" x14ac:dyDescent="0.25">
      <c r="A12" s="1" t="s">
        <v>12</v>
      </c>
      <c r="B12">
        <v>1</v>
      </c>
    </row>
    <row r="13" spans="1:2" x14ac:dyDescent="0.25">
      <c r="A13" s="1" t="s">
        <v>13</v>
      </c>
      <c r="B13">
        <v>1</v>
      </c>
    </row>
    <row r="14" spans="1:2" x14ac:dyDescent="0.25">
      <c r="A14" s="1" t="s">
        <v>14</v>
      </c>
      <c r="B14">
        <v>1</v>
      </c>
    </row>
    <row r="15" spans="1:2" x14ac:dyDescent="0.25">
      <c r="A15" s="1" t="s">
        <v>15</v>
      </c>
      <c r="B15">
        <v>1</v>
      </c>
    </row>
    <row r="16" spans="1:2" x14ac:dyDescent="0.25">
      <c r="A16" s="1" t="s">
        <v>16</v>
      </c>
      <c r="B16">
        <v>1.02</v>
      </c>
    </row>
    <row r="17" spans="1:6" x14ac:dyDescent="0.25">
      <c r="A17" s="1" t="s">
        <v>17</v>
      </c>
      <c r="B17">
        <v>1.01</v>
      </c>
    </row>
    <row r="18" spans="1:6" x14ac:dyDescent="0.25">
      <c r="A18" s="1" t="s">
        <v>18</v>
      </c>
      <c r="B18">
        <v>1.01</v>
      </c>
    </row>
    <row r="19" spans="1:6" x14ac:dyDescent="0.25">
      <c r="A19" s="1" t="s">
        <v>19</v>
      </c>
      <c r="B19">
        <v>1.01</v>
      </c>
    </row>
    <row r="20" spans="1:6" x14ac:dyDescent="0.25">
      <c r="A20" s="1" t="s">
        <v>20</v>
      </c>
      <c r="B20">
        <v>1.02</v>
      </c>
    </row>
    <row r="21" spans="1:6" x14ac:dyDescent="0.25">
      <c r="A21" s="1" t="s">
        <v>21</v>
      </c>
      <c r="B21">
        <v>1.02</v>
      </c>
    </row>
    <row r="22" spans="1:6" x14ac:dyDescent="0.25">
      <c r="A22" s="1" t="s">
        <v>22</v>
      </c>
      <c r="B22">
        <v>1.02</v>
      </c>
      <c r="E22" s="3" t="s">
        <v>0</v>
      </c>
      <c r="F22" s="3" t="s">
        <v>104</v>
      </c>
    </row>
    <row r="23" spans="1:6" x14ac:dyDescent="0.25">
      <c r="A23" s="1" t="s">
        <v>23</v>
      </c>
      <c r="B23">
        <v>1.02</v>
      </c>
      <c r="E23" t="s">
        <v>81</v>
      </c>
      <c r="F23" s="2">
        <f>B23</f>
        <v>1.02</v>
      </c>
    </row>
    <row r="24" spans="1:6" x14ac:dyDescent="0.25">
      <c r="A24" s="1" t="s">
        <v>24</v>
      </c>
      <c r="B24">
        <v>1</v>
      </c>
      <c r="E24" t="s">
        <v>82</v>
      </c>
      <c r="F24" s="2">
        <f>B24</f>
        <v>1</v>
      </c>
    </row>
    <row r="25" spans="1:6" x14ac:dyDescent="0.25">
      <c r="A25" s="1" t="s">
        <v>25</v>
      </c>
      <c r="B25">
        <v>1</v>
      </c>
      <c r="E25" t="s">
        <v>87</v>
      </c>
      <c r="F25" s="2">
        <f t="shared" ref="F25:F32" si="0">B65</f>
        <v>0.61</v>
      </c>
    </row>
    <row r="26" spans="1:6" x14ac:dyDescent="0.25">
      <c r="A26" s="1" t="s">
        <v>26</v>
      </c>
      <c r="B26">
        <v>1</v>
      </c>
      <c r="E26" t="s">
        <v>88</v>
      </c>
      <c r="F26" s="2">
        <f t="shared" si="0"/>
        <v>0.61</v>
      </c>
    </row>
    <row r="27" spans="1:6" x14ac:dyDescent="0.25">
      <c r="A27" s="1" t="s">
        <v>27</v>
      </c>
      <c r="B27">
        <v>1</v>
      </c>
      <c r="E27" t="s">
        <v>89</v>
      </c>
      <c r="F27" s="2">
        <f t="shared" si="0"/>
        <v>0.61</v>
      </c>
    </row>
    <row r="28" spans="1:6" x14ac:dyDescent="0.25">
      <c r="A28" s="1" t="s">
        <v>28</v>
      </c>
      <c r="B28">
        <v>1</v>
      </c>
      <c r="E28" t="s">
        <v>90</v>
      </c>
      <c r="F28" s="2">
        <f t="shared" si="0"/>
        <v>0.85</v>
      </c>
    </row>
    <row r="29" spans="1:6" x14ac:dyDescent="0.25">
      <c r="A29" s="1" t="s">
        <v>29</v>
      </c>
      <c r="B29">
        <v>1</v>
      </c>
      <c r="E29" t="s">
        <v>91</v>
      </c>
      <c r="F29" s="2">
        <f t="shared" si="0"/>
        <v>0.77</v>
      </c>
    </row>
    <row r="30" spans="1:6" x14ac:dyDescent="0.25">
      <c r="A30" s="1" t="s">
        <v>30</v>
      </c>
      <c r="B30">
        <v>1</v>
      </c>
      <c r="E30" t="s">
        <v>92</v>
      </c>
      <c r="F30" s="2">
        <f t="shared" si="0"/>
        <v>0.57999999999999996</v>
      </c>
    </row>
    <row r="31" spans="1:6" x14ac:dyDescent="0.25">
      <c r="A31" s="1" t="s">
        <v>31</v>
      </c>
      <c r="B31">
        <v>1</v>
      </c>
      <c r="E31" t="s">
        <v>93</v>
      </c>
      <c r="F31" s="2">
        <f t="shared" si="0"/>
        <v>1</v>
      </c>
    </row>
    <row r="32" spans="1:6" x14ac:dyDescent="0.25">
      <c r="A32" s="1" t="s">
        <v>32</v>
      </c>
      <c r="B32">
        <v>1.02</v>
      </c>
      <c r="E32" t="s">
        <v>94</v>
      </c>
      <c r="F32" s="2">
        <f t="shared" si="0"/>
        <v>0.61</v>
      </c>
    </row>
    <row r="33" spans="1:6" x14ac:dyDescent="0.25">
      <c r="A33" s="1" t="s">
        <v>33</v>
      </c>
      <c r="B33">
        <v>1.02</v>
      </c>
      <c r="E33" t="s">
        <v>95</v>
      </c>
      <c r="F33" s="2">
        <f>B33</f>
        <v>1.02</v>
      </c>
    </row>
    <row r="34" spans="1:6" x14ac:dyDescent="0.25">
      <c r="A34" s="1" t="s">
        <v>34</v>
      </c>
      <c r="B34">
        <v>1.02</v>
      </c>
      <c r="E34" t="s">
        <v>96</v>
      </c>
      <c r="F34" s="2">
        <f>B25</f>
        <v>1</v>
      </c>
    </row>
    <row r="35" spans="1:6" x14ac:dyDescent="0.25">
      <c r="A35" s="1" t="s">
        <v>35</v>
      </c>
      <c r="B35">
        <v>1.02</v>
      </c>
      <c r="E35" t="s">
        <v>83</v>
      </c>
      <c r="F35" s="2">
        <f>AVERAGE(B29,B37,B41,B45,B49,B53,B57,B61)</f>
        <v>0.91374999999999984</v>
      </c>
    </row>
    <row r="36" spans="1:6" x14ac:dyDescent="0.25">
      <c r="A36" s="1" t="s">
        <v>36</v>
      </c>
      <c r="B36">
        <v>1</v>
      </c>
      <c r="E36" t="s">
        <v>84</v>
      </c>
      <c r="F36" s="2">
        <f>AVERAGE(B30,B38,B42,B46,B50,B54,B58,B62)</f>
        <v>0.84250000000000003</v>
      </c>
    </row>
    <row r="37" spans="1:6" x14ac:dyDescent="0.25">
      <c r="A37" s="1" t="s">
        <v>37</v>
      </c>
      <c r="B37">
        <v>1</v>
      </c>
      <c r="E37" t="s">
        <v>85</v>
      </c>
      <c r="F37" s="2">
        <f>AVERAGE(B31,B39,B43,B47,B51,B55,B59,B63)</f>
        <v>1</v>
      </c>
    </row>
    <row r="38" spans="1:6" x14ac:dyDescent="0.25">
      <c r="A38" s="1" t="s">
        <v>38</v>
      </c>
      <c r="B38">
        <v>1</v>
      </c>
      <c r="E38" t="s">
        <v>86</v>
      </c>
      <c r="F38" s="2">
        <f>AVERAGE(B32,B40,B44,B48,B52,B56,B60,B64)</f>
        <v>0.77249999999999996</v>
      </c>
    </row>
    <row r="39" spans="1:6" x14ac:dyDescent="0.25">
      <c r="A39" s="1" t="s">
        <v>39</v>
      </c>
      <c r="B39">
        <v>1</v>
      </c>
      <c r="E39" t="s">
        <v>97</v>
      </c>
      <c r="F39" s="2">
        <v>1</v>
      </c>
    </row>
    <row r="40" spans="1:6" x14ac:dyDescent="0.25">
      <c r="A40" s="1" t="s">
        <v>40</v>
      </c>
      <c r="B40">
        <v>1</v>
      </c>
      <c r="E40" t="s">
        <v>98</v>
      </c>
      <c r="F40" s="2">
        <v>1</v>
      </c>
    </row>
    <row r="41" spans="1:6" x14ac:dyDescent="0.25">
      <c r="A41" s="1" t="s">
        <v>41</v>
      </c>
      <c r="B41">
        <v>1</v>
      </c>
      <c r="E41" t="s">
        <v>99</v>
      </c>
      <c r="F41" s="2">
        <f>AVERAGE(B73,B77,B81,B89)</f>
        <v>0.8</v>
      </c>
    </row>
    <row r="42" spans="1:6" x14ac:dyDescent="0.25">
      <c r="A42" s="1" t="s">
        <v>42</v>
      </c>
      <c r="B42">
        <v>1</v>
      </c>
      <c r="E42" t="s">
        <v>100</v>
      </c>
      <c r="F42" s="2">
        <f>AVERAGE(B74,B78,B82,B90)</f>
        <v>0.80499999999999994</v>
      </c>
    </row>
    <row r="43" spans="1:6" x14ac:dyDescent="0.25">
      <c r="A43" s="1" t="s">
        <v>43</v>
      </c>
      <c r="B43">
        <v>1</v>
      </c>
      <c r="E43" t="s">
        <v>101</v>
      </c>
      <c r="F43" s="2">
        <f>AVERAGE(B75,B79,B83,B91)</f>
        <v>0.80499999999999994</v>
      </c>
    </row>
    <row r="44" spans="1:6" x14ac:dyDescent="0.25">
      <c r="A44" s="1" t="s">
        <v>44</v>
      </c>
      <c r="B44">
        <v>0</v>
      </c>
      <c r="E44" t="s">
        <v>102</v>
      </c>
      <c r="F44" s="2">
        <f>AVERAGE(B76,B80,B84,B92)</f>
        <v>1</v>
      </c>
    </row>
    <row r="45" spans="1:6" x14ac:dyDescent="0.25">
      <c r="A45" s="1" t="s">
        <v>45</v>
      </c>
      <c r="B45">
        <v>1</v>
      </c>
    </row>
    <row r="46" spans="1:6" x14ac:dyDescent="0.25">
      <c r="A46" s="1" t="s">
        <v>46</v>
      </c>
      <c r="B46">
        <v>1</v>
      </c>
    </row>
    <row r="47" spans="1:6" x14ac:dyDescent="0.25">
      <c r="A47" s="1" t="s">
        <v>47</v>
      </c>
      <c r="B47">
        <v>1</v>
      </c>
    </row>
    <row r="48" spans="1:6" x14ac:dyDescent="0.25">
      <c r="A48" s="1" t="s">
        <v>48</v>
      </c>
      <c r="B48">
        <v>1</v>
      </c>
    </row>
    <row r="49" spans="1:2" x14ac:dyDescent="0.25">
      <c r="A49" s="1" t="s">
        <v>49</v>
      </c>
      <c r="B49">
        <v>1</v>
      </c>
    </row>
    <row r="50" spans="1:2" x14ac:dyDescent="0.25">
      <c r="A50" s="1" t="s">
        <v>50</v>
      </c>
      <c r="B50">
        <v>1</v>
      </c>
    </row>
    <row r="51" spans="1:2" x14ac:dyDescent="0.25">
      <c r="A51" s="1" t="s">
        <v>51</v>
      </c>
      <c r="B51">
        <v>1</v>
      </c>
    </row>
    <row r="52" spans="1:2" x14ac:dyDescent="0.25">
      <c r="A52" s="1" t="s">
        <v>52</v>
      </c>
      <c r="B52">
        <v>0.85</v>
      </c>
    </row>
    <row r="53" spans="1:2" x14ac:dyDescent="0.25">
      <c r="A53" s="1" t="s">
        <v>53</v>
      </c>
      <c r="B53">
        <v>0.77</v>
      </c>
    </row>
    <row r="54" spans="1:2" x14ac:dyDescent="0.25">
      <c r="A54" s="1" t="s">
        <v>54</v>
      </c>
      <c r="B54">
        <v>0.57999999999999996</v>
      </c>
    </row>
    <row r="55" spans="1:2" x14ac:dyDescent="0.25">
      <c r="A55" s="1" t="s">
        <v>55</v>
      </c>
      <c r="B55">
        <v>1</v>
      </c>
    </row>
    <row r="56" spans="1:2" x14ac:dyDescent="0.25">
      <c r="A56" s="1" t="s">
        <v>56</v>
      </c>
      <c r="B56">
        <v>0.85</v>
      </c>
    </row>
    <row r="57" spans="1:2" x14ac:dyDescent="0.25">
      <c r="A57" s="1" t="s">
        <v>57</v>
      </c>
      <c r="B57">
        <v>0.77</v>
      </c>
    </row>
    <row r="58" spans="1:2" x14ac:dyDescent="0.25">
      <c r="A58" s="1" t="s">
        <v>58</v>
      </c>
      <c r="B58">
        <v>0.57999999999999996</v>
      </c>
    </row>
    <row r="59" spans="1:2" x14ac:dyDescent="0.25">
      <c r="A59" s="1" t="s">
        <v>59</v>
      </c>
      <c r="B59">
        <v>1</v>
      </c>
    </row>
    <row r="60" spans="1:2" x14ac:dyDescent="0.25">
      <c r="A60" s="1" t="s">
        <v>60</v>
      </c>
      <c r="B60">
        <v>0.85</v>
      </c>
    </row>
    <row r="61" spans="1:2" x14ac:dyDescent="0.25">
      <c r="A61" s="1" t="s">
        <v>61</v>
      </c>
      <c r="B61">
        <v>0.77</v>
      </c>
    </row>
    <row r="62" spans="1:2" x14ac:dyDescent="0.25">
      <c r="A62" s="1" t="s">
        <v>62</v>
      </c>
      <c r="B62">
        <v>0.57999999999999996</v>
      </c>
    </row>
    <row r="63" spans="1:2" x14ac:dyDescent="0.25">
      <c r="A63" s="1" t="s">
        <v>63</v>
      </c>
      <c r="B63">
        <v>1</v>
      </c>
    </row>
    <row r="64" spans="1:2" x14ac:dyDescent="0.25">
      <c r="A64" s="1" t="s">
        <v>64</v>
      </c>
      <c r="B64">
        <v>0.61</v>
      </c>
    </row>
    <row r="65" spans="1:2" x14ac:dyDescent="0.25">
      <c r="A65" s="1" t="s">
        <v>65</v>
      </c>
      <c r="B65">
        <v>0.61</v>
      </c>
    </row>
    <row r="66" spans="1:2" x14ac:dyDescent="0.25">
      <c r="A66" s="1" t="s">
        <v>66</v>
      </c>
      <c r="B66">
        <v>0.61</v>
      </c>
    </row>
    <row r="67" spans="1:2" x14ac:dyDescent="0.25">
      <c r="A67" s="1" t="s">
        <v>67</v>
      </c>
      <c r="B67">
        <v>0.61</v>
      </c>
    </row>
    <row r="68" spans="1:2" x14ac:dyDescent="0.25">
      <c r="A68" s="1" t="s">
        <v>68</v>
      </c>
      <c r="B68">
        <v>0.85</v>
      </c>
    </row>
    <row r="69" spans="1:2" x14ac:dyDescent="0.25">
      <c r="A69" s="1" t="s">
        <v>69</v>
      </c>
      <c r="B69">
        <v>0.77</v>
      </c>
    </row>
    <row r="70" spans="1:2" x14ac:dyDescent="0.25">
      <c r="A70" s="1" t="s">
        <v>70</v>
      </c>
      <c r="B70">
        <v>0.57999999999999996</v>
      </c>
    </row>
    <row r="71" spans="1:2" x14ac:dyDescent="0.25">
      <c r="A71" s="1" t="s">
        <v>71</v>
      </c>
      <c r="B71">
        <v>1</v>
      </c>
    </row>
    <row r="72" spans="1:2" x14ac:dyDescent="0.25">
      <c r="A72" s="1" t="s">
        <v>72</v>
      </c>
      <c r="B72">
        <v>0.61</v>
      </c>
    </row>
    <row r="73" spans="1:2" x14ac:dyDescent="0.25">
      <c r="A73" s="1" t="s">
        <v>73</v>
      </c>
      <c r="B73">
        <v>0.6</v>
      </c>
    </row>
    <row r="74" spans="1:2" x14ac:dyDescent="0.25">
      <c r="A74" s="1" t="s">
        <v>74</v>
      </c>
      <c r="B74">
        <v>0.61</v>
      </c>
    </row>
    <row r="75" spans="1:2" x14ac:dyDescent="0.25">
      <c r="A75" s="1" t="s">
        <v>75</v>
      </c>
      <c r="B75">
        <v>0.61</v>
      </c>
    </row>
    <row r="76" spans="1:2" x14ac:dyDescent="0.25">
      <c r="A76" s="1" t="s">
        <v>76</v>
      </c>
      <c r="B76">
        <v>1</v>
      </c>
    </row>
    <row r="77" spans="1:2" x14ac:dyDescent="0.25">
      <c r="A77" s="1" t="s">
        <v>77</v>
      </c>
      <c r="B77">
        <v>1</v>
      </c>
    </row>
    <row r="78" spans="1:2" x14ac:dyDescent="0.25">
      <c r="A78" s="1" t="s">
        <v>78</v>
      </c>
      <c r="B78">
        <v>1</v>
      </c>
    </row>
    <row r="79" spans="1:2" x14ac:dyDescent="0.25">
      <c r="A79" s="1" t="s">
        <v>79</v>
      </c>
      <c r="B79">
        <v>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44F59-B4C9-4DEC-9ACF-803B20550754}">
  <dimension ref="A1:F79"/>
  <sheetViews>
    <sheetView workbookViewId="0">
      <selection activeCell="F4" sqref="F4"/>
    </sheetView>
  </sheetViews>
  <sheetFormatPr defaultRowHeight="15" x14ac:dyDescent="0.25"/>
  <cols>
    <col min="1" max="1" width="44.7109375" bestFit="1" customWidth="1"/>
    <col min="2" max="2" width="7.85546875" bestFit="1" customWidth="1"/>
    <col min="5" max="5" width="25.140625" bestFit="1" customWidth="1"/>
    <col min="6" max="6" width="32.5703125" bestFit="1" customWidth="1"/>
  </cols>
  <sheetData>
    <row r="1" spans="1:6" x14ac:dyDescent="0.25">
      <c r="A1" t="s">
        <v>0</v>
      </c>
      <c r="B1" t="s">
        <v>1</v>
      </c>
      <c r="E1" s="3" t="s">
        <v>0</v>
      </c>
      <c r="F1" s="3" t="s">
        <v>104</v>
      </c>
    </row>
    <row r="2" spans="1:6" x14ac:dyDescent="0.25">
      <c r="A2" s="1" t="s">
        <v>2</v>
      </c>
      <c r="B2">
        <v>1.01</v>
      </c>
      <c r="E2" t="s">
        <v>81</v>
      </c>
      <c r="F2" s="2">
        <f>B2</f>
        <v>1.01</v>
      </c>
    </row>
    <row r="3" spans="1:6" x14ac:dyDescent="0.25">
      <c r="A3" s="1" t="s">
        <v>3</v>
      </c>
      <c r="B3">
        <v>1.01</v>
      </c>
      <c r="E3" t="s">
        <v>82</v>
      </c>
      <c r="F3" s="2">
        <f>B3</f>
        <v>1.01</v>
      </c>
    </row>
    <row r="4" spans="1:6" x14ac:dyDescent="0.25">
      <c r="A4" s="1" t="s">
        <v>4</v>
      </c>
      <c r="B4">
        <v>1</v>
      </c>
      <c r="E4" t="s">
        <v>87</v>
      </c>
      <c r="F4" s="2">
        <f t="shared" ref="F4:F11" si="0">B44</f>
        <v>1.01</v>
      </c>
    </row>
    <row r="5" spans="1:6" x14ac:dyDescent="0.25">
      <c r="A5" s="1" t="s">
        <v>5</v>
      </c>
      <c r="B5">
        <v>1</v>
      </c>
      <c r="E5" t="s">
        <v>88</v>
      </c>
      <c r="F5" s="2">
        <f t="shared" si="0"/>
        <v>1.01</v>
      </c>
    </row>
    <row r="6" spans="1:6" x14ac:dyDescent="0.25">
      <c r="A6" s="1" t="s">
        <v>6</v>
      </c>
      <c r="B6">
        <v>1</v>
      </c>
      <c r="E6" t="s">
        <v>89</v>
      </c>
      <c r="F6" s="2">
        <f t="shared" si="0"/>
        <v>1.01</v>
      </c>
    </row>
    <row r="7" spans="1:6" x14ac:dyDescent="0.25">
      <c r="A7" s="1" t="s">
        <v>7</v>
      </c>
      <c r="B7">
        <v>1</v>
      </c>
      <c r="E7" t="s">
        <v>90</v>
      </c>
      <c r="F7" s="2">
        <f t="shared" si="0"/>
        <v>1.01</v>
      </c>
    </row>
    <row r="8" spans="1:6" x14ac:dyDescent="0.25">
      <c r="A8" s="1" t="s">
        <v>8</v>
      </c>
      <c r="B8">
        <v>1.05</v>
      </c>
      <c r="E8" t="s">
        <v>91</v>
      </c>
      <c r="F8" s="2">
        <f t="shared" si="0"/>
        <v>1.01</v>
      </c>
    </row>
    <row r="9" spans="1:6" x14ac:dyDescent="0.25">
      <c r="A9" s="1" t="s">
        <v>9</v>
      </c>
      <c r="B9">
        <v>1.05</v>
      </c>
      <c r="E9" t="s">
        <v>92</v>
      </c>
      <c r="F9" s="2">
        <f t="shared" si="0"/>
        <v>1.01</v>
      </c>
    </row>
    <row r="10" spans="1:6" x14ac:dyDescent="0.25">
      <c r="A10" s="1" t="s">
        <v>10</v>
      </c>
      <c r="B10">
        <v>1.05</v>
      </c>
      <c r="E10" t="s">
        <v>93</v>
      </c>
      <c r="F10" s="2">
        <f t="shared" si="0"/>
        <v>1.01</v>
      </c>
    </row>
    <row r="11" spans="1:6" x14ac:dyDescent="0.25">
      <c r="A11" s="1" t="s">
        <v>11</v>
      </c>
      <c r="B11">
        <v>1.05</v>
      </c>
      <c r="E11" t="s">
        <v>94</v>
      </c>
      <c r="F11" s="2">
        <f t="shared" si="0"/>
        <v>1.01</v>
      </c>
    </row>
    <row r="12" spans="1:6" x14ac:dyDescent="0.25">
      <c r="A12" s="1" t="s">
        <v>12</v>
      </c>
      <c r="B12">
        <v>1</v>
      </c>
      <c r="E12" t="s">
        <v>109</v>
      </c>
      <c r="F12" s="2">
        <f>B12</f>
        <v>1</v>
      </c>
    </row>
    <row r="13" spans="1:6" x14ac:dyDescent="0.25">
      <c r="A13" s="1" t="s">
        <v>13</v>
      </c>
      <c r="B13">
        <v>1</v>
      </c>
      <c r="E13" t="s">
        <v>95</v>
      </c>
      <c r="F13" s="2">
        <f>B4</f>
        <v>1</v>
      </c>
    </row>
    <row r="14" spans="1:6" x14ac:dyDescent="0.25">
      <c r="A14" s="1" t="s">
        <v>14</v>
      </c>
      <c r="B14">
        <v>1</v>
      </c>
      <c r="E14" t="s">
        <v>83</v>
      </c>
      <c r="F14" s="2">
        <f>AVERAGE(B8,B16,B20,B24,B28,B32,B36,B40)</f>
        <v>1.0249999999999999</v>
      </c>
    </row>
    <row r="15" spans="1:6" x14ac:dyDescent="0.25">
      <c r="A15" s="1" t="s">
        <v>15</v>
      </c>
      <c r="B15">
        <v>1</v>
      </c>
      <c r="E15" t="s">
        <v>84</v>
      </c>
      <c r="F15" s="2">
        <f>AVERAGE(B9,B17,B21,B25,B29,B33,B37,B41)</f>
        <v>1.0262500000000001</v>
      </c>
    </row>
    <row r="16" spans="1:6" x14ac:dyDescent="0.25">
      <c r="A16" s="1" t="s">
        <v>16</v>
      </c>
      <c r="B16">
        <v>1.05</v>
      </c>
      <c r="E16" t="s">
        <v>85</v>
      </c>
      <c r="F16" s="2">
        <f>AVERAGE(B10,B18,B22,B26,B30,B34,B38,B42)</f>
        <v>1.0262500000000001</v>
      </c>
    </row>
    <row r="17" spans="1:6" x14ac:dyDescent="0.25">
      <c r="A17" s="1" t="s">
        <v>17</v>
      </c>
      <c r="B17">
        <v>1.05</v>
      </c>
      <c r="E17" t="s">
        <v>86</v>
      </c>
      <c r="F17" s="2">
        <f>AVERAGE(B11,B19,B23,B27,B31,B35,B39,B43)</f>
        <v>1.0262500000000001</v>
      </c>
    </row>
    <row r="18" spans="1:6" x14ac:dyDescent="0.25">
      <c r="A18" s="1" t="s">
        <v>18</v>
      </c>
      <c r="B18">
        <v>1.05</v>
      </c>
      <c r="E18" t="s">
        <v>97</v>
      </c>
      <c r="F18" s="2">
        <f>AVERAGE(B64,B66,B72,B74)</f>
        <v>0.99</v>
      </c>
    </row>
    <row r="19" spans="1:6" x14ac:dyDescent="0.25">
      <c r="A19" s="1" t="s">
        <v>19</v>
      </c>
      <c r="B19">
        <v>1.05</v>
      </c>
      <c r="E19" t="s">
        <v>98</v>
      </c>
      <c r="F19" s="2">
        <f>AVERAGE(B65,B67,B73,B75)</f>
        <v>1</v>
      </c>
    </row>
    <row r="20" spans="1:6" x14ac:dyDescent="0.25">
      <c r="A20" s="1" t="s">
        <v>20</v>
      </c>
      <c r="B20">
        <v>1.05</v>
      </c>
      <c r="E20" t="s">
        <v>99</v>
      </c>
      <c r="F20" s="2">
        <f>AVERAGE(B52,B56,B60,B68)</f>
        <v>1.29</v>
      </c>
    </row>
    <row r="21" spans="1:6" x14ac:dyDescent="0.25">
      <c r="A21" s="1" t="s">
        <v>21</v>
      </c>
      <c r="B21">
        <v>1.05</v>
      </c>
      <c r="E21" t="s">
        <v>100</v>
      </c>
      <c r="F21" s="2">
        <f>AVERAGE(B53,B57,B61,B69)</f>
        <v>1.29</v>
      </c>
    </row>
    <row r="22" spans="1:6" x14ac:dyDescent="0.25">
      <c r="A22" s="1" t="s">
        <v>22</v>
      </c>
      <c r="B22">
        <v>1.05</v>
      </c>
      <c r="E22" t="s">
        <v>101</v>
      </c>
      <c r="F22" s="2">
        <f>AVERAGE(B54,B58,B62,B70)</f>
        <v>0.88</v>
      </c>
    </row>
    <row r="23" spans="1:6" x14ac:dyDescent="0.25">
      <c r="A23" s="1" t="s">
        <v>23</v>
      </c>
      <c r="B23">
        <v>1.05</v>
      </c>
      <c r="E23" t="s">
        <v>102</v>
      </c>
      <c r="F23" s="2">
        <f>AVERAGE(B55,B59,B63,B71)</f>
        <v>1.0525000000000002</v>
      </c>
    </row>
    <row r="24" spans="1:6" x14ac:dyDescent="0.25">
      <c r="A24" s="1" t="s">
        <v>24</v>
      </c>
      <c r="B24">
        <v>1</v>
      </c>
    </row>
    <row r="25" spans="1:6" x14ac:dyDescent="0.25">
      <c r="A25" s="1" t="s">
        <v>25</v>
      </c>
      <c r="B25">
        <v>1</v>
      </c>
    </row>
    <row r="26" spans="1:6" x14ac:dyDescent="0.25">
      <c r="A26" s="1" t="s">
        <v>26</v>
      </c>
      <c r="B26">
        <v>1</v>
      </c>
    </row>
    <row r="27" spans="1:6" x14ac:dyDescent="0.25">
      <c r="A27" s="1" t="s">
        <v>27</v>
      </c>
      <c r="B27">
        <v>1</v>
      </c>
    </row>
    <row r="28" spans="1:6" x14ac:dyDescent="0.25">
      <c r="A28" s="1" t="s">
        <v>28</v>
      </c>
      <c r="B28">
        <v>1</v>
      </c>
    </row>
    <row r="29" spans="1:6" x14ac:dyDescent="0.25">
      <c r="A29" s="1" t="s">
        <v>29</v>
      </c>
      <c r="B29">
        <v>1</v>
      </c>
    </row>
    <row r="30" spans="1:6" x14ac:dyDescent="0.25">
      <c r="A30" s="1" t="s">
        <v>30</v>
      </c>
      <c r="B30">
        <v>1</v>
      </c>
    </row>
    <row r="31" spans="1:6" x14ac:dyDescent="0.25">
      <c r="A31" s="1" t="s">
        <v>31</v>
      </c>
      <c r="B31">
        <v>1</v>
      </c>
    </row>
    <row r="32" spans="1:6" x14ac:dyDescent="0.25">
      <c r="A32" s="1" t="s">
        <v>32</v>
      </c>
      <c r="B32">
        <v>1.05</v>
      </c>
    </row>
    <row r="33" spans="1:2" x14ac:dyDescent="0.25">
      <c r="A33" s="1" t="s">
        <v>33</v>
      </c>
      <c r="B33">
        <v>1.06</v>
      </c>
    </row>
    <row r="34" spans="1:2" x14ac:dyDescent="0.25">
      <c r="A34" s="1" t="s">
        <v>34</v>
      </c>
      <c r="B34">
        <v>1.06</v>
      </c>
    </row>
    <row r="35" spans="1:2" x14ac:dyDescent="0.25">
      <c r="A35" s="1" t="s">
        <v>35</v>
      </c>
      <c r="B35">
        <v>1.06</v>
      </c>
    </row>
    <row r="36" spans="1:2" x14ac:dyDescent="0.25">
      <c r="A36" s="1" t="s">
        <v>36</v>
      </c>
      <c r="B36">
        <v>1</v>
      </c>
    </row>
    <row r="37" spans="1:2" x14ac:dyDescent="0.25">
      <c r="A37" s="1" t="s">
        <v>37</v>
      </c>
      <c r="B37">
        <v>1</v>
      </c>
    </row>
    <row r="38" spans="1:2" x14ac:dyDescent="0.25">
      <c r="A38" s="1" t="s">
        <v>38</v>
      </c>
      <c r="B38">
        <v>1</v>
      </c>
    </row>
    <row r="39" spans="1:2" x14ac:dyDescent="0.25">
      <c r="A39" s="1" t="s">
        <v>39</v>
      </c>
      <c r="B39">
        <v>1</v>
      </c>
    </row>
    <row r="40" spans="1:2" x14ac:dyDescent="0.25">
      <c r="A40" s="1" t="s">
        <v>40</v>
      </c>
      <c r="B40">
        <v>1</v>
      </c>
    </row>
    <row r="41" spans="1:2" x14ac:dyDescent="0.25">
      <c r="A41" s="1" t="s">
        <v>41</v>
      </c>
      <c r="B41">
        <v>1</v>
      </c>
    </row>
    <row r="42" spans="1:2" x14ac:dyDescent="0.25">
      <c r="A42" s="1" t="s">
        <v>42</v>
      </c>
      <c r="B42">
        <v>1</v>
      </c>
    </row>
    <row r="43" spans="1:2" x14ac:dyDescent="0.25">
      <c r="A43" s="1" t="s">
        <v>43</v>
      </c>
      <c r="B43">
        <v>1</v>
      </c>
    </row>
    <row r="44" spans="1:2" x14ac:dyDescent="0.25">
      <c r="A44" s="1" t="s">
        <v>44</v>
      </c>
      <c r="B44">
        <v>1.01</v>
      </c>
    </row>
    <row r="45" spans="1:2" x14ac:dyDescent="0.25">
      <c r="A45" s="1" t="s">
        <v>45</v>
      </c>
      <c r="B45">
        <v>1.01</v>
      </c>
    </row>
    <row r="46" spans="1:2" x14ac:dyDescent="0.25">
      <c r="A46" s="1" t="s">
        <v>46</v>
      </c>
      <c r="B46">
        <v>1.01</v>
      </c>
    </row>
    <row r="47" spans="1:2" x14ac:dyDescent="0.25">
      <c r="A47" s="1" t="s">
        <v>47</v>
      </c>
      <c r="B47">
        <v>1.01</v>
      </c>
    </row>
    <row r="48" spans="1:2" x14ac:dyDescent="0.25">
      <c r="A48" s="1" t="s">
        <v>48</v>
      </c>
      <c r="B48">
        <v>1.01</v>
      </c>
    </row>
    <row r="49" spans="1:2" x14ac:dyDescent="0.25">
      <c r="A49" s="1" t="s">
        <v>49</v>
      </c>
      <c r="B49">
        <v>1.01</v>
      </c>
    </row>
    <row r="50" spans="1:2" x14ac:dyDescent="0.25">
      <c r="A50" s="1" t="s">
        <v>50</v>
      </c>
      <c r="B50">
        <v>1.01</v>
      </c>
    </row>
    <row r="51" spans="1:2" x14ac:dyDescent="0.25">
      <c r="A51" s="1" t="s">
        <v>51</v>
      </c>
      <c r="B51">
        <v>1.01</v>
      </c>
    </row>
    <row r="52" spans="1:2" x14ac:dyDescent="0.25">
      <c r="A52" s="1" t="s">
        <v>52</v>
      </c>
      <c r="B52">
        <v>1.29</v>
      </c>
    </row>
    <row r="53" spans="1:2" x14ac:dyDescent="0.25">
      <c r="A53" s="1" t="s">
        <v>53</v>
      </c>
      <c r="B53">
        <v>1.29</v>
      </c>
    </row>
    <row r="54" spans="1:2" x14ac:dyDescent="0.25">
      <c r="A54" s="1" t="s">
        <v>54</v>
      </c>
      <c r="B54">
        <v>0.88</v>
      </c>
    </row>
    <row r="55" spans="1:2" x14ac:dyDescent="0.25">
      <c r="A55" s="1" t="s">
        <v>55</v>
      </c>
      <c r="B55">
        <v>1.05</v>
      </c>
    </row>
    <row r="56" spans="1:2" x14ac:dyDescent="0.25">
      <c r="A56" s="1" t="s">
        <v>56</v>
      </c>
      <c r="B56">
        <v>1.29</v>
      </c>
    </row>
    <row r="57" spans="1:2" x14ac:dyDescent="0.25">
      <c r="A57" s="1" t="s">
        <v>57</v>
      </c>
      <c r="B57">
        <v>1.29</v>
      </c>
    </row>
    <row r="58" spans="1:2" x14ac:dyDescent="0.25">
      <c r="A58" s="1" t="s">
        <v>58</v>
      </c>
      <c r="B58">
        <v>0.88</v>
      </c>
    </row>
    <row r="59" spans="1:2" x14ac:dyDescent="0.25">
      <c r="A59" s="1" t="s">
        <v>59</v>
      </c>
      <c r="B59">
        <v>1.05</v>
      </c>
    </row>
    <row r="60" spans="1:2" x14ac:dyDescent="0.25">
      <c r="A60" s="1" t="s">
        <v>60</v>
      </c>
      <c r="B60">
        <v>1.29</v>
      </c>
    </row>
    <row r="61" spans="1:2" x14ac:dyDescent="0.25">
      <c r="A61" s="1" t="s">
        <v>61</v>
      </c>
      <c r="B61">
        <v>1.29</v>
      </c>
    </row>
    <row r="62" spans="1:2" x14ac:dyDescent="0.25">
      <c r="A62" s="1" t="s">
        <v>62</v>
      </c>
      <c r="B62">
        <v>0.88</v>
      </c>
    </row>
    <row r="63" spans="1:2" x14ac:dyDescent="0.25">
      <c r="A63" s="1" t="s">
        <v>63</v>
      </c>
      <c r="B63">
        <v>1.05</v>
      </c>
    </row>
    <row r="64" spans="1:2" x14ac:dyDescent="0.25">
      <c r="A64" s="1" t="s">
        <v>64</v>
      </c>
      <c r="B64">
        <v>0.99</v>
      </c>
    </row>
    <row r="65" spans="1:2" x14ac:dyDescent="0.25">
      <c r="A65" s="1" t="s">
        <v>65</v>
      </c>
      <c r="B65">
        <v>1</v>
      </c>
    </row>
    <row r="66" spans="1:2" x14ac:dyDescent="0.25">
      <c r="A66" s="1" t="s">
        <v>66</v>
      </c>
      <c r="B66">
        <v>0.99</v>
      </c>
    </row>
    <row r="67" spans="1:2" x14ac:dyDescent="0.25">
      <c r="A67" s="1" t="s">
        <v>67</v>
      </c>
      <c r="B67">
        <v>1</v>
      </c>
    </row>
    <row r="68" spans="1:2" x14ac:dyDescent="0.25">
      <c r="A68" s="1" t="s">
        <v>68</v>
      </c>
      <c r="B68">
        <v>1.29</v>
      </c>
    </row>
    <row r="69" spans="1:2" x14ac:dyDescent="0.25">
      <c r="A69" s="1" t="s">
        <v>69</v>
      </c>
      <c r="B69">
        <v>1.29</v>
      </c>
    </row>
    <row r="70" spans="1:2" x14ac:dyDescent="0.25">
      <c r="A70" s="1" t="s">
        <v>70</v>
      </c>
      <c r="B70">
        <v>0.88</v>
      </c>
    </row>
    <row r="71" spans="1:2" x14ac:dyDescent="0.25">
      <c r="A71" s="1" t="s">
        <v>71</v>
      </c>
      <c r="B71">
        <v>1.06</v>
      </c>
    </row>
    <row r="72" spans="1:2" x14ac:dyDescent="0.25">
      <c r="A72" s="1" t="s">
        <v>72</v>
      </c>
      <c r="B72">
        <v>0.99</v>
      </c>
    </row>
    <row r="73" spans="1:2" x14ac:dyDescent="0.25">
      <c r="A73" s="1" t="s">
        <v>73</v>
      </c>
      <c r="B73">
        <v>1</v>
      </c>
    </row>
    <row r="74" spans="1:2" x14ac:dyDescent="0.25">
      <c r="A74" s="1" t="s">
        <v>74</v>
      </c>
      <c r="B74">
        <v>0.99</v>
      </c>
    </row>
    <row r="75" spans="1:2" x14ac:dyDescent="0.25">
      <c r="A75" s="1" t="s">
        <v>75</v>
      </c>
      <c r="B75">
        <v>1</v>
      </c>
    </row>
    <row r="76" spans="1:2" x14ac:dyDescent="0.25">
      <c r="A76" s="1" t="s">
        <v>76</v>
      </c>
      <c r="B76">
        <v>1</v>
      </c>
    </row>
    <row r="77" spans="1:2" x14ac:dyDescent="0.25">
      <c r="A77" s="1" t="s">
        <v>77</v>
      </c>
      <c r="B77">
        <v>1</v>
      </c>
    </row>
    <row r="78" spans="1:2" x14ac:dyDescent="0.25">
      <c r="A78" s="1" t="s">
        <v>78</v>
      </c>
      <c r="B78">
        <v>1</v>
      </c>
    </row>
    <row r="79" spans="1:2" x14ac:dyDescent="0.25">
      <c r="A79" s="1" t="s">
        <v>79</v>
      </c>
      <c r="B79">
        <v>1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CA85C-C386-42DE-948D-E4118222E972}">
  <dimension ref="A1:F79"/>
  <sheetViews>
    <sheetView workbookViewId="0">
      <selection activeCell="E12" sqref="E12:E13"/>
    </sheetView>
  </sheetViews>
  <sheetFormatPr defaultRowHeight="15" x14ac:dyDescent="0.25"/>
  <cols>
    <col min="1" max="1" width="44.7109375" bestFit="1" customWidth="1"/>
    <col min="2" max="2" width="7.85546875" bestFit="1" customWidth="1"/>
    <col min="5" max="5" width="25.140625" bestFit="1" customWidth="1"/>
    <col min="6" max="6" width="32.5703125" bestFit="1" customWidth="1"/>
  </cols>
  <sheetData>
    <row r="1" spans="1:6" x14ac:dyDescent="0.25">
      <c r="A1" t="s">
        <v>0</v>
      </c>
      <c r="B1" t="s">
        <v>1</v>
      </c>
      <c r="E1" s="3" t="s">
        <v>0</v>
      </c>
      <c r="F1" s="3" t="s">
        <v>104</v>
      </c>
    </row>
    <row r="2" spans="1:6" x14ac:dyDescent="0.25">
      <c r="A2" s="1" t="s">
        <v>2</v>
      </c>
      <c r="B2">
        <v>0.98</v>
      </c>
      <c r="E2" t="s">
        <v>81</v>
      </c>
      <c r="F2" s="2">
        <f>B2</f>
        <v>0.98</v>
      </c>
    </row>
    <row r="3" spans="1:6" x14ac:dyDescent="0.25">
      <c r="A3" s="1" t="s">
        <v>3</v>
      </c>
      <c r="B3">
        <v>0.98</v>
      </c>
      <c r="E3" t="s">
        <v>82</v>
      </c>
      <c r="F3" s="2">
        <f>B3</f>
        <v>0.98</v>
      </c>
    </row>
    <row r="4" spans="1:6" x14ac:dyDescent="0.25">
      <c r="A4" s="1" t="s">
        <v>4</v>
      </c>
      <c r="B4">
        <v>1</v>
      </c>
      <c r="E4" t="s">
        <v>87</v>
      </c>
      <c r="F4" s="2">
        <f t="shared" ref="F4:F11" si="0">B44</f>
        <v>0.98</v>
      </c>
    </row>
    <row r="5" spans="1:6" x14ac:dyDescent="0.25">
      <c r="A5" s="1" t="s">
        <v>5</v>
      </c>
      <c r="B5">
        <v>1</v>
      </c>
      <c r="E5" t="s">
        <v>88</v>
      </c>
      <c r="F5" s="2">
        <f t="shared" si="0"/>
        <v>0.98</v>
      </c>
    </row>
    <row r="6" spans="1:6" x14ac:dyDescent="0.25">
      <c r="A6" s="1" t="s">
        <v>6</v>
      </c>
      <c r="B6">
        <v>1</v>
      </c>
      <c r="E6" t="s">
        <v>89</v>
      </c>
      <c r="F6" s="2">
        <f t="shared" si="0"/>
        <v>0.98</v>
      </c>
    </row>
    <row r="7" spans="1:6" x14ac:dyDescent="0.25">
      <c r="A7" s="1" t="s">
        <v>7</v>
      </c>
      <c r="B7">
        <v>1</v>
      </c>
      <c r="E7" t="s">
        <v>90</v>
      </c>
      <c r="F7" s="2">
        <f t="shared" si="0"/>
        <v>0.98</v>
      </c>
    </row>
    <row r="8" spans="1:6" x14ac:dyDescent="0.25">
      <c r="A8" s="1" t="s">
        <v>8</v>
      </c>
      <c r="B8">
        <v>1.08</v>
      </c>
      <c r="E8" t="s">
        <v>91</v>
      </c>
      <c r="F8" s="2">
        <f t="shared" si="0"/>
        <v>0.98</v>
      </c>
    </row>
    <row r="9" spans="1:6" x14ac:dyDescent="0.25">
      <c r="A9" s="1" t="s">
        <v>9</v>
      </c>
      <c r="B9">
        <v>1.07</v>
      </c>
      <c r="E9" t="s">
        <v>92</v>
      </c>
      <c r="F9" s="2">
        <f t="shared" si="0"/>
        <v>0.98</v>
      </c>
    </row>
    <row r="10" spans="1:6" x14ac:dyDescent="0.25">
      <c r="A10" s="1" t="s">
        <v>10</v>
      </c>
      <c r="B10">
        <v>1.07</v>
      </c>
      <c r="E10" t="s">
        <v>93</v>
      </c>
      <c r="F10" s="2">
        <f t="shared" si="0"/>
        <v>0.98</v>
      </c>
    </row>
    <row r="11" spans="1:6" x14ac:dyDescent="0.25">
      <c r="A11" s="1" t="s">
        <v>11</v>
      </c>
      <c r="B11">
        <v>1.07</v>
      </c>
      <c r="E11" t="s">
        <v>94</v>
      </c>
      <c r="F11" s="2">
        <f t="shared" si="0"/>
        <v>0.98</v>
      </c>
    </row>
    <row r="12" spans="1:6" x14ac:dyDescent="0.25">
      <c r="A12" s="1" t="s">
        <v>12</v>
      </c>
      <c r="B12">
        <v>1</v>
      </c>
      <c r="E12" t="s">
        <v>109</v>
      </c>
      <c r="F12" s="2">
        <f>B12</f>
        <v>1</v>
      </c>
    </row>
    <row r="13" spans="1:6" x14ac:dyDescent="0.25">
      <c r="A13" s="1" t="s">
        <v>13</v>
      </c>
      <c r="B13">
        <v>1</v>
      </c>
      <c r="E13" t="s">
        <v>95</v>
      </c>
      <c r="F13" s="2">
        <f>B4</f>
        <v>1</v>
      </c>
    </row>
    <row r="14" spans="1:6" x14ac:dyDescent="0.25">
      <c r="A14" s="1" t="s">
        <v>14</v>
      </c>
      <c r="B14">
        <v>1</v>
      </c>
      <c r="E14" t="s">
        <v>83</v>
      </c>
      <c r="F14" s="2">
        <f>AVERAGE(B8,B16,B20,B24,B28,B32,B36,B40)</f>
        <v>1.0225</v>
      </c>
    </row>
    <row r="15" spans="1:6" x14ac:dyDescent="0.25">
      <c r="A15" s="1" t="s">
        <v>15</v>
      </c>
      <c r="B15">
        <v>1</v>
      </c>
      <c r="E15" t="s">
        <v>84</v>
      </c>
      <c r="F15" s="2">
        <f>AVERAGE(B9,B17,B21,B25,B29,B33,B37,B41)</f>
        <v>1.02125</v>
      </c>
    </row>
    <row r="16" spans="1:6" x14ac:dyDescent="0.25">
      <c r="A16" s="1" t="s">
        <v>16</v>
      </c>
      <c r="B16">
        <v>1.06</v>
      </c>
      <c r="E16" t="s">
        <v>85</v>
      </c>
      <c r="F16" s="2">
        <f>AVERAGE(B10,B18,B22,B26,B30,B34,B38,B42)</f>
        <v>1.02125</v>
      </c>
    </row>
    <row r="17" spans="1:6" x14ac:dyDescent="0.25">
      <c r="A17" s="1" t="s">
        <v>17</v>
      </c>
      <c r="B17">
        <v>1.06</v>
      </c>
      <c r="E17" t="s">
        <v>86</v>
      </c>
      <c r="F17" s="2">
        <f>AVERAGE(B11,B19,B23,B27,B31,B35,B39,B43)</f>
        <v>1.02125</v>
      </c>
    </row>
    <row r="18" spans="1:6" x14ac:dyDescent="0.25">
      <c r="A18" s="1" t="s">
        <v>18</v>
      </c>
      <c r="B18">
        <v>1.06</v>
      </c>
      <c r="E18" t="s">
        <v>97</v>
      </c>
      <c r="F18" s="2">
        <f>AVERAGE(B64,B66,B72,B74)</f>
        <v>0.94</v>
      </c>
    </row>
    <row r="19" spans="1:6" x14ac:dyDescent="0.25">
      <c r="A19" s="1" t="s">
        <v>19</v>
      </c>
      <c r="B19">
        <v>1.06</v>
      </c>
      <c r="E19" t="s">
        <v>98</v>
      </c>
      <c r="F19" s="2">
        <f>AVERAGE(B65,B67,B73,B75)</f>
        <v>0.68</v>
      </c>
    </row>
    <row r="20" spans="1:6" x14ac:dyDescent="0.25">
      <c r="A20" s="1" t="s">
        <v>20</v>
      </c>
      <c r="B20">
        <v>1.08</v>
      </c>
      <c r="E20" t="s">
        <v>99</v>
      </c>
      <c r="F20" s="2">
        <f>AVERAGE(B52,B56,B60,B68)</f>
        <v>0.91</v>
      </c>
    </row>
    <row r="21" spans="1:6" x14ac:dyDescent="0.25">
      <c r="A21" s="1" t="s">
        <v>21</v>
      </c>
      <c r="B21">
        <v>1.08</v>
      </c>
      <c r="E21" t="s">
        <v>100</v>
      </c>
      <c r="F21" s="2">
        <f>AVERAGE(B53,B57,B61,B69)</f>
        <v>1.2725</v>
      </c>
    </row>
    <row r="22" spans="1:6" x14ac:dyDescent="0.25">
      <c r="A22" s="1" t="s">
        <v>22</v>
      </c>
      <c r="B22">
        <v>1.08</v>
      </c>
      <c r="E22" t="s">
        <v>101</v>
      </c>
      <c r="F22" s="2">
        <f>AVERAGE(B54,B58,B62,B70)</f>
        <v>0.57999999999999996</v>
      </c>
    </row>
    <row r="23" spans="1:6" x14ac:dyDescent="0.25">
      <c r="A23" s="1" t="s">
        <v>23</v>
      </c>
      <c r="B23">
        <v>1.08</v>
      </c>
      <c r="E23" t="s">
        <v>102</v>
      </c>
      <c r="F23" s="2">
        <f>AVERAGE(B55,B59,B63,B71)</f>
        <v>1.0725</v>
      </c>
    </row>
    <row r="24" spans="1:6" x14ac:dyDescent="0.25">
      <c r="A24" s="1" t="s">
        <v>24</v>
      </c>
      <c r="B24">
        <v>0.97</v>
      </c>
    </row>
    <row r="25" spans="1:6" x14ac:dyDescent="0.25">
      <c r="A25" s="1" t="s">
        <v>25</v>
      </c>
      <c r="B25">
        <v>0.97</v>
      </c>
    </row>
    <row r="26" spans="1:6" x14ac:dyDescent="0.25">
      <c r="A26" s="1" t="s">
        <v>26</v>
      </c>
      <c r="B26">
        <v>0.97</v>
      </c>
    </row>
    <row r="27" spans="1:6" x14ac:dyDescent="0.25">
      <c r="A27" s="1" t="s">
        <v>27</v>
      </c>
      <c r="B27">
        <v>0.97</v>
      </c>
    </row>
    <row r="28" spans="1:6" x14ac:dyDescent="0.25">
      <c r="A28" s="1" t="s">
        <v>28</v>
      </c>
      <c r="B28">
        <v>0.97</v>
      </c>
    </row>
    <row r="29" spans="1:6" x14ac:dyDescent="0.25">
      <c r="A29" s="1" t="s">
        <v>29</v>
      </c>
      <c r="B29">
        <v>0.97</v>
      </c>
    </row>
    <row r="30" spans="1:6" x14ac:dyDescent="0.25">
      <c r="A30" s="1" t="s">
        <v>30</v>
      </c>
      <c r="B30">
        <v>0.97</v>
      </c>
    </row>
    <row r="31" spans="1:6" x14ac:dyDescent="0.25">
      <c r="A31" s="1" t="s">
        <v>31</v>
      </c>
      <c r="B31">
        <v>0.97</v>
      </c>
    </row>
    <row r="32" spans="1:6" x14ac:dyDescent="0.25">
      <c r="A32" s="1" t="s">
        <v>32</v>
      </c>
      <c r="B32">
        <v>1.08</v>
      </c>
    </row>
    <row r="33" spans="1:2" x14ac:dyDescent="0.25">
      <c r="A33" s="1" t="s">
        <v>33</v>
      </c>
      <c r="B33">
        <v>1.08</v>
      </c>
    </row>
    <row r="34" spans="1:2" x14ac:dyDescent="0.25">
      <c r="A34" s="1" t="s">
        <v>34</v>
      </c>
      <c r="B34">
        <v>1.08</v>
      </c>
    </row>
    <row r="35" spans="1:2" x14ac:dyDescent="0.25">
      <c r="A35" s="1" t="s">
        <v>35</v>
      </c>
      <c r="B35">
        <v>1.08</v>
      </c>
    </row>
    <row r="36" spans="1:2" x14ac:dyDescent="0.25">
      <c r="A36" s="1" t="s">
        <v>36</v>
      </c>
      <c r="B36">
        <v>0.97</v>
      </c>
    </row>
    <row r="37" spans="1:2" x14ac:dyDescent="0.25">
      <c r="A37" s="1" t="s">
        <v>37</v>
      </c>
      <c r="B37">
        <v>0.97</v>
      </c>
    </row>
    <row r="38" spans="1:2" x14ac:dyDescent="0.25">
      <c r="A38" s="1" t="s">
        <v>38</v>
      </c>
      <c r="B38">
        <v>0.97</v>
      </c>
    </row>
    <row r="39" spans="1:2" x14ac:dyDescent="0.25">
      <c r="A39" s="1" t="s">
        <v>39</v>
      </c>
      <c r="B39">
        <v>0.97</v>
      </c>
    </row>
    <row r="40" spans="1:2" x14ac:dyDescent="0.25">
      <c r="A40" s="1" t="s">
        <v>40</v>
      </c>
      <c r="B40">
        <v>0.97</v>
      </c>
    </row>
    <row r="41" spans="1:2" x14ac:dyDescent="0.25">
      <c r="A41" s="1" t="s">
        <v>41</v>
      </c>
      <c r="B41">
        <v>0.97</v>
      </c>
    </row>
    <row r="42" spans="1:2" x14ac:dyDescent="0.25">
      <c r="A42" s="1" t="s">
        <v>42</v>
      </c>
      <c r="B42">
        <v>0.97</v>
      </c>
    </row>
    <row r="43" spans="1:2" x14ac:dyDescent="0.25">
      <c r="A43" s="1" t="s">
        <v>43</v>
      </c>
      <c r="B43">
        <v>0.97</v>
      </c>
    </row>
    <row r="44" spans="1:2" x14ac:dyDescent="0.25">
      <c r="A44" s="1" t="s">
        <v>44</v>
      </c>
      <c r="B44">
        <v>0.98</v>
      </c>
    </row>
    <row r="45" spans="1:2" x14ac:dyDescent="0.25">
      <c r="A45" s="1" t="s">
        <v>45</v>
      </c>
      <c r="B45">
        <v>0.98</v>
      </c>
    </row>
    <row r="46" spans="1:2" x14ac:dyDescent="0.25">
      <c r="A46" s="1" t="s">
        <v>46</v>
      </c>
      <c r="B46">
        <v>0.98</v>
      </c>
    </row>
    <row r="47" spans="1:2" x14ac:dyDescent="0.25">
      <c r="A47" s="1" t="s">
        <v>47</v>
      </c>
      <c r="B47">
        <v>0.98</v>
      </c>
    </row>
    <row r="48" spans="1:2" x14ac:dyDescent="0.25">
      <c r="A48" s="1" t="s">
        <v>48</v>
      </c>
      <c r="B48">
        <v>0.98</v>
      </c>
    </row>
    <row r="49" spans="1:2" x14ac:dyDescent="0.25">
      <c r="A49" s="1" t="s">
        <v>49</v>
      </c>
      <c r="B49">
        <v>0.98</v>
      </c>
    </row>
    <row r="50" spans="1:2" x14ac:dyDescent="0.25">
      <c r="A50" s="1" t="s">
        <v>50</v>
      </c>
      <c r="B50">
        <v>0.98</v>
      </c>
    </row>
    <row r="51" spans="1:2" x14ac:dyDescent="0.25">
      <c r="A51" s="1" t="s">
        <v>51</v>
      </c>
      <c r="B51">
        <v>0.98</v>
      </c>
    </row>
    <row r="52" spans="1:2" x14ac:dyDescent="0.25">
      <c r="A52" s="1" t="s">
        <v>52</v>
      </c>
      <c r="B52">
        <v>0.91</v>
      </c>
    </row>
    <row r="53" spans="1:2" x14ac:dyDescent="0.25">
      <c r="A53" s="1" t="s">
        <v>53</v>
      </c>
      <c r="B53">
        <v>1.26</v>
      </c>
    </row>
    <row r="54" spans="1:2" x14ac:dyDescent="0.25">
      <c r="A54" s="1" t="s">
        <v>54</v>
      </c>
      <c r="B54">
        <v>0.57999999999999996</v>
      </c>
    </row>
    <row r="55" spans="1:2" x14ac:dyDescent="0.25">
      <c r="A55" s="1" t="s">
        <v>55</v>
      </c>
      <c r="B55">
        <v>1.07</v>
      </c>
    </row>
    <row r="56" spans="1:2" x14ac:dyDescent="0.25">
      <c r="A56" s="1" t="s">
        <v>56</v>
      </c>
      <c r="B56">
        <v>0.91</v>
      </c>
    </row>
    <row r="57" spans="1:2" x14ac:dyDescent="0.25">
      <c r="A57" s="1" t="s">
        <v>57</v>
      </c>
      <c r="B57">
        <v>1.31</v>
      </c>
    </row>
    <row r="58" spans="1:2" x14ac:dyDescent="0.25">
      <c r="A58" s="1" t="s">
        <v>58</v>
      </c>
      <c r="B58">
        <v>0.57999999999999996</v>
      </c>
    </row>
    <row r="59" spans="1:2" x14ac:dyDescent="0.25">
      <c r="A59" s="1" t="s">
        <v>59</v>
      </c>
      <c r="B59">
        <v>1.06</v>
      </c>
    </row>
    <row r="60" spans="1:2" x14ac:dyDescent="0.25">
      <c r="A60" s="1" t="s">
        <v>60</v>
      </c>
      <c r="B60">
        <v>0.91</v>
      </c>
    </row>
    <row r="61" spans="1:2" x14ac:dyDescent="0.25">
      <c r="A61" s="1" t="s">
        <v>61</v>
      </c>
      <c r="B61">
        <v>1.26</v>
      </c>
    </row>
    <row r="62" spans="1:2" x14ac:dyDescent="0.25">
      <c r="A62" s="1" t="s">
        <v>62</v>
      </c>
      <c r="B62">
        <v>0.57999999999999996</v>
      </c>
    </row>
    <row r="63" spans="1:2" x14ac:dyDescent="0.25">
      <c r="A63" s="1" t="s">
        <v>63</v>
      </c>
      <c r="B63">
        <v>1.08</v>
      </c>
    </row>
    <row r="64" spans="1:2" x14ac:dyDescent="0.25">
      <c r="A64" s="1" t="s">
        <v>64</v>
      </c>
      <c r="B64">
        <v>0.94</v>
      </c>
    </row>
    <row r="65" spans="1:2" x14ac:dyDescent="0.25">
      <c r="A65" s="1" t="s">
        <v>65</v>
      </c>
      <c r="B65">
        <v>0.68</v>
      </c>
    </row>
    <row r="66" spans="1:2" x14ac:dyDescent="0.25">
      <c r="A66" s="1" t="s">
        <v>66</v>
      </c>
      <c r="B66">
        <v>0.94</v>
      </c>
    </row>
    <row r="67" spans="1:2" x14ac:dyDescent="0.25">
      <c r="A67" s="1" t="s">
        <v>67</v>
      </c>
      <c r="B67">
        <v>0.68</v>
      </c>
    </row>
    <row r="68" spans="1:2" x14ac:dyDescent="0.25">
      <c r="A68" s="1" t="s">
        <v>68</v>
      </c>
      <c r="B68">
        <v>0.91</v>
      </c>
    </row>
    <row r="69" spans="1:2" x14ac:dyDescent="0.25">
      <c r="A69" s="1" t="s">
        <v>69</v>
      </c>
      <c r="B69">
        <v>1.26</v>
      </c>
    </row>
    <row r="70" spans="1:2" x14ac:dyDescent="0.25">
      <c r="A70" s="1" t="s">
        <v>70</v>
      </c>
      <c r="B70">
        <v>0.57999999999999996</v>
      </c>
    </row>
    <row r="71" spans="1:2" x14ac:dyDescent="0.25">
      <c r="A71" s="1" t="s">
        <v>71</v>
      </c>
      <c r="B71">
        <v>1.08</v>
      </c>
    </row>
    <row r="72" spans="1:2" x14ac:dyDescent="0.25">
      <c r="A72" s="1" t="s">
        <v>72</v>
      </c>
      <c r="B72">
        <v>0.94</v>
      </c>
    </row>
    <row r="73" spans="1:2" x14ac:dyDescent="0.25">
      <c r="A73" s="1" t="s">
        <v>73</v>
      </c>
      <c r="B73">
        <v>0.68</v>
      </c>
    </row>
    <row r="74" spans="1:2" x14ac:dyDescent="0.25">
      <c r="A74" s="1" t="s">
        <v>74</v>
      </c>
      <c r="B74">
        <v>0.94</v>
      </c>
    </row>
    <row r="75" spans="1:2" x14ac:dyDescent="0.25">
      <c r="A75" s="1" t="s">
        <v>75</v>
      </c>
      <c r="B75">
        <v>0.68</v>
      </c>
    </row>
    <row r="76" spans="1:2" x14ac:dyDescent="0.25">
      <c r="A76" s="1" t="s">
        <v>76</v>
      </c>
      <c r="B76">
        <v>1</v>
      </c>
    </row>
    <row r="77" spans="1:2" x14ac:dyDescent="0.25">
      <c r="A77" s="1" t="s">
        <v>77</v>
      </c>
      <c r="B77">
        <v>1</v>
      </c>
    </row>
    <row r="78" spans="1:2" x14ac:dyDescent="0.25">
      <c r="A78" s="1" t="s">
        <v>78</v>
      </c>
      <c r="B78">
        <v>1</v>
      </c>
    </row>
    <row r="79" spans="1:2" x14ac:dyDescent="0.25">
      <c r="A79" s="1" t="s">
        <v>79</v>
      </c>
      <c r="B79">
        <v>1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44450-123B-448F-8351-65A7F4EA81C6}">
  <dimension ref="A1:F79"/>
  <sheetViews>
    <sheetView workbookViewId="0">
      <selection activeCell="E12" sqref="E12:E13"/>
    </sheetView>
  </sheetViews>
  <sheetFormatPr defaultRowHeight="15" x14ac:dyDescent="0.25"/>
  <cols>
    <col min="1" max="1" width="44.7109375" bestFit="1" customWidth="1"/>
    <col min="2" max="2" width="7.85546875" bestFit="1" customWidth="1"/>
    <col min="5" max="5" width="25.140625" bestFit="1" customWidth="1"/>
    <col min="6" max="6" width="32.5703125" bestFit="1" customWidth="1"/>
  </cols>
  <sheetData>
    <row r="1" spans="1:6" x14ac:dyDescent="0.25">
      <c r="A1" t="s">
        <v>0</v>
      </c>
      <c r="B1" t="s">
        <v>1</v>
      </c>
      <c r="E1" s="3" t="s">
        <v>0</v>
      </c>
      <c r="F1" s="3" t="s">
        <v>104</v>
      </c>
    </row>
    <row r="2" spans="1:6" x14ac:dyDescent="0.25">
      <c r="A2" s="1" t="s">
        <v>2</v>
      </c>
      <c r="B2">
        <v>1.05</v>
      </c>
      <c r="E2" t="s">
        <v>81</v>
      </c>
      <c r="F2" s="2">
        <f>B2</f>
        <v>1.05</v>
      </c>
    </row>
    <row r="3" spans="1:6" x14ac:dyDescent="0.25">
      <c r="A3" s="1" t="s">
        <v>3</v>
      </c>
      <c r="B3">
        <v>1.05</v>
      </c>
      <c r="E3" t="s">
        <v>82</v>
      </c>
      <c r="F3" s="2">
        <f>B3</f>
        <v>1.05</v>
      </c>
    </row>
    <row r="4" spans="1:6" x14ac:dyDescent="0.25">
      <c r="A4" s="1" t="s">
        <v>4</v>
      </c>
      <c r="B4">
        <v>1</v>
      </c>
      <c r="E4" t="s">
        <v>87</v>
      </c>
      <c r="F4" s="2">
        <f t="shared" ref="F4:F11" si="0">B44</f>
        <v>1.05</v>
      </c>
    </row>
    <row r="5" spans="1:6" x14ac:dyDescent="0.25">
      <c r="A5" s="1" t="s">
        <v>5</v>
      </c>
      <c r="B5">
        <v>1</v>
      </c>
      <c r="E5" t="s">
        <v>88</v>
      </c>
      <c r="F5" s="2">
        <f t="shared" si="0"/>
        <v>1.05</v>
      </c>
    </row>
    <row r="6" spans="1:6" x14ac:dyDescent="0.25">
      <c r="A6" s="1" t="s">
        <v>6</v>
      </c>
      <c r="B6">
        <v>1</v>
      </c>
      <c r="E6" t="s">
        <v>89</v>
      </c>
      <c r="F6" s="2">
        <f t="shared" si="0"/>
        <v>1.05</v>
      </c>
    </row>
    <row r="7" spans="1:6" x14ac:dyDescent="0.25">
      <c r="A7" s="1" t="s">
        <v>7</v>
      </c>
      <c r="B7">
        <v>1</v>
      </c>
      <c r="E7" t="s">
        <v>90</v>
      </c>
      <c r="F7" s="2">
        <f t="shared" si="0"/>
        <v>1.05</v>
      </c>
    </row>
    <row r="8" spans="1:6" x14ac:dyDescent="0.25">
      <c r="A8" s="1" t="s">
        <v>8</v>
      </c>
      <c r="B8">
        <v>1.03</v>
      </c>
      <c r="E8" t="s">
        <v>91</v>
      </c>
      <c r="F8" s="2">
        <f t="shared" si="0"/>
        <v>1.05</v>
      </c>
    </row>
    <row r="9" spans="1:6" x14ac:dyDescent="0.25">
      <c r="A9" s="1" t="s">
        <v>9</v>
      </c>
      <c r="B9">
        <v>0.98</v>
      </c>
      <c r="E9" t="s">
        <v>92</v>
      </c>
      <c r="F9" s="2">
        <f t="shared" si="0"/>
        <v>1.05</v>
      </c>
    </row>
    <row r="10" spans="1:6" x14ac:dyDescent="0.25">
      <c r="A10" s="1" t="s">
        <v>10</v>
      </c>
      <c r="B10">
        <v>0.99</v>
      </c>
      <c r="E10" t="s">
        <v>93</v>
      </c>
      <c r="F10" s="2">
        <f t="shared" si="0"/>
        <v>1.05</v>
      </c>
    </row>
    <row r="11" spans="1:6" x14ac:dyDescent="0.25">
      <c r="A11" s="1" t="s">
        <v>11</v>
      </c>
      <c r="B11">
        <v>1</v>
      </c>
      <c r="E11" t="s">
        <v>94</v>
      </c>
      <c r="F11" s="2">
        <f t="shared" si="0"/>
        <v>1.05</v>
      </c>
    </row>
    <row r="12" spans="1:6" x14ac:dyDescent="0.25">
      <c r="A12" s="1" t="s">
        <v>12</v>
      </c>
      <c r="B12">
        <v>1.03</v>
      </c>
      <c r="E12" t="s">
        <v>109</v>
      </c>
      <c r="F12" s="2">
        <f>B12</f>
        <v>1.03</v>
      </c>
    </row>
    <row r="13" spans="1:6" x14ac:dyDescent="0.25">
      <c r="A13" s="1" t="s">
        <v>13</v>
      </c>
      <c r="B13">
        <v>1.02</v>
      </c>
      <c r="E13" t="s">
        <v>95</v>
      </c>
      <c r="F13" s="2">
        <f>B4</f>
        <v>1</v>
      </c>
    </row>
    <row r="14" spans="1:6" x14ac:dyDescent="0.25">
      <c r="A14" s="1" t="s">
        <v>14</v>
      </c>
      <c r="B14">
        <v>1.01</v>
      </c>
      <c r="E14" t="s">
        <v>83</v>
      </c>
      <c r="F14" s="2">
        <f>AVERAGE(B8,B16,B20,B24,B28,B32,B36,B40)</f>
        <v>1.04125</v>
      </c>
    </row>
    <row r="15" spans="1:6" x14ac:dyDescent="0.25">
      <c r="A15" s="1" t="s">
        <v>15</v>
      </c>
      <c r="B15">
        <v>1.01</v>
      </c>
      <c r="E15" t="s">
        <v>84</v>
      </c>
      <c r="F15" s="2">
        <f>AVERAGE(B9,B17,B21,B25,B29,B33,B37,B41)</f>
        <v>1.03</v>
      </c>
    </row>
    <row r="16" spans="1:6" x14ac:dyDescent="0.25">
      <c r="A16" s="1" t="s">
        <v>16</v>
      </c>
      <c r="B16">
        <v>1.03</v>
      </c>
      <c r="E16" t="s">
        <v>85</v>
      </c>
      <c r="F16" s="2">
        <f>AVERAGE(B10,B18,B22,B26,B30,B34,B38,B42)</f>
        <v>1.03125</v>
      </c>
    </row>
    <row r="17" spans="1:6" x14ac:dyDescent="0.25">
      <c r="A17" s="1" t="s">
        <v>17</v>
      </c>
      <c r="B17">
        <v>1</v>
      </c>
      <c r="E17" t="s">
        <v>86</v>
      </c>
      <c r="F17" s="2">
        <f>AVERAGE(B11,B19,B23,B27,B31,B35,B39,B43)</f>
        <v>1.0337499999999999</v>
      </c>
    </row>
    <row r="18" spans="1:6" x14ac:dyDescent="0.25">
      <c r="A18" s="1" t="s">
        <v>18</v>
      </c>
      <c r="B18">
        <v>1</v>
      </c>
      <c r="E18" t="s">
        <v>97</v>
      </c>
      <c r="F18" s="2">
        <f>AVERAGE(B64,B66,B72,B74)</f>
        <v>0.91</v>
      </c>
    </row>
    <row r="19" spans="1:6" x14ac:dyDescent="0.25">
      <c r="A19" s="1" t="s">
        <v>19</v>
      </c>
      <c r="B19">
        <v>1.01</v>
      </c>
      <c r="E19" t="s">
        <v>98</v>
      </c>
      <c r="F19" s="2">
        <f>AVERAGE(B65,B67,B73,B75)</f>
        <v>0.91</v>
      </c>
    </row>
    <row r="20" spans="1:6" x14ac:dyDescent="0.25">
      <c r="A20" s="1" t="s">
        <v>20</v>
      </c>
      <c r="B20">
        <v>1.04</v>
      </c>
      <c r="E20" t="s">
        <v>99</v>
      </c>
      <c r="F20" s="2">
        <f>AVERAGE(B52,B56,B60,B68)</f>
        <v>0.71499999999999986</v>
      </c>
    </row>
    <row r="21" spans="1:6" x14ac:dyDescent="0.25">
      <c r="A21" s="1" t="s">
        <v>21</v>
      </c>
      <c r="B21">
        <v>1.03</v>
      </c>
      <c r="E21" t="s">
        <v>100</v>
      </c>
      <c r="F21" s="2">
        <f>AVERAGE(B53,B57,B61,B69)</f>
        <v>1.02</v>
      </c>
    </row>
    <row r="22" spans="1:6" x14ac:dyDescent="0.25">
      <c r="A22" s="1" t="s">
        <v>22</v>
      </c>
      <c r="B22">
        <v>1.03</v>
      </c>
      <c r="E22" t="s">
        <v>101</v>
      </c>
      <c r="F22" s="2">
        <f>AVERAGE(B54,B58,B62,B70)</f>
        <v>0.4</v>
      </c>
    </row>
    <row r="23" spans="1:6" x14ac:dyDescent="0.25">
      <c r="A23" s="1" t="s">
        <v>23</v>
      </c>
      <c r="B23">
        <v>1.03</v>
      </c>
      <c r="E23" t="s">
        <v>102</v>
      </c>
      <c r="F23" s="2">
        <f>AVERAGE(B55,B59,B63,B71)</f>
        <v>1.0125</v>
      </c>
    </row>
    <row r="24" spans="1:6" x14ac:dyDescent="0.25">
      <c r="A24" s="1" t="s">
        <v>24</v>
      </c>
      <c r="B24">
        <v>1.05</v>
      </c>
    </row>
    <row r="25" spans="1:6" x14ac:dyDescent="0.25">
      <c r="A25" s="1" t="s">
        <v>25</v>
      </c>
      <c r="B25">
        <v>1.05</v>
      </c>
    </row>
    <row r="26" spans="1:6" x14ac:dyDescent="0.25">
      <c r="A26" s="1" t="s">
        <v>26</v>
      </c>
      <c r="B26">
        <v>1.05</v>
      </c>
    </row>
    <row r="27" spans="1:6" x14ac:dyDescent="0.25">
      <c r="A27" s="1" t="s">
        <v>27</v>
      </c>
      <c r="B27">
        <v>1.05</v>
      </c>
    </row>
    <row r="28" spans="1:6" x14ac:dyDescent="0.25">
      <c r="A28" s="1" t="s">
        <v>28</v>
      </c>
      <c r="B28">
        <v>1.05</v>
      </c>
    </row>
    <row r="29" spans="1:6" x14ac:dyDescent="0.25">
      <c r="A29" s="1" t="s">
        <v>29</v>
      </c>
      <c r="B29">
        <v>1.05</v>
      </c>
    </row>
    <row r="30" spans="1:6" x14ac:dyDescent="0.25">
      <c r="A30" s="1" t="s">
        <v>30</v>
      </c>
      <c r="B30">
        <v>1.05</v>
      </c>
    </row>
    <row r="31" spans="1:6" x14ac:dyDescent="0.25">
      <c r="A31" s="1" t="s">
        <v>31</v>
      </c>
      <c r="B31">
        <v>1.05</v>
      </c>
    </row>
    <row r="32" spans="1:6" x14ac:dyDescent="0.25">
      <c r="A32" s="1" t="s">
        <v>32</v>
      </c>
      <c r="B32">
        <v>1.03</v>
      </c>
    </row>
    <row r="33" spans="1:2" x14ac:dyDescent="0.25">
      <c r="A33" s="1" t="s">
        <v>33</v>
      </c>
      <c r="B33">
        <v>1.03</v>
      </c>
    </row>
    <row r="34" spans="1:2" x14ac:dyDescent="0.25">
      <c r="A34" s="1" t="s">
        <v>34</v>
      </c>
      <c r="B34">
        <v>1.03</v>
      </c>
    </row>
    <row r="35" spans="1:2" x14ac:dyDescent="0.25">
      <c r="A35" s="1" t="s">
        <v>35</v>
      </c>
      <c r="B35">
        <v>1.03</v>
      </c>
    </row>
    <row r="36" spans="1:2" x14ac:dyDescent="0.25">
      <c r="A36" s="1" t="s">
        <v>36</v>
      </c>
      <c r="B36">
        <v>1.05</v>
      </c>
    </row>
    <row r="37" spans="1:2" x14ac:dyDescent="0.25">
      <c r="A37" s="1" t="s">
        <v>37</v>
      </c>
      <c r="B37">
        <v>1.05</v>
      </c>
    </row>
    <row r="38" spans="1:2" x14ac:dyDescent="0.25">
      <c r="A38" s="1" t="s">
        <v>38</v>
      </c>
      <c r="B38">
        <v>1.05</v>
      </c>
    </row>
    <row r="39" spans="1:2" x14ac:dyDescent="0.25">
      <c r="A39" s="1" t="s">
        <v>39</v>
      </c>
      <c r="B39">
        <v>1.05</v>
      </c>
    </row>
    <row r="40" spans="1:2" x14ac:dyDescent="0.25">
      <c r="A40" s="1" t="s">
        <v>40</v>
      </c>
      <c r="B40">
        <v>1.05</v>
      </c>
    </row>
    <row r="41" spans="1:2" x14ac:dyDescent="0.25">
      <c r="A41" s="1" t="s">
        <v>41</v>
      </c>
      <c r="B41">
        <v>1.05</v>
      </c>
    </row>
    <row r="42" spans="1:2" x14ac:dyDescent="0.25">
      <c r="A42" s="1" t="s">
        <v>42</v>
      </c>
      <c r="B42">
        <v>1.05</v>
      </c>
    </row>
    <row r="43" spans="1:2" x14ac:dyDescent="0.25">
      <c r="A43" s="1" t="s">
        <v>43</v>
      </c>
      <c r="B43">
        <v>1.05</v>
      </c>
    </row>
    <row r="44" spans="1:2" x14ac:dyDescent="0.25">
      <c r="A44" s="1" t="s">
        <v>44</v>
      </c>
      <c r="B44">
        <v>1.05</v>
      </c>
    </row>
    <row r="45" spans="1:2" x14ac:dyDescent="0.25">
      <c r="A45" s="1" t="s">
        <v>45</v>
      </c>
      <c r="B45">
        <v>1.05</v>
      </c>
    </row>
    <row r="46" spans="1:2" x14ac:dyDescent="0.25">
      <c r="A46" s="1" t="s">
        <v>46</v>
      </c>
      <c r="B46">
        <v>1.05</v>
      </c>
    </row>
    <row r="47" spans="1:2" x14ac:dyDescent="0.25">
      <c r="A47" s="1" t="s">
        <v>47</v>
      </c>
      <c r="B47">
        <v>1.05</v>
      </c>
    </row>
    <row r="48" spans="1:2" x14ac:dyDescent="0.25">
      <c r="A48" s="1" t="s">
        <v>48</v>
      </c>
      <c r="B48">
        <v>1.05</v>
      </c>
    </row>
    <row r="49" spans="1:2" x14ac:dyDescent="0.25">
      <c r="A49" s="1" t="s">
        <v>49</v>
      </c>
      <c r="B49">
        <v>1.05</v>
      </c>
    </row>
    <row r="50" spans="1:2" x14ac:dyDescent="0.25">
      <c r="A50" s="1" t="s">
        <v>50</v>
      </c>
      <c r="B50">
        <v>1.05</v>
      </c>
    </row>
    <row r="51" spans="1:2" x14ac:dyDescent="0.25">
      <c r="A51" s="1" t="s">
        <v>51</v>
      </c>
      <c r="B51">
        <v>1.05</v>
      </c>
    </row>
    <row r="52" spans="1:2" x14ac:dyDescent="0.25">
      <c r="A52" s="1" t="s">
        <v>52</v>
      </c>
      <c r="B52">
        <v>0.7</v>
      </c>
    </row>
    <row r="53" spans="1:2" x14ac:dyDescent="0.25">
      <c r="A53" s="1" t="s">
        <v>53</v>
      </c>
      <c r="B53">
        <v>1.02</v>
      </c>
    </row>
    <row r="54" spans="1:2" x14ac:dyDescent="0.25">
      <c r="A54" s="1" t="s">
        <v>54</v>
      </c>
      <c r="B54">
        <v>0.39</v>
      </c>
    </row>
    <row r="55" spans="1:2" x14ac:dyDescent="0.25">
      <c r="A55" s="1" t="s">
        <v>55</v>
      </c>
      <c r="B55">
        <v>0.98</v>
      </c>
    </row>
    <row r="56" spans="1:2" x14ac:dyDescent="0.25">
      <c r="A56" s="1" t="s">
        <v>56</v>
      </c>
      <c r="B56">
        <v>0.71</v>
      </c>
    </row>
    <row r="57" spans="1:2" x14ac:dyDescent="0.25">
      <c r="A57" s="1" t="s">
        <v>57</v>
      </c>
      <c r="B57">
        <v>1.02</v>
      </c>
    </row>
    <row r="58" spans="1:2" x14ac:dyDescent="0.25">
      <c r="A58" s="1" t="s">
        <v>58</v>
      </c>
      <c r="B58">
        <v>0.4</v>
      </c>
    </row>
    <row r="59" spans="1:2" x14ac:dyDescent="0.25">
      <c r="A59" s="1" t="s">
        <v>59</v>
      </c>
      <c r="B59">
        <v>1</v>
      </c>
    </row>
    <row r="60" spans="1:2" x14ac:dyDescent="0.25">
      <c r="A60" s="1" t="s">
        <v>60</v>
      </c>
      <c r="B60">
        <v>0.73</v>
      </c>
    </row>
    <row r="61" spans="1:2" x14ac:dyDescent="0.25">
      <c r="A61" s="1" t="s">
        <v>61</v>
      </c>
      <c r="B61">
        <v>1.02</v>
      </c>
    </row>
    <row r="62" spans="1:2" x14ac:dyDescent="0.25">
      <c r="A62" s="1" t="s">
        <v>62</v>
      </c>
      <c r="B62">
        <v>0.41</v>
      </c>
    </row>
    <row r="63" spans="1:2" x14ac:dyDescent="0.25">
      <c r="A63" s="1" t="s">
        <v>63</v>
      </c>
      <c r="B63">
        <v>1.04</v>
      </c>
    </row>
    <row r="64" spans="1:2" x14ac:dyDescent="0.25">
      <c r="A64" s="1" t="s">
        <v>64</v>
      </c>
      <c r="B64">
        <v>0.91</v>
      </c>
    </row>
    <row r="65" spans="1:2" x14ac:dyDescent="0.25">
      <c r="A65" s="1" t="s">
        <v>65</v>
      </c>
      <c r="B65">
        <v>0.91</v>
      </c>
    </row>
    <row r="66" spans="1:2" x14ac:dyDescent="0.25">
      <c r="A66" s="1" t="s">
        <v>66</v>
      </c>
      <c r="B66">
        <v>0.91</v>
      </c>
    </row>
    <row r="67" spans="1:2" x14ac:dyDescent="0.25">
      <c r="A67" s="1" t="s">
        <v>67</v>
      </c>
      <c r="B67">
        <v>0.91</v>
      </c>
    </row>
    <row r="68" spans="1:2" x14ac:dyDescent="0.25">
      <c r="A68" s="1" t="s">
        <v>68</v>
      </c>
      <c r="B68">
        <v>0.72</v>
      </c>
    </row>
    <row r="69" spans="1:2" x14ac:dyDescent="0.25">
      <c r="A69" s="1" t="s">
        <v>69</v>
      </c>
      <c r="B69">
        <v>1.02</v>
      </c>
    </row>
    <row r="70" spans="1:2" x14ac:dyDescent="0.25">
      <c r="A70" s="1" t="s">
        <v>70</v>
      </c>
      <c r="B70">
        <v>0.4</v>
      </c>
    </row>
    <row r="71" spans="1:2" x14ac:dyDescent="0.25">
      <c r="A71" s="1" t="s">
        <v>71</v>
      </c>
      <c r="B71">
        <v>1.03</v>
      </c>
    </row>
    <row r="72" spans="1:2" x14ac:dyDescent="0.25">
      <c r="A72" s="1" t="s">
        <v>72</v>
      </c>
      <c r="B72">
        <v>0.91</v>
      </c>
    </row>
    <row r="73" spans="1:2" x14ac:dyDescent="0.25">
      <c r="A73" s="1" t="s">
        <v>73</v>
      </c>
      <c r="B73">
        <v>0.91</v>
      </c>
    </row>
    <row r="74" spans="1:2" x14ac:dyDescent="0.25">
      <c r="A74" s="1" t="s">
        <v>74</v>
      </c>
      <c r="B74">
        <v>0.91</v>
      </c>
    </row>
    <row r="75" spans="1:2" x14ac:dyDescent="0.25">
      <c r="A75" s="1" t="s">
        <v>75</v>
      </c>
      <c r="B75">
        <v>0.91</v>
      </c>
    </row>
    <row r="76" spans="1:2" x14ac:dyDescent="0.25">
      <c r="A76" s="1" t="s">
        <v>76</v>
      </c>
      <c r="B76">
        <v>1</v>
      </c>
    </row>
    <row r="77" spans="1:2" x14ac:dyDescent="0.25">
      <c r="A77" s="1" t="s">
        <v>77</v>
      </c>
      <c r="B77">
        <v>1</v>
      </c>
    </row>
    <row r="78" spans="1:2" x14ac:dyDescent="0.25">
      <c r="A78" s="1" t="s">
        <v>78</v>
      </c>
      <c r="B78">
        <v>1</v>
      </c>
    </row>
    <row r="79" spans="1:2" x14ac:dyDescent="0.25">
      <c r="A79" s="1" t="s">
        <v>79</v>
      </c>
      <c r="B79">
        <v>1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39428F-6668-46BB-BAFE-30EBB456E4F6}">
  <dimension ref="A1:F79"/>
  <sheetViews>
    <sheetView workbookViewId="0">
      <selection activeCell="E12" sqref="E12:E13"/>
    </sheetView>
  </sheetViews>
  <sheetFormatPr defaultRowHeight="15" x14ac:dyDescent="0.25"/>
  <cols>
    <col min="1" max="1" width="44.7109375" bestFit="1" customWidth="1"/>
    <col min="2" max="2" width="7.85546875" bestFit="1" customWidth="1"/>
    <col min="5" max="5" width="25.140625" bestFit="1" customWidth="1"/>
    <col min="6" max="6" width="32.5703125" style="2" bestFit="1" customWidth="1"/>
  </cols>
  <sheetData>
    <row r="1" spans="1:6" x14ac:dyDescent="0.25">
      <c r="A1" t="s">
        <v>0</v>
      </c>
      <c r="B1" t="s">
        <v>1</v>
      </c>
      <c r="E1" s="3" t="s">
        <v>0</v>
      </c>
      <c r="F1" s="3" t="s">
        <v>104</v>
      </c>
    </row>
    <row r="2" spans="1:6" x14ac:dyDescent="0.25">
      <c r="A2" s="1" t="s">
        <v>2</v>
      </c>
      <c r="B2">
        <v>1.01</v>
      </c>
      <c r="E2" t="s">
        <v>81</v>
      </c>
      <c r="F2" s="2">
        <f>B2</f>
        <v>1.01</v>
      </c>
    </row>
    <row r="3" spans="1:6" x14ac:dyDescent="0.25">
      <c r="A3" s="1" t="s">
        <v>3</v>
      </c>
      <c r="B3">
        <v>1.01</v>
      </c>
      <c r="E3" t="s">
        <v>82</v>
      </c>
      <c r="F3" s="2">
        <f>B3</f>
        <v>1.01</v>
      </c>
    </row>
    <row r="4" spans="1:6" x14ac:dyDescent="0.25">
      <c r="A4" s="1" t="s">
        <v>4</v>
      </c>
      <c r="B4">
        <v>1</v>
      </c>
      <c r="E4" t="s">
        <v>87</v>
      </c>
      <c r="F4" s="2">
        <f t="shared" ref="F4:F11" si="0">$F$2</f>
        <v>1.01</v>
      </c>
    </row>
    <row r="5" spans="1:6" x14ac:dyDescent="0.25">
      <c r="A5" s="1" t="s">
        <v>5</v>
      </c>
      <c r="B5">
        <v>1</v>
      </c>
      <c r="E5" t="s">
        <v>88</v>
      </c>
      <c r="F5" s="2">
        <f t="shared" si="0"/>
        <v>1.01</v>
      </c>
    </row>
    <row r="6" spans="1:6" x14ac:dyDescent="0.25">
      <c r="A6" s="1" t="s">
        <v>6</v>
      </c>
      <c r="B6">
        <v>1</v>
      </c>
      <c r="E6" t="s">
        <v>89</v>
      </c>
      <c r="F6" s="2">
        <f t="shared" si="0"/>
        <v>1.01</v>
      </c>
    </row>
    <row r="7" spans="1:6" x14ac:dyDescent="0.25">
      <c r="A7" s="1" t="s">
        <v>7</v>
      </c>
      <c r="B7">
        <v>0.99</v>
      </c>
      <c r="E7" t="s">
        <v>90</v>
      </c>
      <c r="F7" s="2">
        <f t="shared" si="0"/>
        <v>1.01</v>
      </c>
    </row>
    <row r="8" spans="1:6" x14ac:dyDescent="0.25">
      <c r="A8" s="1" t="s">
        <v>8</v>
      </c>
      <c r="B8">
        <v>1.03</v>
      </c>
      <c r="E8" t="s">
        <v>91</v>
      </c>
      <c r="F8" s="2">
        <f t="shared" si="0"/>
        <v>1.01</v>
      </c>
    </row>
    <row r="9" spans="1:6" x14ac:dyDescent="0.25">
      <c r="A9" s="1" t="s">
        <v>9</v>
      </c>
      <c r="B9">
        <v>1</v>
      </c>
      <c r="E9" t="s">
        <v>92</v>
      </c>
      <c r="F9" s="2">
        <f t="shared" si="0"/>
        <v>1.01</v>
      </c>
    </row>
    <row r="10" spans="1:6" x14ac:dyDescent="0.25">
      <c r="A10" s="1" t="s">
        <v>10</v>
      </c>
      <c r="B10">
        <v>1</v>
      </c>
      <c r="E10" t="s">
        <v>93</v>
      </c>
      <c r="F10" s="2">
        <f t="shared" si="0"/>
        <v>1.01</v>
      </c>
    </row>
    <row r="11" spans="1:6" x14ac:dyDescent="0.25">
      <c r="A11" s="1" t="s">
        <v>11</v>
      </c>
      <c r="B11">
        <v>1</v>
      </c>
      <c r="E11" t="s">
        <v>94</v>
      </c>
      <c r="F11" s="2">
        <f t="shared" si="0"/>
        <v>1.01</v>
      </c>
    </row>
    <row r="12" spans="1:6" x14ac:dyDescent="0.25">
      <c r="A12" s="1" t="s">
        <v>12</v>
      </c>
      <c r="B12">
        <v>1</v>
      </c>
      <c r="E12" t="s">
        <v>109</v>
      </c>
      <c r="F12" s="2">
        <f>B12</f>
        <v>1</v>
      </c>
    </row>
    <row r="13" spans="1:6" x14ac:dyDescent="0.25">
      <c r="A13" s="1" t="s">
        <v>13</v>
      </c>
      <c r="B13">
        <v>1</v>
      </c>
      <c r="E13" t="s">
        <v>95</v>
      </c>
      <c r="F13" s="2">
        <f>B4</f>
        <v>1</v>
      </c>
    </row>
    <row r="14" spans="1:6" x14ac:dyDescent="0.25">
      <c r="A14" s="1" t="s">
        <v>14</v>
      </c>
      <c r="B14">
        <v>1</v>
      </c>
      <c r="E14" t="s">
        <v>83</v>
      </c>
      <c r="F14" s="2">
        <f>AVERAGE(B8,B16,B20,B24,B28,B32,B36,B40)</f>
        <v>1.02</v>
      </c>
    </row>
    <row r="15" spans="1:6" x14ac:dyDescent="0.25">
      <c r="A15" s="1" t="s">
        <v>15</v>
      </c>
      <c r="B15">
        <v>1</v>
      </c>
      <c r="E15" t="s">
        <v>84</v>
      </c>
      <c r="F15" s="2">
        <f>AVERAGE(B9,B17,B21,B25,B29,B33,B37,B41)</f>
        <v>1.0137499999999999</v>
      </c>
    </row>
    <row r="16" spans="1:6" x14ac:dyDescent="0.25">
      <c r="A16" s="1" t="s">
        <v>16</v>
      </c>
      <c r="B16">
        <v>1.03</v>
      </c>
      <c r="E16" t="s">
        <v>85</v>
      </c>
      <c r="F16" s="2">
        <f>AVERAGE(B10,B18,B22,B26,B30,B34,B38,B42)</f>
        <v>1.0137499999999999</v>
      </c>
    </row>
    <row r="17" spans="1:6" x14ac:dyDescent="0.25">
      <c r="A17" s="1" t="s">
        <v>17</v>
      </c>
      <c r="B17">
        <v>1.01</v>
      </c>
      <c r="E17" t="s">
        <v>86</v>
      </c>
      <c r="F17" s="2">
        <f>AVERAGE(B11,B19,B23,B27,B31,B35,B39,B43)</f>
        <v>1.0149999999999999</v>
      </c>
    </row>
    <row r="18" spans="1:6" x14ac:dyDescent="0.25">
      <c r="A18" s="1" t="s">
        <v>18</v>
      </c>
      <c r="B18">
        <v>1.01</v>
      </c>
      <c r="E18" t="s">
        <v>97</v>
      </c>
      <c r="F18" s="2">
        <f>AVERAGE(B64,B66,B72,B74)</f>
        <v>0.99</v>
      </c>
    </row>
    <row r="19" spans="1:6" x14ac:dyDescent="0.25">
      <c r="A19" s="1" t="s">
        <v>19</v>
      </c>
      <c r="B19">
        <v>1.02</v>
      </c>
      <c r="E19" t="s">
        <v>98</v>
      </c>
      <c r="F19" s="2">
        <f>AVERAGE(B65,B67,B73,B75)</f>
        <v>0.99</v>
      </c>
    </row>
    <row r="20" spans="1:6" x14ac:dyDescent="0.25">
      <c r="A20" s="1" t="s">
        <v>20</v>
      </c>
      <c r="B20">
        <v>1.03</v>
      </c>
      <c r="E20" t="s">
        <v>99</v>
      </c>
      <c r="F20" s="2">
        <f>AVERAGE(B52,B56,B60,B68)</f>
        <v>0.71</v>
      </c>
    </row>
    <row r="21" spans="1:6" x14ac:dyDescent="0.25">
      <c r="A21" s="1" t="s">
        <v>21</v>
      </c>
      <c r="B21">
        <v>1.03</v>
      </c>
      <c r="E21" t="s">
        <v>100</v>
      </c>
      <c r="F21" s="2">
        <f>AVERAGE(B53,B57,B61,B69)</f>
        <v>1.3</v>
      </c>
    </row>
    <row r="22" spans="1:6" x14ac:dyDescent="0.25">
      <c r="A22" s="1" t="s">
        <v>22</v>
      </c>
      <c r="B22">
        <v>1.03</v>
      </c>
      <c r="E22" t="s">
        <v>101</v>
      </c>
      <c r="F22" s="2">
        <f>AVERAGE(B54,B58,B62,B70)</f>
        <v>0.39</v>
      </c>
    </row>
    <row r="23" spans="1:6" x14ac:dyDescent="0.25">
      <c r="A23" s="1" t="s">
        <v>23</v>
      </c>
      <c r="B23">
        <v>1.03</v>
      </c>
      <c r="E23" t="s">
        <v>102</v>
      </c>
      <c r="F23" s="2">
        <f>AVERAGE(B55,B59,B63,B71)</f>
        <v>1.0175000000000001</v>
      </c>
    </row>
    <row r="24" spans="1:6" x14ac:dyDescent="0.25">
      <c r="A24" s="1" t="s">
        <v>24</v>
      </c>
      <c r="B24">
        <v>1.01</v>
      </c>
    </row>
    <row r="25" spans="1:6" x14ac:dyDescent="0.25">
      <c r="A25" s="1" t="s">
        <v>25</v>
      </c>
      <c r="B25">
        <v>1.01</v>
      </c>
    </row>
    <row r="26" spans="1:6" x14ac:dyDescent="0.25">
      <c r="A26" s="1" t="s">
        <v>26</v>
      </c>
      <c r="B26">
        <v>1.01</v>
      </c>
    </row>
    <row r="27" spans="1:6" x14ac:dyDescent="0.25">
      <c r="A27" s="1" t="s">
        <v>27</v>
      </c>
      <c r="B27">
        <v>1.01</v>
      </c>
    </row>
    <row r="28" spans="1:6" x14ac:dyDescent="0.25">
      <c r="A28" s="1" t="s">
        <v>28</v>
      </c>
      <c r="B28">
        <v>1.01</v>
      </c>
    </row>
    <row r="29" spans="1:6" x14ac:dyDescent="0.25">
      <c r="A29" s="1" t="s">
        <v>29</v>
      </c>
      <c r="B29">
        <v>1.01</v>
      </c>
    </row>
    <row r="30" spans="1:6" x14ac:dyDescent="0.25">
      <c r="A30" s="1" t="s">
        <v>30</v>
      </c>
      <c r="B30">
        <v>1.01</v>
      </c>
    </row>
    <row r="31" spans="1:6" x14ac:dyDescent="0.25">
      <c r="A31" s="1" t="s">
        <v>31</v>
      </c>
      <c r="B31">
        <v>1.01</v>
      </c>
    </row>
    <row r="32" spans="1:6" x14ac:dyDescent="0.25">
      <c r="A32" s="1" t="s">
        <v>32</v>
      </c>
      <c r="B32">
        <v>1.03</v>
      </c>
    </row>
    <row r="33" spans="1:2" x14ac:dyDescent="0.25">
      <c r="A33" s="1" t="s">
        <v>33</v>
      </c>
      <c r="B33">
        <v>1.03</v>
      </c>
    </row>
    <row r="34" spans="1:2" x14ac:dyDescent="0.25">
      <c r="A34" s="1" t="s">
        <v>34</v>
      </c>
      <c r="B34">
        <v>1.03</v>
      </c>
    </row>
    <row r="35" spans="1:2" x14ac:dyDescent="0.25">
      <c r="A35" s="1" t="s">
        <v>35</v>
      </c>
      <c r="B35">
        <v>1.03</v>
      </c>
    </row>
    <row r="36" spans="1:2" x14ac:dyDescent="0.25">
      <c r="A36" s="1" t="s">
        <v>36</v>
      </c>
      <c r="B36">
        <v>1.01</v>
      </c>
    </row>
    <row r="37" spans="1:2" x14ac:dyDescent="0.25">
      <c r="A37" s="1" t="s">
        <v>37</v>
      </c>
      <c r="B37">
        <v>1.01</v>
      </c>
    </row>
    <row r="38" spans="1:2" x14ac:dyDescent="0.25">
      <c r="A38" s="1" t="s">
        <v>38</v>
      </c>
      <c r="B38">
        <v>1.01</v>
      </c>
    </row>
    <row r="39" spans="1:2" x14ac:dyDescent="0.25">
      <c r="A39" s="1" t="s">
        <v>39</v>
      </c>
      <c r="B39">
        <v>1.01</v>
      </c>
    </row>
    <row r="40" spans="1:2" x14ac:dyDescent="0.25">
      <c r="A40" s="1" t="s">
        <v>40</v>
      </c>
      <c r="B40">
        <v>1.01</v>
      </c>
    </row>
    <row r="41" spans="1:2" x14ac:dyDescent="0.25">
      <c r="A41" s="1" t="s">
        <v>41</v>
      </c>
      <c r="B41">
        <v>1.01</v>
      </c>
    </row>
    <row r="42" spans="1:2" x14ac:dyDescent="0.25">
      <c r="A42" s="1" t="s">
        <v>42</v>
      </c>
      <c r="B42">
        <v>1.01</v>
      </c>
    </row>
    <row r="43" spans="1:2" x14ac:dyDescent="0.25">
      <c r="A43" s="1" t="s">
        <v>43</v>
      </c>
      <c r="B43">
        <v>1.01</v>
      </c>
    </row>
    <row r="44" spans="1:2" x14ac:dyDescent="0.25">
      <c r="A44" s="1" t="s">
        <v>44</v>
      </c>
      <c r="B44">
        <v>1</v>
      </c>
    </row>
    <row r="45" spans="1:2" x14ac:dyDescent="0.25">
      <c r="A45" s="1" t="s">
        <v>45</v>
      </c>
      <c r="B45">
        <v>1</v>
      </c>
    </row>
    <row r="46" spans="1:2" x14ac:dyDescent="0.25">
      <c r="A46" s="1" t="s">
        <v>46</v>
      </c>
      <c r="B46">
        <v>1</v>
      </c>
    </row>
    <row r="47" spans="1:2" x14ac:dyDescent="0.25">
      <c r="A47" s="1" t="s">
        <v>47</v>
      </c>
      <c r="B47">
        <v>1</v>
      </c>
    </row>
    <row r="48" spans="1:2" x14ac:dyDescent="0.25">
      <c r="A48" s="1" t="s">
        <v>48</v>
      </c>
      <c r="B48">
        <v>1</v>
      </c>
    </row>
    <row r="49" spans="1:2" x14ac:dyDescent="0.25">
      <c r="A49" s="1" t="s">
        <v>49</v>
      </c>
      <c r="B49">
        <v>1</v>
      </c>
    </row>
    <row r="50" spans="1:2" x14ac:dyDescent="0.25">
      <c r="A50" s="1" t="s">
        <v>50</v>
      </c>
      <c r="B50">
        <v>1</v>
      </c>
    </row>
    <row r="51" spans="1:2" x14ac:dyDescent="0.25">
      <c r="A51" s="1" t="s">
        <v>51</v>
      </c>
      <c r="B51">
        <v>1</v>
      </c>
    </row>
    <row r="52" spans="1:2" x14ac:dyDescent="0.25">
      <c r="A52" s="1" t="s">
        <v>52</v>
      </c>
      <c r="B52">
        <v>0.71</v>
      </c>
    </row>
    <row r="53" spans="1:2" x14ac:dyDescent="0.25">
      <c r="A53" s="1" t="s">
        <v>53</v>
      </c>
      <c r="B53">
        <v>1.3</v>
      </c>
    </row>
    <row r="54" spans="1:2" x14ac:dyDescent="0.25">
      <c r="A54" s="1" t="s">
        <v>54</v>
      </c>
      <c r="B54">
        <v>0.39</v>
      </c>
    </row>
    <row r="55" spans="1:2" x14ac:dyDescent="0.25">
      <c r="A55" s="1" t="s">
        <v>55</v>
      </c>
      <c r="B55">
        <v>1</v>
      </c>
    </row>
    <row r="56" spans="1:2" x14ac:dyDescent="0.25">
      <c r="A56" s="1" t="s">
        <v>56</v>
      </c>
      <c r="B56">
        <v>0.71</v>
      </c>
    </row>
    <row r="57" spans="1:2" x14ac:dyDescent="0.25">
      <c r="A57" s="1" t="s">
        <v>57</v>
      </c>
      <c r="B57">
        <v>1.3</v>
      </c>
    </row>
    <row r="58" spans="1:2" x14ac:dyDescent="0.25">
      <c r="A58" s="1" t="s">
        <v>58</v>
      </c>
      <c r="B58">
        <v>0.39</v>
      </c>
    </row>
    <row r="59" spans="1:2" x14ac:dyDescent="0.25">
      <c r="A59" s="1" t="s">
        <v>59</v>
      </c>
      <c r="B59">
        <v>1.01</v>
      </c>
    </row>
    <row r="60" spans="1:2" x14ac:dyDescent="0.25">
      <c r="A60" s="1" t="s">
        <v>60</v>
      </c>
      <c r="B60">
        <v>0.71</v>
      </c>
    </row>
    <row r="61" spans="1:2" x14ac:dyDescent="0.25">
      <c r="A61" s="1" t="s">
        <v>61</v>
      </c>
      <c r="B61">
        <v>1.3</v>
      </c>
    </row>
    <row r="62" spans="1:2" x14ac:dyDescent="0.25">
      <c r="A62" s="1" t="s">
        <v>62</v>
      </c>
      <c r="B62">
        <v>0.39</v>
      </c>
    </row>
    <row r="63" spans="1:2" x14ac:dyDescent="0.25">
      <c r="A63" s="1" t="s">
        <v>63</v>
      </c>
      <c r="B63">
        <v>1.03</v>
      </c>
    </row>
    <row r="64" spans="1:2" x14ac:dyDescent="0.25">
      <c r="A64" s="1" t="s">
        <v>64</v>
      </c>
      <c r="B64">
        <v>0.99</v>
      </c>
    </row>
    <row r="65" spans="1:2" x14ac:dyDescent="0.25">
      <c r="A65" s="1" t="s">
        <v>65</v>
      </c>
      <c r="B65">
        <v>0.99</v>
      </c>
    </row>
    <row r="66" spans="1:2" x14ac:dyDescent="0.25">
      <c r="A66" s="1" t="s">
        <v>66</v>
      </c>
      <c r="B66">
        <v>0.99</v>
      </c>
    </row>
    <row r="67" spans="1:2" x14ac:dyDescent="0.25">
      <c r="A67" s="1" t="s">
        <v>67</v>
      </c>
      <c r="B67">
        <v>0.99</v>
      </c>
    </row>
    <row r="68" spans="1:2" x14ac:dyDescent="0.25">
      <c r="A68" s="1" t="s">
        <v>68</v>
      </c>
      <c r="B68">
        <v>0.71</v>
      </c>
    </row>
    <row r="69" spans="1:2" x14ac:dyDescent="0.25">
      <c r="A69" s="1" t="s">
        <v>69</v>
      </c>
      <c r="B69">
        <v>1.3</v>
      </c>
    </row>
    <row r="70" spans="1:2" x14ac:dyDescent="0.25">
      <c r="A70" s="1" t="s">
        <v>70</v>
      </c>
      <c r="B70">
        <v>0.39</v>
      </c>
    </row>
    <row r="71" spans="1:2" x14ac:dyDescent="0.25">
      <c r="A71" s="1" t="s">
        <v>71</v>
      </c>
      <c r="B71">
        <v>1.03</v>
      </c>
    </row>
    <row r="72" spans="1:2" x14ac:dyDescent="0.25">
      <c r="A72" s="1" t="s">
        <v>72</v>
      </c>
      <c r="B72">
        <v>0.99</v>
      </c>
    </row>
    <row r="73" spans="1:2" x14ac:dyDescent="0.25">
      <c r="A73" s="1" t="s">
        <v>73</v>
      </c>
      <c r="B73">
        <v>0.99</v>
      </c>
    </row>
    <row r="74" spans="1:2" x14ac:dyDescent="0.25">
      <c r="A74" s="1" t="s">
        <v>74</v>
      </c>
      <c r="B74">
        <v>0.99</v>
      </c>
    </row>
    <row r="75" spans="1:2" x14ac:dyDescent="0.25">
      <c r="A75" s="1" t="s">
        <v>75</v>
      </c>
      <c r="B75">
        <v>0.99</v>
      </c>
    </row>
    <row r="76" spans="1:2" x14ac:dyDescent="0.25">
      <c r="A76" s="1" t="s">
        <v>76</v>
      </c>
      <c r="B76">
        <v>1</v>
      </c>
    </row>
    <row r="77" spans="1:2" x14ac:dyDescent="0.25">
      <c r="A77" s="1" t="s">
        <v>77</v>
      </c>
      <c r="B77">
        <v>1</v>
      </c>
    </row>
    <row r="78" spans="1:2" x14ac:dyDescent="0.25">
      <c r="A78" s="1" t="s">
        <v>78</v>
      </c>
      <c r="B78">
        <v>1</v>
      </c>
    </row>
    <row r="79" spans="1:2" x14ac:dyDescent="0.25">
      <c r="A79" s="1" t="s">
        <v>79</v>
      </c>
      <c r="B79">
        <v>1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69D9B0-BDCD-4143-A22E-2A972D728001}">
  <dimension ref="A1:F79"/>
  <sheetViews>
    <sheetView workbookViewId="0">
      <selection activeCell="F21" sqref="F21"/>
    </sheetView>
  </sheetViews>
  <sheetFormatPr defaultRowHeight="15" x14ac:dyDescent="0.25"/>
  <cols>
    <col min="1" max="1" width="44.7109375" bestFit="1" customWidth="1"/>
    <col min="2" max="2" width="7.85546875" bestFit="1" customWidth="1"/>
    <col min="5" max="5" width="25.140625" bestFit="1" customWidth="1"/>
    <col min="6" max="6" width="32.5703125" bestFit="1" customWidth="1"/>
  </cols>
  <sheetData>
    <row r="1" spans="1:6" x14ac:dyDescent="0.25">
      <c r="A1" t="s">
        <v>0</v>
      </c>
      <c r="B1" t="s">
        <v>1</v>
      </c>
      <c r="C1" t="s">
        <v>103</v>
      </c>
      <c r="E1" s="3" t="s">
        <v>0</v>
      </c>
      <c r="F1" s="3" t="s">
        <v>104</v>
      </c>
    </row>
    <row r="2" spans="1:6" x14ac:dyDescent="0.25">
      <c r="A2" s="1" t="s">
        <v>2</v>
      </c>
      <c r="B2">
        <v>1.04</v>
      </c>
      <c r="E2" t="s">
        <v>81</v>
      </c>
      <c r="F2" s="2">
        <f>B2</f>
        <v>1.04</v>
      </c>
    </row>
    <row r="3" spans="1:6" x14ac:dyDescent="0.25">
      <c r="A3" s="1" t="s">
        <v>3</v>
      </c>
      <c r="B3">
        <v>1.04</v>
      </c>
      <c r="E3" t="s">
        <v>82</v>
      </c>
      <c r="F3" s="2">
        <f>B3</f>
        <v>1.04</v>
      </c>
    </row>
    <row r="4" spans="1:6" x14ac:dyDescent="0.25">
      <c r="A4" s="1" t="s">
        <v>4</v>
      </c>
      <c r="B4">
        <v>1</v>
      </c>
      <c r="E4" t="s">
        <v>87</v>
      </c>
      <c r="F4" s="2">
        <f>B44</f>
        <v>1</v>
      </c>
    </row>
    <row r="5" spans="1:6" x14ac:dyDescent="0.25">
      <c r="A5" s="1" t="s">
        <v>5</v>
      </c>
      <c r="B5">
        <v>0.99</v>
      </c>
      <c r="E5" t="s">
        <v>88</v>
      </c>
      <c r="F5" s="2">
        <f>B45</f>
        <v>1</v>
      </c>
    </row>
    <row r="6" spans="1:6" x14ac:dyDescent="0.25">
      <c r="A6" s="1" t="s">
        <v>6</v>
      </c>
      <c r="B6">
        <v>0.97</v>
      </c>
      <c r="E6" t="s">
        <v>89</v>
      </c>
      <c r="F6" s="2">
        <v>1</v>
      </c>
    </row>
    <row r="7" spans="1:6" x14ac:dyDescent="0.25">
      <c r="A7" s="1" t="s">
        <v>7</v>
      </c>
      <c r="B7">
        <v>0.96</v>
      </c>
      <c r="E7" t="s">
        <v>90</v>
      </c>
      <c r="F7" s="2">
        <v>1</v>
      </c>
    </row>
    <row r="8" spans="1:6" x14ac:dyDescent="0.25">
      <c r="A8" s="1" t="s">
        <v>8</v>
      </c>
      <c r="B8">
        <v>1.04</v>
      </c>
      <c r="E8" t="s">
        <v>91</v>
      </c>
      <c r="F8" s="2">
        <v>1</v>
      </c>
    </row>
    <row r="9" spans="1:6" x14ac:dyDescent="0.25">
      <c r="A9" s="1" t="s">
        <v>9</v>
      </c>
      <c r="B9">
        <v>0.95</v>
      </c>
      <c r="E9" t="s">
        <v>92</v>
      </c>
      <c r="F9" s="2">
        <f>B49</f>
        <v>1.04</v>
      </c>
    </row>
    <row r="10" spans="1:6" x14ac:dyDescent="0.25">
      <c r="A10" s="1" t="s">
        <v>10</v>
      </c>
      <c r="B10">
        <v>0.96</v>
      </c>
      <c r="E10" t="s">
        <v>93</v>
      </c>
      <c r="F10" s="2">
        <f>B50</f>
        <v>1.1100000000000001</v>
      </c>
    </row>
    <row r="11" spans="1:6" x14ac:dyDescent="0.25">
      <c r="A11" s="1" t="s">
        <v>11</v>
      </c>
      <c r="B11">
        <v>0.96</v>
      </c>
      <c r="E11" t="s">
        <v>94</v>
      </c>
      <c r="F11" s="2">
        <f>B51</f>
        <v>1.1299999999999999</v>
      </c>
    </row>
    <row r="12" spans="1:6" x14ac:dyDescent="0.25">
      <c r="A12" s="1" t="s">
        <v>12</v>
      </c>
      <c r="B12">
        <v>1.2</v>
      </c>
      <c r="E12" t="s">
        <v>95</v>
      </c>
      <c r="F12" s="2">
        <f>B12</f>
        <v>1.2</v>
      </c>
    </row>
    <row r="13" spans="1:6" x14ac:dyDescent="0.25">
      <c r="A13" s="1" t="s">
        <v>13</v>
      </c>
      <c r="B13">
        <v>1.1100000000000001</v>
      </c>
      <c r="E13" t="s">
        <v>96</v>
      </c>
      <c r="F13" s="2">
        <f>B4</f>
        <v>1</v>
      </c>
    </row>
    <row r="14" spans="1:6" x14ac:dyDescent="0.25">
      <c r="A14" s="1" t="s">
        <v>14</v>
      </c>
      <c r="B14">
        <v>1.07</v>
      </c>
      <c r="E14" t="s">
        <v>83</v>
      </c>
      <c r="F14" s="2">
        <f>AVERAGE(B8,B16,B20,B24,B28,B32,B36,B40)</f>
        <v>1.0525</v>
      </c>
    </row>
    <row r="15" spans="1:6" x14ac:dyDescent="0.25">
      <c r="A15" s="1" t="s">
        <v>15</v>
      </c>
      <c r="B15">
        <v>1.04</v>
      </c>
      <c r="E15" t="s">
        <v>84</v>
      </c>
      <c r="F15" s="2">
        <f>AVERAGE(B9,B17,B21,B25,B29,B33,B37,B41)</f>
        <v>1.0249999999999999</v>
      </c>
    </row>
    <row r="16" spans="1:6" x14ac:dyDescent="0.25">
      <c r="A16" s="1" t="s">
        <v>16</v>
      </c>
      <c r="B16">
        <v>1.05</v>
      </c>
      <c r="E16" t="s">
        <v>85</v>
      </c>
      <c r="F16" s="2">
        <f>AVERAGE(B10,B18,B22,B26,B30,B34,B38,B42)</f>
        <v>1.0137500000000002</v>
      </c>
    </row>
    <row r="17" spans="1:6" x14ac:dyDescent="0.25">
      <c r="A17" s="1" t="s">
        <v>17</v>
      </c>
      <c r="B17">
        <v>0.99</v>
      </c>
      <c r="E17" t="s">
        <v>86</v>
      </c>
      <c r="F17" s="2">
        <f>AVERAGE(B11,B19,B23,B27,B31,B35,B39,B43)</f>
        <v>1.0049999999999999</v>
      </c>
    </row>
    <row r="18" spans="1:6" x14ac:dyDescent="0.25">
      <c r="A18" s="1" t="s">
        <v>18</v>
      </c>
      <c r="B18">
        <v>0.99</v>
      </c>
      <c r="E18" t="s">
        <v>97</v>
      </c>
      <c r="F18" s="2">
        <f>AVERAGE(B64,B66,B72,B74)</f>
        <v>1</v>
      </c>
    </row>
    <row r="19" spans="1:6" x14ac:dyDescent="0.25">
      <c r="A19" s="1" t="s">
        <v>19</v>
      </c>
      <c r="B19">
        <v>0.98</v>
      </c>
      <c r="E19" t="s">
        <v>98</v>
      </c>
      <c r="F19" s="2">
        <f>AVERAGE(B65,B67,B73,B75)</f>
        <v>0.73</v>
      </c>
    </row>
    <row r="20" spans="1:6" x14ac:dyDescent="0.25">
      <c r="A20" s="1" t="s">
        <v>20</v>
      </c>
      <c r="B20">
        <v>1.05</v>
      </c>
      <c r="E20" t="s">
        <v>99</v>
      </c>
      <c r="F20" s="2">
        <f>AVERAGE(B52,B56,B60,B68)</f>
        <v>1</v>
      </c>
    </row>
    <row r="21" spans="1:6" x14ac:dyDescent="0.25">
      <c r="A21" s="1" t="s">
        <v>21</v>
      </c>
      <c r="B21">
        <v>1.03</v>
      </c>
      <c r="E21" t="s">
        <v>100</v>
      </c>
      <c r="F21" s="2">
        <f>AVERAGE(B53,B57,B61,B69)</f>
        <v>32.892499999999998</v>
      </c>
    </row>
    <row r="22" spans="1:6" x14ac:dyDescent="0.25">
      <c r="A22" s="1" t="s">
        <v>22</v>
      </c>
      <c r="B22">
        <v>1.02</v>
      </c>
      <c r="E22" t="s">
        <v>101</v>
      </c>
      <c r="F22" s="2">
        <f>AVERAGE(B54,B58,B62,B70)</f>
        <v>1</v>
      </c>
    </row>
    <row r="23" spans="1:6" x14ac:dyDescent="0.25">
      <c r="A23" s="1" t="s">
        <v>23</v>
      </c>
      <c r="B23">
        <v>1.01</v>
      </c>
      <c r="E23" t="s">
        <v>102</v>
      </c>
      <c r="F23" s="2">
        <f>AVERAGE(B55,B59,B63,B71)</f>
        <v>1</v>
      </c>
    </row>
    <row r="24" spans="1:6" x14ac:dyDescent="0.25">
      <c r="A24" s="1" t="s">
        <v>24</v>
      </c>
      <c r="B24">
        <v>1.06</v>
      </c>
    </row>
    <row r="25" spans="1:6" x14ac:dyDescent="0.25">
      <c r="A25" s="1" t="s">
        <v>25</v>
      </c>
      <c r="B25">
        <v>1.05</v>
      </c>
    </row>
    <row r="26" spans="1:6" x14ac:dyDescent="0.25">
      <c r="A26" s="1" t="s">
        <v>26</v>
      </c>
      <c r="B26">
        <v>1.03</v>
      </c>
    </row>
    <row r="27" spans="1:6" x14ac:dyDescent="0.25">
      <c r="A27" s="1" t="s">
        <v>27</v>
      </c>
      <c r="B27">
        <v>1.02</v>
      </c>
    </row>
    <row r="28" spans="1:6" x14ac:dyDescent="0.25">
      <c r="A28" s="1" t="s">
        <v>28</v>
      </c>
      <c r="B28">
        <v>1.06</v>
      </c>
    </row>
    <row r="29" spans="1:6" x14ac:dyDescent="0.25">
      <c r="A29" s="1" t="s">
        <v>29</v>
      </c>
      <c r="B29">
        <v>1.05</v>
      </c>
    </row>
    <row r="30" spans="1:6" x14ac:dyDescent="0.25">
      <c r="A30" s="1" t="s">
        <v>30</v>
      </c>
      <c r="B30">
        <v>1.03</v>
      </c>
    </row>
    <row r="31" spans="1:6" x14ac:dyDescent="0.25">
      <c r="A31" s="1" t="s">
        <v>31</v>
      </c>
      <c r="B31">
        <v>1.02</v>
      </c>
    </row>
    <row r="32" spans="1:6" x14ac:dyDescent="0.25">
      <c r="A32" s="1" t="s">
        <v>32</v>
      </c>
      <c r="B32">
        <v>1.04</v>
      </c>
    </row>
    <row r="33" spans="1:2" x14ac:dyDescent="0.25">
      <c r="A33" s="1" t="s">
        <v>33</v>
      </c>
      <c r="B33">
        <v>1.03</v>
      </c>
    </row>
    <row r="34" spans="1:2" x14ac:dyDescent="0.25">
      <c r="A34" s="1" t="s">
        <v>34</v>
      </c>
      <c r="B34">
        <v>1.02</v>
      </c>
    </row>
    <row r="35" spans="1:2" x14ac:dyDescent="0.25">
      <c r="A35" s="1" t="s">
        <v>35</v>
      </c>
      <c r="B35">
        <v>1.01</v>
      </c>
    </row>
    <row r="36" spans="1:2" x14ac:dyDescent="0.25">
      <c r="A36" s="1" t="s">
        <v>36</v>
      </c>
      <c r="B36">
        <v>1.06</v>
      </c>
    </row>
    <row r="37" spans="1:2" x14ac:dyDescent="0.25">
      <c r="A37" s="1" t="s">
        <v>37</v>
      </c>
      <c r="B37">
        <v>1.05</v>
      </c>
    </row>
    <row r="38" spans="1:2" x14ac:dyDescent="0.25">
      <c r="A38" s="1" t="s">
        <v>38</v>
      </c>
      <c r="B38">
        <v>1.03</v>
      </c>
    </row>
    <row r="39" spans="1:2" x14ac:dyDescent="0.25">
      <c r="A39" s="1" t="s">
        <v>39</v>
      </c>
      <c r="B39">
        <v>1.02</v>
      </c>
    </row>
    <row r="40" spans="1:2" x14ac:dyDescent="0.25">
      <c r="A40" s="1" t="s">
        <v>40</v>
      </c>
      <c r="B40">
        <v>1.06</v>
      </c>
    </row>
    <row r="41" spans="1:2" x14ac:dyDescent="0.25">
      <c r="A41" s="1" t="s">
        <v>41</v>
      </c>
      <c r="B41">
        <v>1.05</v>
      </c>
    </row>
    <row r="42" spans="1:2" x14ac:dyDescent="0.25">
      <c r="A42" s="1" t="s">
        <v>42</v>
      </c>
      <c r="B42">
        <v>1.03</v>
      </c>
    </row>
    <row r="43" spans="1:2" x14ac:dyDescent="0.25">
      <c r="A43" s="1" t="s">
        <v>43</v>
      </c>
      <c r="B43">
        <v>1.02</v>
      </c>
    </row>
    <row r="44" spans="1:2" x14ac:dyDescent="0.25">
      <c r="A44" s="1" t="s">
        <v>44</v>
      </c>
      <c r="B44">
        <v>1</v>
      </c>
    </row>
    <row r="45" spans="1:2" x14ac:dyDescent="0.25">
      <c r="A45" s="1" t="s">
        <v>45</v>
      </c>
      <c r="B45">
        <v>1</v>
      </c>
    </row>
    <row r="46" spans="1:2" x14ac:dyDescent="0.25">
      <c r="A46" s="1" t="s">
        <v>46</v>
      </c>
      <c r="B46" t="s">
        <v>80</v>
      </c>
    </row>
    <row r="47" spans="1:2" x14ac:dyDescent="0.25">
      <c r="A47" s="1" t="s">
        <v>47</v>
      </c>
      <c r="B47" t="s">
        <v>80</v>
      </c>
    </row>
    <row r="48" spans="1:2" x14ac:dyDescent="0.25">
      <c r="A48" s="1" t="s">
        <v>48</v>
      </c>
      <c r="B48" t="s">
        <v>80</v>
      </c>
    </row>
    <row r="49" spans="1:2" x14ac:dyDescent="0.25">
      <c r="A49" s="1" t="s">
        <v>49</v>
      </c>
      <c r="B49">
        <v>1.04</v>
      </c>
    </row>
    <row r="50" spans="1:2" x14ac:dyDescent="0.25">
      <c r="A50" s="1" t="s">
        <v>50</v>
      </c>
      <c r="B50">
        <v>1.1100000000000001</v>
      </c>
    </row>
    <row r="51" spans="1:2" x14ac:dyDescent="0.25">
      <c r="A51" s="1" t="s">
        <v>51</v>
      </c>
      <c r="B51">
        <v>1.1299999999999999</v>
      </c>
    </row>
    <row r="52" spans="1:2" x14ac:dyDescent="0.25">
      <c r="A52" s="1" t="s">
        <v>52</v>
      </c>
      <c r="B52">
        <v>1</v>
      </c>
    </row>
    <row r="53" spans="1:2" x14ac:dyDescent="0.25">
      <c r="A53" s="1" t="s">
        <v>53</v>
      </c>
      <c r="B53">
        <v>32.86</v>
      </c>
    </row>
    <row r="54" spans="1:2" x14ac:dyDescent="0.25">
      <c r="A54" s="1" t="s">
        <v>54</v>
      </c>
      <c r="B54">
        <v>1</v>
      </c>
    </row>
    <row r="55" spans="1:2" x14ac:dyDescent="0.25">
      <c r="A55" s="1" t="s">
        <v>55</v>
      </c>
      <c r="B55">
        <v>1</v>
      </c>
    </row>
    <row r="56" spans="1:2" x14ac:dyDescent="0.25">
      <c r="A56" s="1" t="s">
        <v>56</v>
      </c>
      <c r="B56">
        <v>1</v>
      </c>
    </row>
    <row r="57" spans="1:2" x14ac:dyDescent="0.25">
      <c r="A57" s="1" t="s">
        <v>57</v>
      </c>
      <c r="B57">
        <v>32.950000000000003</v>
      </c>
    </row>
    <row r="58" spans="1:2" x14ac:dyDescent="0.25">
      <c r="A58" s="1" t="s">
        <v>58</v>
      </c>
      <c r="B58">
        <v>1</v>
      </c>
    </row>
    <row r="59" spans="1:2" x14ac:dyDescent="0.25">
      <c r="A59" s="1" t="s">
        <v>59</v>
      </c>
      <c r="B59">
        <v>1</v>
      </c>
    </row>
    <row r="60" spans="1:2" x14ac:dyDescent="0.25">
      <c r="A60" s="1" t="s">
        <v>60</v>
      </c>
      <c r="B60">
        <v>1</v>
      </c>
    </row>
    <row r="61" spans="1:2" x14ac:dyDescent="0.25">
      <c r="A61" s="1" t="s">
        <v>61</v>
      </c>
      <c r="B61">
        <v>32.869999999999997</v>
      </c>
    </row>
    <row r="62" spans="1:2" x14ac:dyDescent="0.25">
      <c r="A62" s="1" t="s">
        <v>62</v>
      </c>
      <c r="B62">
        <v>1</v>
      </c>
    </row>
    <row r="63" spans="1:2" x14ac:dyDescent="0.25">
      <c r="A63" s="1" t="s">
        <v>63</v>
      </c>
      <c r="B63">
        <v>1</v>
      </c>
    </row>
    <row r="64" spans="1:2" x14ac:dyDescent="0.25">
      <c r="A64" s="1" t="s">
        <v>64</v>
      </c>
      <c r="B64">
        <v>1</v>
      </c>
    </row>
    <row r="65" spans="1:2" x14ac:dyDescent="0.25">
      <c r="A65" s="1" t="s">
        <v>65</v>
      </c>
      <c r="B65">
        <v>0.73</v>
      </c>
    </row>
    <row r="66" spans="1:2" x14ac:dyDescent="0.25">
      <c r="A66" s="1" t="s">
        <v>66</v>
      </c>
      <c r="B66">
        <v>1</v>
      </c>
    </row>
    <row r="67" spans="1:2" x14ac:dyDescent="0.25">
      <c r="A67" s="1" t="s">
        <v>67</v>
      </c>
      <c r="B67">
        <v>0.73</v>
      </c>
    </row>
    <row r="68" spans="1:2" x14ac:dyDescent="0.25">
      <c r="A68" s="1" t="s">
        <v>68</v>
      </c>
      <c r="B68">
        <v>1</v>
      </c>
    </row>
    <row r="69" spans="1:2" x14ac:dyDescent="0.25">
      <c r="A69" s="1" t="s">
        <v>69</v>
      </c>
      <c r="B69">
        <v>32.89</v>
      </c>
    </row>
    <row r="70" spans="1:2" x14ac:dyDescent="0.25">
      <c r="A70" s="1" t="s">
        <v>70</v>
      </c>
      <c r="B70">
        <v>1</v>
      </c>
    </row>
    <row r="71" spans="1:2" x14ac:dyDescent="0.25">
      <c r="A71" s="1" t="s">
        <v>71</v>
      </c>
      <c r="B71">
        <v>1</v>
      </c>
    </row>
    <row r="72" spans="1:2" x14ac:dyDescent="0.25">
      <c r="A72" s="1" t="s">
        <v>72</v>
      </c>
      <c r="B72">
        <v>1</v>
      </c>
    </row>
    <row r="73" spans="1:2" x14ac:dyDescent="0.25">
      <c r="A73" s="1" t="s">
        <v>73</v>
      </c>
      <c r="B73">
        <v>0.73</v>
      </c>
    </row>
    <row r="74" spans="1:2" x14ac:dyDescent="0.25">
      <c r="A74" s="1" t="s">
        <v>74</v>
      </c>
      <c r="B74">
        <v>1</v>
      </c>
    </row>
    <row r="75" spans="1:2" x14ac:dyDescent="0.25">
      <c r="A75" s="1" t="s">
        <v>75</v>
      </c>
      <c r="B75">
        <v>0.73</v>
      </c>
    </row>
    <row r="76" spans="1:2" x14ac:dyDescent="0.25">
      <c r="A76" s="1" t="s">
        <v>76</v>
      </c>
      <c r="B76">
        <v>1</v>
      </c>
    </row>
    <row r="77" spans="1:2" x14ac:dyDescent="0.25">
      <c r="A77" s="1" t="s">
        <v>77</v>
      </c>
      <c r="B77">
        <v>1</v>
      </c>
    </row>
    <row r="78" spans="1:2" x14ac:dyDescent="0.25">
      <c r="A78" s="1" t="s">
        <v>78</v>
      </c>
      <c r="B78">
        <v>1</v>
      </c>
    </row>
    <row r="79" spans="1:2" x14ac:dyDescent="0.25">
      <c r="A79" s="1" t="s">
        <v>79</v>
      </c>
      <c r="B79">
        <v>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48FBA09-509A-4FFD-B670-F642338BFE74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cf90b97b-be46-4a00-9700-81ce4ff1b7f6}" enabled="0" method="" siteId="{cf90b97b-be46-4a00-9700-81ce4ff1b7f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Aggregate</vt:lpstr>
      <vt:lpstr>methylmercury</vt:lpstr>
      <vt:lpstr>divalent_mercury</vt:lpstr>
      <vt:lpstr>elemental_mercury</vt:lpstr>
      <vt:lpstr>benzo_a_pyrene</vt:lpstr>
      <vt:lpstr>2_3_7_8_tcdd</vt:lpstr>
      <vt:lpstr>cadmium</vt:lpstr>
      <vt:lpstr>arsenic</vt:lpstr>
      <vt:lpstr>lead</vt:lpstr>
    </vt:vector>
  </TitlesOfParts>
  <Company>ICF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Varghese, Arun</dc:creator>
  <cp:lastModifiedBy>Varghese, Arun</cp:lastModifiedBy>
  <dcterms:created xsi:type="dcterms:W3CDTF">2022-11-28T18:22:29Z</dcterms:created>
  <dcterms:modified xsi:type="dcterms:W3CDTF">2022-11-28T20:27:52Z</dcterms:modified>
</cp:coreProperties>
</file>