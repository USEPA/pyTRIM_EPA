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ctrlProps/ctrlProp8.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1.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2.xml" ContentType="application/vnd.openxmlformats-officedocument.drawing+xml"/>
  <Override PartName="/xl/ctrlProps/ctrlProp17.xml" ContentType="application/vnd.ms-excel.controlproperties+xml"/>
  <Override PartName="/xl/ctrlProps/ctrlProp18.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updateLinks="never" codeName="ThisWorkbook" defaultThemeVersion="124226"/>
  <mc:AlternateContent xmlns:mc="http://schemas.openxmlformats.org/markup-compatibility/2006">
    <mc:Choice Requires="x15">
      <x15ac:absPath xmlns:x15ac="http://schemas.microsoft.com/office/spreadsheetml/2010/11/ac" url="C:\Users\50466\Documents\Projects\sandbox\TRIM\builder\trim-builder\Input_Files\"/>
    </mc:Choice>
  </mc:AlternateContent>
  <xr:revisionPtr revIDLastSave="0" documentId="13_ncr:1_{CAE6AEC2-5592-4987-9D00-0135964564F1}" xr6:coauthVersionLast="44" xr6:coauthVersionMax="45" xr10:uidLastSave="{00000000-0000-0000-0000-000000000000}"/>
  <bookViews>
    <workbookView xWindow="1020" yWindow="255" windowWidth="21885" windowHeight="12360" tabRatio="924" firstSheet="4" activeTab="4" xr2:uid="{00000000-000D-0000-FFFF-FFFF00000000}"/>
  </bookViews>
  <sheets>
    <sheet name="Sensitivity" sheetId="78" state="hidden" r:id="rId1"/>
    <sheet name="README" sheetId="92" r:id="rId2"/>
    <sheet name="Tracking" sheetId="90" r:id="rId3"/>
    <sheet name="Parameters" sheetId="84" r:id="rId4"/>
    <sheet name="Layout" sheetId="1" r:id="rId5"/>
    <sheet name="Plants" sheetId="86" r:id="rId6"/>
    <sheet name="USLECalcs" sheetId="93" r:id="rId7"/>
    <sheet name="Land" sheetId="81" r:id="rId8"/>
    <sheet name="Soil" sheetId="94" r:id="rId9"/>
    <sheet name="Watersheds" sheetId="82" r:id="rId10"/>
    <sheet name="Lakes" sheetId="80" r:id="rId11"/>
    <sheet name="Fish" sheetId="83" r:id="rId12"/>
    <sheet name="1 Sources" sheetId="88" r:id="rId13"/>
    <sheet name="2 Volume" sheetId="74" r:id="rId14"/>
    <sheet name="3 Cmpts" sheetId="75" r:id="rId15"/>
    <sheet name="4 Props" sheetId="76" r:id="rId16"/>
    <sheet name="5 OtherProps" sheetId="91" r:id="rId17"/>
    <sheet name="Info" sheetId="87" r:id="rId18"/>
  </sheets>
  <functionGroups builtInGroupCount="19"/>
  <externalReferences>
    <externalReference r:id="rId19"/>
    <externalReference r:id="rId20"/>
  </externalReferences>
  <definedNames>
    <definedName name="__VBA__coordinates_x">ExtendToBottom(__VBA__first_coordinate_x)</definedName>
    <definedName name="__VBA__coordinates_x_relative" localSheetId="8" hidden="1">ExtendToBottom([1]Layout!$C$10)</definedName>
    <definedName name="__VBA__coordinates_x_relative">ExtendToBottom(Layout!$C$10)</definedName>
    <definedName name="__VBA__coordinates_y">ExtendToBottom(__VBA__first_coordinate_y)</definedName>
    <definedName name="__VBA__coordinates_y_relative" localSheetId="8" hidden="1">ExtendToBottom([1]Layout!$D$10)</definedName>
    <definedName name="__VBA__coordinates_y_relative">ExtendToBottom(Layout!$D$10)</definedName>
    <definedName name="__VBA__first_air_parcel_choice" localSheetId="8" hidden="1">[1]Info!$F$6</definedName>
    <definedName name="__VBA__first_air_parcel_choice">Info!$F$6</definedName>
    <definedName name="__VBA__first_component_plant_compartment">Plants!$B$7</definedName>
    <definedName name="__VBA__first_composite_plant_compartment" localSheetId="8" hidden="1">[1]Plants!$B$6</definedName>
    <definedName name="__VBA__first_composite_plant_compartment">Plants!$B$6</definedName>
    <definedName name="__VBA__first_coordinate_x" localSheetId="8" hidden="1">[1]Layout!$E$10</definedName>
    <definedName name="__VBA__first_coordinate_x">Layout!$E$10</definedName>
    <definedName name="__VBA__first_coordinate_y" localSheetId="8" hidden="1">[1]Layout!$F$10</definedName>
    <definedName name="__VBA__first_coordinate_y">Layout!$F$10</definedName>
    <definedName name="__VBA__first_diet_property">Fish!$G$7</definedName>
    <definedName name="__VBA__first_emission_chemical">Layout!$T$13</definedName>
    <definedName name="__VBA__first_erosion_parcel" localSheetId="8" hidden="1">[1]Land!$B$49</definedName>
    <definedName name="__VBA__first_erosion_parcel">Land!$B$49</definedName>
    <definedName name="__VBA__first_erosion_rate" localSheetId="8" hidden="1">[1]Land!$I$49</definedName>
    <definedName name="__VBA__first_erosion_rate">Land!$I$49</definedName>
    <definedName name="__VBA__first_fish_biomass">Fish!$P$10</definedName>
    <definedName name="__VBA__first_fish_BW">Fish!$R$10</definedName>
    <definedName name="__VBA__first_fish_lake">Fish!$C$10</definedName>
    <definedName name="__VBA__first_fish_location">Fish!$E$10</definedName>
    <definedName name="__VBA__first_fish_name">Fish!$D$10</definedName>
    <definedName name="__VBA__first_foodchain_lake" localSheetId="8" hidden="1">[1]Fish!$B$10</definedName>
    <definedName name="__VBA__first_foodchain_lake">Fish!$B$10</definedName>
    <definedName name="__VBA__first_GW_depth" localSheetId="8" hidden="1">[1]Land!$E$32</definedName>
    <definedName name="__VBA__first_GW_depth">Land!$E$32</definedName>
    <definedName name="__VBA__first_gw_fraction_sand">Soil!$F$41</definedName>
    <definedName name="__VBA__first_gw_organic_carbon">Soil!$F$42</definedName>
    <definedName name="__VBA__first_gw_pH">Soil!$F$43</definedName>
    <definedName name="__VBA__first_gw_porosity">Soil!$F$44</definedName>
    <definedName name="__VBA__first_gw_rho">Soil!$F$45</definedName>
    <definedName name="__VBA__first_lake_algae_density">Lakes!$K$9</definedName>
    <definedName name="__VBA__first_lake_annual_discharge" localSheetId="8" hidden="1">[1]Lakes!$K$37</definedName>
    <definedName name="__VBA__first_lake_annual_discharge">Lakes!$K$37</definedName>
    <definedName name="__VBA__first_lake_carbon_content">Lakes!$K$14</definedName>
    <definedName name="__VBA__first_lake_chloride_conc">Lakes!$K$10</definedName>
    <definedName name="__VBA__first_lake_chlorophyll_conc">Lakes!$K$11</definedName>
    <definedName name="__VBA__first_lake_depth" localSheetId="8" hidden="1">[1]Lakes!$K$42</definedName>
    <definedName name="__VBA__first_lake_depth">Lakes!$K$42</definedName>
    <definedName name="__VBA__first_lake_flush_rate">Lakes!$K$43</definedName>
    <definedName name="__VBA__first_lake_fraction_sand" localSheetId="8" hidden="1">[1]Lakes!#REF!</definedName>
    <definedName name="__VBA__first_lake_fraction_sand">Lakes!#REF!</definedName>
    <definedName name="__VBA__first_lake_name" localSheetId="8" hidden="1">[1]Lakes!$K$6</definedName>
    <definedName name="__VBA__first_lake_name">Lakes!$K$6</definedName>
    <definedName name="__VBA__first_lake_pH">Lakes!$K$15</definedName>
    <definedName name="__VBA__first_lake_sed_depth" localSheetId="8" hidden="1">[1]Lakes!#REF!</definedName>
    <definedName name="__VBA__first_lake_sed_depth">Lakes!#REF!</definedName>
    <definedName name="__VBA__first_lake_sediment_depth" localSheetId="8" hidden="1">[1]Lakes!$K$22</definedName>
    <definedName name="__VBA__first_lake_sediment_depth">Lakes!$K$22</definedName>
    <definedName name="__VBA__first_lake_suspended_sed">Lakes!$K$16</definedName>
    <definedName name="__VBA__first_lake_temperature_K">Lakes!$K$17</definedName>
    <definedName name="__VBA__first_land_parcel_choice" localSheetId="8" hidden="1">[1]Info!$E$6</definedName>
    <definedName name="__VBA__first_land_parcel_choice">Info!$E$6</definedName>
    <definedName name="__VBA__first_land_parcel_name">Soil!$F$6</definedName>
    <definedName name="__VBA__first_land_use" localSheetId="8" hidden="1">[1]Land!$E$14</definedName>
    <definedName name="__VBA__first_land_use">Land!$E$16</definedName>
    <definedName name="__VBA__first_modification_date" localSheetId="16" hidden="1">#REF!</definedName>
    <definedName name="__VBA__first_modification_date" localSheetId="8" hidden="1">#REF!</definedName>
    <definedName name="__VBA__first_modification_date">#REF!</definedName>
    <definedName name="__VBA__first_parameter_prop_form">Parameters!$I$7</definedName>
    <definedName name="__VBA__first_parameter_prop_name">Parameters!$H$7</definedName>
    <definedName name="__VBA__first_parameter_prop_scope">Parameters!$G$7</definedName>
    <definedName name="__VBA__first_parameter_prop_source">Parameters!$K$7</definedName>
    <definedName name="__VBA__first_parameter_prop_value">Parameters!$J$7</definedName>
    <definedName name="__VBA__first_parcel_area_m2" localSheetId="8" hidden="1">[1]Layout!$M$9</definedName>
    <definedName name="__VBA__first_parcel_area_m2">Layout!$M$9</definedName>
    <definedName name="__VBA__first_parcel_category">Layout!$I$9</definedName>
    <definedName name="__VBA__first_parcel_category_choice" localSheetId="8" hidden="1">[1]Info!$B$6</definedName>
    <definedName name="__VBA__first_parcel_category_choice">Info!$B$6</definedName>
    <definedName name="__VBA__first_parcel_ID" localSheetId="8" hidden="1">[1]Layout!#REF!</definedName>
    <definedName name="__VBA__first_parcel_ID">Layout!#REF!</definedName>
    <definedName name="__VBA__first_parcel_land_use" localSheetId="8" hidden="1">[1]Layout!$J$9</definedName>
    <definedName name="__VBA__first_parcel_land_use">Layout!$J$9</definedName>
    <definedName name="__VBA__first_parcel_name" localSheetId="8" hidden="1">[1]Layout!$H$9</definedName>
    <definedName name="__VBA__first_parcel_name">Layout!$H$9</definedName>
    <definedName name="__VBA__first_parcel_point_count">Layout!$L$9</definedName>
    <definedName name="__VBA__first_parcel_points" localSheetId="8" hidden="1">[1]Layout!$K$9</definedName>
    <definedName name="__VBA__first_parcel_points">Layout!$K$9</definedName>
    <definedName name="__VBA__first_plant_compartment" localSheetId="8" hidden="1">[1]Land!$E$33</definedName>
    <definedName name="__VBA__first_plant_compartment">Land!$E$33</definedName>
    <definedName name="__VBA__first_point_name" localSheetId="8" hidden="1">[1]Layout!$B$10</definedName>
    <definedName name="__VBA__first_point_name">Layout!$B$10</definedName>
    <definedName name="__VBA__first_precip_runoff_fraction">Soil!#REF!</definedName>
    <definedName name="__VBA__first_region">'[1]Regional Data'!$F$2</definedName>
    <definedName name="__VBA__first_region_lookup">'[1]Regional Data'!$E$3</definedName>
    <definedName name="__VBA__first_rootsoil_air_content">Soil!$F$25</definedName>
    <definedName name="__VBA__first_rootsoil_depth" localSheetId="8" hidden="1">[1]Land!$E$30</definedName>
    <definedName name="__VBA__first_rootsoil_depth">Land!$E$30</definedName>
    <definedName name="__VBA__first_rootsoil_fraction_sand">Soil!$F$28</definedName>
    <definedName name="__VBA__first_rootsoil_organic_carbon">Soil!$F$29</definedName>
    <definedName name="__VBA__first_rootsoil_pH">Soil!$F$30</definedName>
    <definedName name="__VBA__first_rootsoil_rho">Soil!$F$27</definedName>
    <definedName name="__VBA__first_rootsoil_thickness_untilled">Soil!#REF!</definedName>
    <definedName name="__VBA__first_rootsoil_vertical_velocity">Soil!$F$26</definedName>
    <definedName name="__VBA__first_rootsoil_water_content">Soil!$F$31</definedName>
    <definedName name="__VBA__first_SD_ratio">Land!$G$49</definedName>
    <definedName name="__VBA__first_sed_carbon_content">Lakes!$K$28</definedName>
    <definedName name="__VBA__first_sed_pH">Lakes!$K$27</definedName>
    <definedName name="__VBA__first_sed_resuspension_velocity">Lakes!$K$60</definedName>
    <definedName name="__VBA__first_sed_rho">Lakes!$K$23</definedName>
    <definedName name="__VBA__first_seepage_fraction">Soil!#REF!</definedName>
    <definedName name="__VBA__first_soil_parcel_area">Soil!$F$8</definedName>
    <definedName name="__VBA__first_source_elevation">Layout!$U$12</definedName>
    <definedName name="__VBA__first_source_location">Layout!$U$9</definedName>
    <definedName name="__VBA__first_source_name" localSheetId="8" hidden="1">[1]Layout!$U$8</definedName>
    <definedName name="__VBA__first_source_name">Layout!$U$8</definedName>
    <definedName name="__VBA__first_source_x">Layout!$U$10</definedName>
    <definedName name="__VBA__first_source_y">Layout!$U$11</definedName>
    <definedName name="__VBA__first_stack_chemical_emission_rate">Layout!$U$13</definedName>
    <definedName name="__VBA__first_surface_parcel_choice" localSheetId="8" hidden="1">[1]Info!$C$6</definedName>
    <definedName name="__VBA__first_surface_parcel_choice">Info!$C$6</definedName>
    <definedName name="__VBA__first_surfsoil_air_content">Soil!$F$11</definedName>
    <definedName name="__VBA__first_surfsoil_area_for_diffusion">Soil!$F$17</definedName>
    <definedName name="__VBA__first_surfsoil_area_for_erosion">Soil!$F$15</definedName>
    <definedName name="__VBA__first_surfsoil_area_for_runoff">Soil!$F$16</definedName>
    <definedName name="__VBA__first_surfsoil_boundary_thickness">Soil!$F$13</definedName>
    <definedName name="__VBA__first_surfsoil_depth" localSheetId="8" hidden="1">[1]Land!$E$29</definedName>
    <definedName name="__VBA__first_surfsoil_depth">Land!$E$29</definedName>
    <definedName name="__VBA__first_surfsoil_erosion_fraction">Soil!#REF!</definedName>
    <definedName name="__VBA__first_surfsoil_erosion_rate">Soil!$F$21</definedName>
    <definedName name="__VBA__first_surfsoil_fraction_sand">Soil!$F$18</definedName>
    <definedName name="__VBA__first_surfsoil_organic_carbon">Soil!$F$19</definedName>
    <definedName name="__VBA__first_surfsoil_pH">Soil!$F$20</definedName>
    <definedName name="__VBA__first_surfsoil_rho">Soil!$F$14</definedName>
    <definedName name="__VBA__first_surfsoil_runoff_fraction">Soil!#REF!</definedName>
    <definedName name="__VBA__first_surfsoil_runoff_rate">Soil!$F$22</definedName>
    <definedName name="__VBA__first_surfsoil_thickness_tilled">Soil!#REF!</definedName>
    <definedName name="__VBA__first_surfsoil_thickness_untilled">Soil!#REF!</definedName>
    <definedName name="__VBA__first_surfsoil_vertical_velocity">Soil!$F$12</definedName>
    <definedName name="__VBA__first_surfsoil_water_content">Soil!$F$23</definedName>
    <definedName name="__VBA__first_tributary_cell" localSheetId="16" hidden="1">#REF!</definedName>
    <definedName name="__VBA__first_tributary_cell" localSheetId="8" hidden="1">#REF!</definedName>
    <definedName name="__VBA__first_tributary_cell">#REF!</definedName>
    <definedName name="__VBA__first_tributary_downstream_parcel" localSheetId="16" hidden="1">#REF!</definedName>
    <definedName name="__VBA__first_tributary_downstream_parcel" localSheetId="8" hidden="1">#REF!</definedName>
    <definedName name="__VBA__first_tributary_downstream_parcel">#REF!</definedName>
    <definedName name="__VBA__first_tributary_row_QA" localSheetId="16" hidden="1">#REF!</definedName>
    <definedName name="__VBA__first_tributary_row_QA" localSheetId="8" hidden="1">#REF!</definedName>
    <definedName name="__VBA__first_tributary_row_QA">#REF!</definedName>
    <definedName name="__VBA__first_tributary_upstream_area" localSheetId="16" hidden="1">#REF!</definedName>
    <definedName name="__VBA__first_tributary_upstream_area" localSheetId="8" hidden="1">#REF!</definedName>
    <definedName name="__VBA__first_tributary_upstream_area">#REF!</definedName>
    <definedName name="__VBA__first_tributary_upstream_parcel" localSheetId="16" hidden="1">#REF!</definedName>
    <definedName name="__VBA__first_tributary_upstream_parcel" localSheetId="8" hidden="1">#REF!</definedName>
    <definedName name="__VBA__first_tributary_upstream_parcel">#REF!</definedName>
    <definedName name="__VBA__first_unit_soil_loss" localSheetId="8" hidden="1">[1]Land!$E$23</definedName>
    <definedName name="__VBA__first_unit_soil_loss">Land!$E$23</definedName>
    <definedName name="__VBA__first_vadosesoil_air_content">Soil!$F$33</definedName>
    <definedName name="__VBA__first_vadosesoil_depth" localSheetId="8" hidden="1">[1]Land!$E$31</definedName>
    <definedName name="__VBA__first_vadosesoil_depth">Land!$E$31</definedName>
    <definedName name="__VBA__first_vadosesoil_fraction_sand">Soil!$F$36</definedName>
    <definedName name="__VBA__first_vadosesoil_organic_carbon">Soil!$F$37</definedName>
    <definedName name="__VBA__first_vadosesoil_pH">Soil!$F$39</definedName>
    <definedName name="__VBA__first_vadosesoil_rho">Soil!$F$35</definedName>
    <definedName name="__VBA__first_vadosesoil_thickness">Soil!#REF!</definedName>
    <definedName name="__VBA__first_vadosesoil_vertical_velocity">Soil!$F$34</definedName>
    <definedName name="__VBA__first_vadosesoil_water_content">Soil!#REF!</definedName>
    <definedName name="__VBA__first_volume_element_parcel" localSheetId="8" hidden="1">[1]Layout!#REF!</definedName>
    <definedName name="__VBA__first_volume_element_parcel">Layout!#REF!</definedName>
    <definedName name="__VBA__first_water_parcel_choice" localSheetId="8" hidden="1">[1]Info!$D$6</definedName>
    <definedName name="__VBA__first_water_parcel_choice">Info!$D$6</definedName>
    <definedName name="__VBA__first_water_volume_element">Lakes!$B$13</definedName>
    <definedName name="__VBA__first_watershed_area" localSheetId="8" hidden="1">[1]Watersheds!$D$10</definedName>
    <definedName name="__VBA__first_watershed_area">Watersheds!$D$10</definedName>
    <definedName name="__VBA__first_watershed_erosion_area" localSheetId="8" hidden="1">[1]Watersheds!$E$10</definedName>
    <definedName name="__VBA__first_watershed_erosion_area">Watersheds!$E$10</definedName>
    <definedName name="__VBA__first_watershed_erosion_rate" localSheetId="8" hidden="1">[1]Watersheds!$F$10</definedName>
    <definedName name="__VBA__first_watershed_erosion_rate">Watersheds!$F$10</definedName>
    <definedName name="__VBA__first_watershed_fraction" localSheetId="8" hidden="1">[1]Watersheds!$H$10</definedName>
    <definedName name="__VBA__first_watershed_fraction">Watersheds!$H$10</definedName>
    <definedName name="__VBA__first_watershed_parcel_area" localSheetId="8" hidden="1">[1]Watersheds!$C$10</definedName>
    <definedName name="__VBA__first_watershed_parcel_area">Watersheds!$C$10</definedName>
    <definedName name="__VBA__first_watershed_receiving_parcel" localSheetId="8" hidden="1">[1]Watersheds!$H$9</definedName>
    <definedName name="__VBA__first_watershed_receiving_parcel">Watersheds!$H$9</definedName>
    <definedName name="__VBA__first_watershed_receiving_sink">Watersheds!$G$10</definedName>
    <definedName name="__VBA__first_watershed_sending_parcel" localSheetId="8" hidden="1">[1]Watersheds!$B$10</definedName>
    <definedName name="__VBA__first_watershed_sending_parcel">Watersheds!$B$10</definedName>
    <definedName name="__VBA__land_uses">ExtendtoRightmost(__VBA__first_land_use)</definedName>
    <definedName name="__VBA__parcel_names">ExtendToBottom(__VBA__first_parcel_name)</definedName>
    <definedName name="__VBA__parcel_points">ExtendToBottom(__VBA__first_parcel_points)</definedName>
    <definedName name="__VBA__point_names">ExtendToBottom(__VBA__first_point_name)</definedName>
    <definedName name="__VBA__top_left_cmpts">'3 Cmpts'!$B$5</definedName>
    <definedName name="__VBA__top_left_otherprops">'5 OtherProps'!$B$5</definedName>
    <definedName name="__VBA__top_left_props" localSheetId="16" hidden="1">'5 OtherProps'!$B$5</definedName>
    <definedName name="__VBA__top_left_props">'4 Props'!$B$5</definedName>
    <definedName name="__VBA__top_left_sources">'1 Sources'!$B$5</definedName>
    <definedName name="__VBA__top_left_volume">'2 Volume'!$B$5</definedName>
    <definedName name="__VBA__top_output_cmpts">'3 Cmpts'!$J$5</definedName>
    <definedName name="__VBA__top_output_otherprops">'5 OtherProps'!$J$5</definedName>
    <definedName name="__VBA__top_output_props" localSheetId="16" hidden="1">'5 OtherProps'!$J$5</definedName>
    <definedName name="__VBA__top_output_props">'4 Props'!$J$5</definedName>
    <definedName name="__VBA__top_output_sources">'1 Sources'!$J$5</definedName>
    <definedName name="__VBA__top_output_volume">'2 Volume'!$J$5</definedName>
    <definedName name="__VBA__top_right_cmpts">'3 Cmpts'!$H$5</definedName>
    <definedName name="__VBA__top_right_otherprops">'5 OtherProps'!$H$5</definedName>
    <definedName name="__VBA__top_right_props" localSheetId="16" hidden="1">'5 OtherProps'!$H$5</definedName>
    <definedName name="__VBA__top_right_props">'4 Props'!$H$5</definedName>
    <definedName name="__VBA__top_right_sources">'1 Sources'!$H$5</definedName>
    <definedName name="__VBA__top_right_volume">'2 Volume'!$H$5</definedName>
    <definedName name="__VBA__volume_element_parcel_names" localSheetId="16" hidden="1">ExtendToBottom(__VBA__first_volume_element_parcel_name)</definedName>
    <definedName name="__VBA__volume_element_parcel_names" localSheetId="8" hidden="1">ExtendToBottom(__VBA__first_volume_element_parcel_name)</definedName>
    <definedName name="__VBA__volume_element_parcel_names">ExtendToBottom(__VBA__first_volume_element_parcel_name)</definedName>
    <definedName name="__VBA__watershed_runoff_header">Watersheds!$G$8</definedName>
    <definedName name="__VBA__watershed_sending_parcels">ExtendToBottom(__VBA__first_watershed_sending_parcel)</definedName>
    <definedName name="__VBA__watershed_sink_header">Watersheds!$G$9</definedName>
    <definedName name="__VBA__zeroth_land_use" localSheetId="8" hidden="1">[1]Land!#REF!</definedName>
    <definedName name="__VBA__zeroth_land_use">Land!#REF!</definedName>
    <definedName name="_xlnm._FilterDatabase" localSheetId="11" hidden="1">Fish!$B$6:$R$17</definedName>
    <definedName name="_xlnm._FilterDatabase" localSheetId="4" hidden="1">Layout!$H$6:$Q$21</definedName>
    <definedName name="_xlnm._FilterDatabase" localSheetId="6" hidden="1">USLECalcs!$A$1:$K$15</definedName>
    <definedName name="acre_per_m2">Land!$J$6</definedName>
    <definedName name="air_height">Parameters!$J$69</definedName>
    <definedName name="air_parcels">ExtendToBottom(__VBA__first_air_parcel_choice)</definedName>
    <definedName name="air_temp">Parameters!$J$54</definedName>
    <definedName name="annual_discharges">ExtendtoRightmost(__VBA__first_lake_annual_discharge)</definedName>
    <definedName name="average_US_erosion_rate">Land!$E$6</definedName>
    <definedName name="composite_plant_compartments">ExtendtoRightmost(__VBA__first_composite_plant_compartment)</definedName>
    <definedName name="computed_erosion_areas">MMULT(TRANSPOSE(RunoffInitialMatrix()), watershed_parcel_areas)</definedName>
    <definedName name="computed_sediment_inflows">MMULT(TRANSPOSE(RunoffInitialMatrix()), watershed_parcel_areas * watershed_erosion_rates)</definedName>
    <definedName name="computed_tributary_adjusted_areas">MMULT(TRANSPOSE(tributary_termination_matrix), tributary_upstream_areas)</definedName>
    <definedName name="computed_watershed_areas">MMULT(TRANSPOSE(RunoffTerminationMatrix()), watershed_parcel_areas)</definedName>
    <definedName name="coordinate_system">Layout!$D$4</definedName>
    <definedName name="cumulative_rain">Parameters!$J$58</definedName>
    <definedName name="enrichment_ratio_inorganics">Land!$E$9</definedName>
    <definedName name="enrichment_ratio_organics">Land!$E$10</definedName>
    <definedName name="erosion_parcels">ExtendToBottom(__VBA__first_erosion_parcel)</definedName>
    <definedName name="erosion_rates">ExtendToBottom(__VBA__first_erosion_rate)</definedName>
    <definedName name="erosion_watershed_areas">ExtendToBottom(__VBA__first_watershed_erosion_area)</definedName>
    <definedName name="fish_lakes">ExtendToBottom(__VBA__first_foodchain_lake)</definedName>
    <definedName name="ft2_per_acre">Land!$J$7</definedName>
    <definedName name="ft2_per_m2">Land!$J$8</definedName>
    <definedName name="GW_depths">ExtendtoRightmost(__VBA__first_GW_depth)</definedName>
    <definedName name="GW_thickness">Parameters!$J$82</definedName>
    <definedName name="horiz_wind_speed">Parameters!$J$55</definedName>
    <definedName name="HTML_evaluation_pt">Parameters!$J$14</definedName>
    <definedName name="is_day">Parameters!#REF!</definedName>
    <definedName name="kg_per_ton">Land!$J$5</definedName>
    <definedName name="lake_depths">ExtendtoRightmost(__VBA__first_lake_depth)</definedName>
    <definedName name="lake_names">ExtendtoRightmost(__VBA__first_lake_name)</definedName>
    <definedName name="land_parcel_names">ExtendtoRightmost(__VBA__first_land_parcel_name)</definedName>
    <definedName name="land_parcels">ExtendToBottom(__VBA__first_land_parcel_choice)</definedName>
    <definedName name="land_use_choices">ExtendtoRightmost(__VBA__first_land_use)</definedName>
    <definedName name="layout_offset_E">Layout!$E$9</definedName>
    <definedName name="layout_offset_N">Layout!$F$9</definedName>
    <definedName name="m2_per_mi2">Land!$J$4</definedName>
    <definedName name="metdata_file">Parameters!$J$53</definedName>
    <definedName name="metdata_file_delimiter">Parameters!#REF!</definedName>
    <definedName name="mixing_height">Parameters!$J$60</definedName>
    <definedName name="output_dir">Parameters!$J$11</definedName>
    <definedName name="output_time_step">Parameters!$J$17</definedName>
    <definedName name="parcel_areas_m2">ExtendToBottom(__VBA__first_parcel_area_m2)</definedName>
    <definedName name="parcel_category_choices">ExtendToBottom(__VBA__first_parcel_category_choice)</definedName>
    <definedName name="parcel_land_uses">ExtendToBottom(__VBA__first_parcel_land_use)</definedName>
    <definedName name="parcel_names">ExtendToBottom(__VBA__first_parcel_name)</definedName>
    <definedName name="parcel_point_lists">ExtendToBottom(__VBA__first_parcel_points)</definedName>
    <definedName name="plant_compartments">ExtendtoRightmost(__VBA__first_plant_compartment)</definedName>
    <definedName name="precip_fraction_evap">Parameters!$J$50</definedName>
    <definedName name="precip_fraction_runoff">Parameters!$J$52</definedName>
    <definedName name="precip_fraction_seepage">Parameters!$J$51</definedName>
    <definedName name="precip_runoff_fractions">ExtendtoRightmost(__VBA__first_precip_runoff_fraction)</definedName>
    <definedName name="precipitation_rate">Parameters!$J$49</definedName>
    <definedName name="pretty_scenario_name">Parameters!$J$7</definedName>
    <definedName name="rain">Parameters!$J$57</definedName>
    <definedName name="Receiving_Parcel">ExtendtoRightmost('[2]Runoff Tool'!$A$1)</definedName>
    <definedName name="region_lookups">ExtendToBottom(__VBA__first_region_lookup)</definedName>
    <definedName name="regions">ExtendtoRightmost(__VBA__first_region)</definedName>
    <definedName name="rootsoil_depths">ExtendtoRightmost(__VBA__first_rootsoil_depth)</definedName>
    <definedName name="runoff_termination_matrix">MMultPower(watershed_matrix, 300)</definedName>
    <definedName name="runoff_watershed_areas">ExtendToBottom(__VBA__first_watershed_area)</definedName>
    <definedName name="RunoffMatrix">ExtendToBottom(ExtendtoRightmost('[2]Runoff Tool'!$A$1))</definedName>
    <definedName name="scenario_description">Parameters!$J$9</definedName>
    <definedName name="scenario_name">Parameters!$J$8</definedName>
    <definedName name="SD_coeff_areas">Land!$E$37:$E$41</definedName>
    <definedName name="SD_coeff_intercepts">Land!$F$37:$F$41</definedName>
    <definedName name="SD_coeff_slopes">Land!$G$37:$G$41</definedName>
    <definedName name="seconds_per_yr">Lakes!$C$10</definedName>
    <definedName name="sediment_depths">ExtendtoRightmost(__VBA__first_lake_sediment_depth)</definedName>
    <definedName name="seepage_fractions">ExtendtoRightmost(__VBA__first_seepage_fraction)</definedName>
    <definedName name="Sending_Parcel">ExtendToBottom('[2]Runoff Tool'!$A$1)</definedName>
    <definedName name="setupfile_dir">Parameters!$J$10</definedName>
    <definedName name="simulation_end">Parameters!$J$13</definedName>
    <definedName name="simulation_start">Parameters!$J$12</definedName>
    <definedName name="simulation_time_step">Parameters!$J$16</definedName>
    <definedName name="soil_parcel_areas">ExtendtoRightmost(__VBA__first_soil_parcel_area)</definedName>
    <definedName name="soil_porosity">Land!$E$8</definedName>
    <definedName name="source_names">ExtendtoRightmost(__VBA__first_source_name)</definedName>
    <definedName name="surface_parcels">ExtendToBottom(__VBA__first_surface_parcel_choice)</definedName>
    <definedName name="surfsoil_depths">ExtendtoRightmost(__VBA__first_surfsoil_depth)</definedName>
    <definedName name="tilled_rootsoil_thickness">Parameters!$J$78</definedName>
    <definedName name="tilled_surfsoil_thickness">Parameters!$J$75</definedName>
    <definedName name="tributary_downstream_parcels">ExtendtoRightmost(__VBA__first_tributary_downstream_parcel)</definedName>
    <definedName name="tributary_matrix">ExtendToBottom(ExtendtoRightmost(__VBA__first_tributary_cell))</definedName>
    <definedName name="tributary_row_QA">ExtendToBottom(__VBA__first_tributary_row_QA)</definedName>
    <definedName name="tributary_termination_matrix">MMultPower(tributary_matrix, 300)</definedName>
    <definedName name="tributary_upstream_areas">ExtendToBottom(__VBA__first_tributary_upstream_area)</definedName>
    <definedName name="tributary_upstream_parcels">ExtendToBottom(__VBA__first_tributary_upstream_parcel)</definedName>
    <definedName name="unit_soil_losses">ExtendtoRightmost(__VBA__first_unit_soil_loss)</definedName>
    <definedName name="untilled_rootsoil_thickness">Parameters!$J$77</definedName>
    <definedName name="untilled_surfsoil_thickness">Parameters!$J$74</definedName>
    <definedName name="USLE_Calcs">ExtendToBottom(ExtendtoRightmost(USLECalcs!$A$4))</definedName>
    <definedName name="vadosesoil_depths">ExtendtoRightmost(__VBA__first_vadosesoil_depth)</definedName>
    <definedName name="vadosesoil_thickness">Parameters!$J$80</definedName>
    <definedName name="VadoseZone_pH">ExtendtoRightmost(Soil!$F$38)</definedName>
    <definedName name="VadoseZone_WaterContent">ExtendtoRightmost(Soil!$F$39)</definedName>
    <definedName name="vert_wind_speed">Parameters!$J$48</definedName>
    <definedName name="water_parcels">ExtendToBottom(__VBA__first_water_parcel_choice)</definedName>
    <definedName name="watershed_erosion_areas">ExtendToBottom(__VBA__first_watershed_erosion_area)</definedName>
    <definedName name="watershed_erosion_rates">ExtendToBottom(__VBA__first_watershed_erosion_rate)</definedName>
    <definedName name="watershed_matrix">ExtendToBottom(ExtendtoRightmost(__VBA__first_watershed_fraction))</definedName>
    <definedName name="watershed_parcel_areas">ExtendToBottom(__VBA__first_watershed_parcel_area)</definedName>
    <definedName name="watershed_receiving_parcels">ExtendtoRightmost(__VBA__first_watershed_receiving_parcel)</definedName>
    <definedName name="watershed_sending_parcels">ExtendToBottom(__VBA__first_watershed_sending_parcel)</definedName>
    <definedName name="wind">Tracking!$A$1</definedName>
    <definedName name="wind_direction">Parameters!$J$56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92" i="75" l="1"/>
  <c r="C90" i="75"/>
  <c r="C88" i="75"/>
  <c r="C86" i="75"/>
  <c r="C85" i="75"/>
  <c r="C78" i="75"/>
  <c r="C77" i="75"/>
  <c r="C76" i="75"/>
  <c r="C74" i="75"/>
  <c r="C73" i="75"/>
  <c r="C72" i="75"/>
  <c r="C71" i="75"/>
  <c r="C70" i="75"/>
  <c r="C69" i="75"/>
  <c r="C66" i="75"/>
  <c r="C62" i="75"/>
  <c r="C59" i="75"/>
  <c r="C51" i="75"/>
  <c r="C49" i="75"/>
  <c r="C47" i="75"/>
  <c r="C45" i="75"/>
  <c r="C43" i="75"/>
  <c r="C41" i="75"/>
  <c r="C39" i="75"/>
  <c r="C37" i="75"/>
  <c r="C35" i="75"/>
  <c r="C33" i="75"/>
  <c r="C31" i="75"/>
  <c r="C29" i="75"/>
  <c r="C27" i="75"/>
  <c r="C25" i="75"/>
  <c r="C23" i="75"/>
  <c r="C21" i="75"/>
  <c r="C19" i="75"/>
  <c r="C11" i="75"/>
  <c r="B9" i="75"/>
  <c r="B8" i="75"/>
  <c r="C119" i="74"/>
  <c r="C120" i="74" s="1"/>
  <c r="B120" i="74" s="1"/>
  <c r="E119" i="74"/>
  <c r="C112" i="74"/>
  <c r="B112" i="74" s="1"/>
  <c r="C111" i="74"/>
  <c r="B111" i="74" s="1"/>
  <c r="C110" i="74"/>
  <c r="B110" i="74"/>
  <c r="C109" i="74"/>
  <c r="B109" i="74"/>
  <c r="C103" i="74"/>
  <c r="B103" i="74" s="1"/>
  <c r="F103" i="74"/>
  <c r="C102" i="74"/>
  <c r="B102" i="74" s="1"/>
  <c r="F102" i="74"/>
  <c r="C101" i="74"/>
  <c r="B101" i="74" s="1"/>
  <c r="F101" i="74"/>
  <c r="C100" i="74"/>
  <c r="B100" i="74"/>
  <c r="F100" i="74"/>
  <c r="C99" i="74"/>
  <c r="B99" i="74" s="1"/>
  <c r="F99" i="74"/>
  <c r="C98" i="74"/>
  <c r="B98" i="74"/>
  <c r="F98" i="74"/>
  <c r="C97" i="74"/>
  <c r="B97" i="74" s="1"/>
  <c r="F97" i="74"/>
  <c r="C96" i="74"/>
  <c r="B96" i="74"/>
  <c r="F96" i="74"/>
  <c r="C95" i="74"/>
  <c r="B95" i="74" s="1"/>
  <c r="F95" i="74"/>
  <c r="C94" i="74"/>
  <c r="B94" i="74"/>
  <c r="F94" i="74"/>
  <c r="C93" i="74"/>
  <c r="B93" i="74" s="1"/>
  <c r="F93" i="74"/>
  <c r="C92" i="74"/>
  <c r="B92" i="74"/>
  <c r="F92" i="74"/>
  <c r="C91" i="74"/>
  <c r="B91" i="74" s="1"/>
  <c r="F91" i="74"/>
  <c r="C90" i="74"/>
  <c r="B90" i="74"/>
  <c r="F90" i="74"/>
  <c r="C89" i="74"/>
  <c r="B89" i="74" s="1"/>
  <c r="F89" i="74"/>
  <c r="C88" i="74"/>
  <c r="B88" i="74"/>
  <c r="F88" i="74"/>
  <c r="C87" i="74"/>
  <c r="B87" i="74" s="1"/>
  <c r="F87" i="74"/>
  <c r="B77" i="74"/>
  <c r="D77" i="74"/>
  <c r="B76" i="74"/>
  <c r="D76" i="74"/>
  <c r="B75" i="74"/>
  <c r="D75" i="74"/>
  <c r="B74" i="74"/>
  <c r="D74" i="74"/>
  <c r="B73" i="74"/>
  <c r="D73" i="74"/>
  <c r="B72" i="74"/>
  <c r="D72" i="74"/>
  <c r="B71" i="74"/>
  <c r="D71" i="74"/>
  <c r="B70" i="74"/>
  <c r="D70" i="74"/>
  <c r="B69" i="74"/>
  <c r="D69" i="74"/>
  <c r="B68" i="74"/>
  <c r="D68" i="74"/>
  <c r="B67" i="74"/>
  <c r="D67" i="74"/>
  <c r="B66" i="74"/>
  <c r="D66" i="74"/>
  <c r="B65" i="74"/>
  <c r="D65" i="74"/>
  <c r="B64" i="74"/>
  <c r="D64" i="74"/>
  <c r="B63" i="74"/>
  <c r="D63" i="74"/>
  <c r="B62" i="74"/>
  <c r="D62" i="74"/>
  <c r="B61" i="74"/>
  <c r="D61" i="74"/>
  <c r="B60" i="74"/>
  <c r="D60" i="74"/>
  <c r="B59" i="74"/>
  <c r="D59" i="74"/>
  <c r="B54" i="74"/>
  <c r="C54" i="74"/>
  <c r="D54" i="74"/>
  <c r="B53" i="74"/>
  <c r="C53" i="74"/>
  <c r="D53" i="74"/>
  <c r="B52" i="74"/>
  <c r="C52" i="74"/>
  <c r="D52" i="74"/>
  <c r="B51" i="74"/>
  <c r="C51" i="74"/>
  <c r="D51" i="74"/>
  <c r="B50" i="74"/>
  <c r="C50" i="74"/>
  <c r="D50" i="74"/>
  <c r="B49" i="74"/>
  <c r="C49" i="74"/>
  <c r="D49" i="74"/>
  <c r="B48" i="74"/>
  <c r="C48" i="74"/>
  <c r="D48" i="74"/>
  <c r="B47" i="74"/>
  <c r="C47" i="74"/>
  <c r="D47" i="74"/>
  <c r="B46" i="74"/>
  <c r="C46" i="74"/>
  <c r="D46" i="74"/>
  <c r="B45" i="74"/>
  <c r="C45" i="74"/>
  <c r="D45" i="74"/>
  <c r="B44" i="74"/>
  <c r="C44" i="74"/>
  <c r="D44" i="74"/>
  <c r="B43" i="74"/>
  <c r="C43" i="74"/>
  <c r="D43" i="74"/>
  <c r="B42" i="74"/>
  <c r="C42" i="74"/>
  <c r="D42" i="74"/>
  <c r="B41" i="74"/>
  <c r="C41" i="74"/>
  <c r="D41" i="74"/>
  <c r="B40" i="74"/>
  <c r="C40" i="74"/>
  <c r="D40" i="74"/>
  <c r="B39" i="74"/>
  <c r="C39" i="74"/>
  <c r="D39" i="74"/>
  <c r="B38" i="74"/>
  <c r="C38" i="74"/>
  <c r="D38" i="74"/>
  <c r="B37" i="74"/>
  <c r="C37" i="74"/>
  <c r="D37" i="74"/>
  <c r="B36" i="74"/>
  <c r="C36" i="74"/>
  <c r="D36" i="74"/>
  <c r="B35" i="74"/>
  <c r="C35" i="74"/>
  <c r="D35" i="74"/>
  <c r="B34" i="74"/>
  <c r="C34" i="74"/>
  <c r="D34" i="74"/>
  <c r="B33" i="74"/>
  <c r="C33" i="74"/>
  <c r="D33" i="74"/>
  <c r="B32" i="74"/>
  <c r="C32" i="74"/>
  <c r="D32" i="74"/>
  <c r="B31" i="74"/>
  <c r="C31" i="74"/>
  <c r="D31" i="74"/>
  <c r="B30" i="74"/>
  <c r="C30" i="74"/>
  <c r="D30" i="74"/>
  <c r="B29" i="74"/>
  <c r="C29" i="74"/>
  <c r="D29" i="74"/>
  <c r="B28" i="74"/>
  <c r="C28" i="74"/>
  <c r="D28" i="74"/>
  <c r="B27" i="74"/>
  <c r="C27" i="74"/>
  <c r="D27" i="74"/>
  <c r="B26" i="74"/>
  <c r="C26" i="74"/>
  <c r="D26" i="74"/>
  <c r="B25" i="74"/>
  <c r="C25" i="74"/>
  <c r="D25" i="74"/>
  <c r="B24" i="74"/>
  <c r="C24" i="74"/>
  <c r="D24" i="74"/>
  <c r="B23" i="74"/>
  <c r="C23" i="74"/>
  <c r="D23" i="74"/>
  <c r="B22" i="74"/>
  <c r="C22" i="74"/>
  <c r="D22" i="74"/>
  <c r="B21" i="74"/>
  <c r="C21" i="74"/>
  <c r="D21" i="74"/>
  <c r="B20" i="74"/>
  <c r="C20" i="74"/>
  <c r="D20" i="74"/>
  <c r="B19" i="74"/>
  <c r="C19" i="74"/>
  <c r="D19" i="74"/>
  <c r="C12" i="74"/>
  <c r="C11" i="74"/>
  <c r="B9" i="74"/>
  <c r="B8" i="74"/>
  <c r="E120" i="74"/>
  <c r="E111" i="74"/>
  <c r="E109" i="74"/>
  <c r="J83" i="75"/>
  <c r="J32" i="75"/>
  <c r="J66" i="75"/>
  <c r="J72" i="75"/>
  <c r="J82" i="75"/>
  <c r="J21" i="75"/>
  <c r="J86" i="75"/>
  <c r="J74" i="75"/>
  <c r="J12" i="75"/>
  <c r="J64" i="75"/>
  <c r="J31" i="75"/>
  <c r="J50" i="75"/>
  <c r="J89" i="75"/>
  <c r="J28" i="75"/>
  <c r="J79" i="74"/>
  <c r="J102" i="74"/>
  <c r="J86" i="74"/>
  <c r="J54" i="74"/>
  <c r="J38" i="74"/>
  <c r="J22" i="74"/>
  <c r="J17" i="74"/>
  <c r="J15" i="74"/>
  <c r="J95" i="74"/>
  <c r="J41" i="74"/>
  <c r="J25" i="74"/>
  <c r="J20" i="74"/>
  <c r="J19" i="74"/>
  <c r="J39" i="74"/>
  <c r="J23" i="74"/>
  <c r="J54" i="75"/>
  <c r="J73" i="75"/>
  <c r="J16" i="75"/>
  <c r="J106" i="74"/>
  <c r="J46" i="74"/>
  <c r="J114" i="74"/>
  <c r="J80" i="74"/>
  <c r="J44" i="75"/>
  <c r="J90" i="74"/>
  <c r="J105" i="74"/>
  <c r="J45" i="74"/>
  <c r="J14" i="75"/>
  <c r="J108" i="74"/>
  <c r="J16" i="74"/>
  <c r="J43" i="74"/>
  <c r="J68" i="75"/>
  <c r="J76" i="75"/>
  <c r="J15" i="75"/>
  <c r="J59" i="75"/>
  <c r="J70" i="75"/>
  <c r="J7" i="75"/>
  <c r="J58" i="75"/>
  <c r="J8" i="75"/>
  <c r="J39" i="75"/>
  <c r="J84" i="75"/>
  <c r="J17" i="75"/>
  <c r="J56" i="74"/>
  <c r="J100" i="74"/>
  <c r="J78" i="74"/>
  <c r="J52" i="74"/>
  <c r="J36" i="74"/>
  <c r="J5" i="74"/>
  <c r="J93" i="74"/>
  <c r="J58" i="74"/>
  <c r="J87" i="75"/>
  <c r="J49" i="74"/>
  <c r="J26" i="74"/>
  <c r="J29" i="74"/>
  <c r="J78" i="75"/>
  <c r="J27" i="74"/>
  <c r="J55" i="75"/>
  <c r="J67" i="75"/>
  <c r="J92" i="75"/>
  <c r="J52" i="75"/>
  <c r="J65" i="75"/>
  <c r="J38" i="75"/>
  <c r="J45" i="75"/>
  <c r="J36" i="75"/>
  <c r="J34" i="75"/>
  <c r="J77" i="75"/>
  <c r="J10" i="75"/>
  <c r="J12" i="74"/>
  <c r="J98" i="74"/>
  <c r="J55" i="74"/>
  <c r="J50" i="74"/>
  <c r="J34" i="74"/>
  <c r="J6" i="74"/>
  <c r="J10" i="74"/>
  <c r="J119" i="74"/>
  <c r="J91" i="74"/>
  <c r="J53" i="74"/>
  <c r="J37" i="74"/>
  <c r="J21" i="74"/>
  <c r="J25" i="75"/>
  <c r="J18" i="75"/>
  <c r="J94" i="74"/>
  <c r="J30" i="74"/>
  <c r="J87" i="74"/>
  <c r="J27" i="75"/>
  <c r="J99" i="74"/>
  <c r="J13" i="74"/>
  <c r="J19" i="75"/>
  <c r="J57" i="75"/>
  <c r="J107" i="74"/>
  <c r="J24" i="74"/>
  <c r="J97" i="74"/>
  <c r="J9" i="75"/>
  <c r="J61" i="75"/>
  <c r="J71" i="75"/>
  <c r="J41" i="75"/>
  <c r="J51" i="75"/>
  <c r="J22" i="75"/>
  <c r="J40" i="75"/>
  <c r="J20" i="75"/>
  <c r="J23" i="75"/>
  <c r="J62" i="75"/>
  <c r="J43" i="75"/>
  <c r="J7" i="74"/>
  <c r="J96" i="74"/>
  <c r="J116" i="74"/>
  <c r="J48" i="74"/>
  <c r="J32" i="74"/>
  <c r="J9" i="74"/>
  <c r="J120" i="74"/>
  <c r="J113" i="74"/>
  <c r="J89" i="74"/>
  <c r="J51" i="74"/>
  <c r="J35" i="74"/>
  <c r="J109" i="74"/>
  <c r="J81" i="75"/>
  <c r="J53" i="75"/>
  <c r="J46" i="75"/>
  <c r="J29" i="75"/>
  <c r="J56" i="75"/>
  <c r="J18" i="74"/>
  <c r="J14" i="74"/>
  <c r="J103" i="74"/>
  <c r="J33" i="74"/>
  <c r="J63" i="75"/>
  <c r="J83" i="74"/>
  <c r="J79" i="75"/>
  <c r="J33" i="75"/>
  <c r="J40" i="74"/>
  <c r="J94" i="75"/>
  <c r="J42" i="75"/>
  <c r="J48" i="75"/>
  <c r="J47" i="75"/>
  <c r="J80" i="75"/>
  <c r="J35" i="75"/>
  <c r="J90" i="75"/>
  <c r="J24" i="75"/>
  <c r="J69" i="75"/>
  <c r="J5" i="75"/>
  <c r="J49" i="75"/>
  <c r="J60" i="75"/>
  <c r="J8" i="74"/>
  <c r="J92" i="74"/>
  <c r="J85" i="74"/>
  <c r="J44" i="74"/>
  <c r="J28" i="74"/>
  <c r="J115" i="74"/>
  <c r="J104" i="74"/>
  <c r="J101" i="74"/>
  <c r="J82" i="74"/>
  <c r="J47" i="74"/>
  <c r="J31" i="74"/>
  <c r="J57" i="74"/>
  <c r="J88" i="75"/>
  <c r="J13" i="75"/>
  <c r="J37" i="75"/>
  <c r="J26" i="75"/>
  <c r="J91" i="75"/>
  <c r="J30" i="75"/>
  <c r="J85" i="75"/>
  <c r="J6" i="75"/>
  <c r="J118" i="74"/>
  <c r="J117" i="74"/>
  <c r="J42" i="74"/>
  <c r="J111" i="74"/>
  <c r="J93" i="75"/>
  <c r="J75" i="75"/>
  <c r="J88" i="74"/>
  <c r="J84" i="74"/>
  <c r="J81" i="74"/>
  <c r="J11" i="74"/>
  <c r="J11" i="75"/>
  <c r="F110" i="74" l="1"/>
  <c r="F112" i="74"/>
  <c r="E110" i="74"/>
  <c r="E112" i="74"/>
  <c r="J110" i="74"/>
  <c r="J112" i="74"/>
  <c r="C73" i="88" l="1"/>
  <c r="D73" i="88"/>
  <c r="C72" i="88"/>
  <c r="D72" i="88"/>
  <c r="C71" i="88"/>
  <c r="D71" i="88"/>
  <c r="C70" i="88"/>
  <c r="D70" i="88"/>
  <c r="C69" i="88"/>
  <c r="D69" i="88"/>
  <c r="C68" i="88"/>
  <c r="D68" i="88"/>
  <c r="C67" i="88"/>
  <c r="D67" i="88"/>
  <c r="C66" i="88"/>
  <c r="D66" i="88"/>
  <c r="C65" i="88"/>
  <c r="D65" i="88"/>
  <c r="C64" i="88"/>
  <c r="D64" i="88"/>
  <c r="C63" i="88"/>
  <c r="D63" i="88"/>
  <c r="C62" i="88"/>
  <c r="D62" i="88"/>
  <c r="C61" i="88"/>
  <c r="D61" i="88"/>
  <c r="C60" i="88"/>
  <c r="D60" i="88"/>
  <c r="C59" i="88"/>
  <c r="D59" i="88"/>
  <c r="C58" i="88"/>
  <c r="D58" i="88"/>
  <c r="C57" i="88"/>
  <c r="D57" i="88"/>
  <c r="C56" i="88"/>
  <c r="D56" i="88"/>
  <c r="C55" i="88"/>
  <c r="D55" i="88"/>
  <c r="C54" i="88"/>
  <c r="D54" i="88"/>
  <c r="C53" i="88"/>
  <c r="D53" i="88"/>
  <c r="C52" i="88"/>
  <c r="D52" i="88"/>
  <c r="C51" i="88"/>
  <c r="D51" i="88"/>
  <c r="C50" i="88"/>
  <c r="D50" i="88"/>
  <c r="C49" i="88"/>
  <c r="D49" i="88"/>
  <c r="C48" i="88"/>
  <c r="D48" i="88"/>
  <c r="C47" i="88"/>
  <c r="D47" i="88"/>
  <c r="C46" i="88"/>
  <c r="D46" i="88"/>
  <c r="C45" i="88"/>
  <c r="D45" i="88"/>
  <c r="C44" i="88"/>
  <c r="D44" i="88"/>
  <c r="C43" i="88"/>
  <c r="D43" i="88"/>
  <c r="C42" i="88"/>
  <c r="D42" i="88"/>
  <c r="C41" i="88"/>
  <c r="D41" i="88"/>
  <c r="C40" i="88"/>
  <c r="D40" i="88"/>
  <c r="C39" i="88"/>
  <c r="D39" i="88"/>
  <c r="C38" i="88"/>
  <c r="D38" i="88"/>
  <c r="C37" i="88"/>
  <c r="D37" i="88"/>
  <c r="C35" i="88"/>
  <c r="C34" i="88" s="1"/>
  <c r="C25" i="88"/>
  <c r="C22" i="88"/>
  <c r="C20" i="88"/>
  <c r="C10" i="88"/>
  <c r="J34" i="88"/>
  <c r="J6" i="88"/>
  <c r="J74" i="88"/>
  <c r="J51" i="88"/>
  <c r="J52" i="88"/>
  <c r="J24" i="88"/>
  <c r="J48" i="88"/>
  <c r="J66" i="88"/>
  <c r="J72" i="88"/>
  <c r="J38" i="88"/>
  <c r="J50" i="88"/>
  <c r="J57" i="88"/>
  <c r="J16" i="88"/>
  <c r="J68" i="88"/>
  <c r="J23" i="88"/>
  <c r="J17" i="88"/>
  <c r="J73" i="88"/>
  <c r="J53" i="88"/>
  <c r="J37" i="88"/>
  <c r="J15" i="88"/>
  <c r="J33" i="88"/>
  <c r="J11" i="88"/>
  <c r="J14" i="88"/>
  <c r="J40" i="88"/>
  <c r="J58" i="88"/>
  <c r="J35" i="88"/>
  <c r="J47" i="88"/>
  <c r="J20" i="88"/>
  <c r="J67" i="88"/>
  <c r="J22" i="88"/>
  <c r="J18" i="88"/>
  <c r="J19" i="88"/>
  <c r="J64" i="88"/>
  <c r="J59" i="88"/>
  <c r="J39" i="88"/>
  <c r="J61" i="88"/>
  <c r="J49" i="88"/>
  <c r="J75" i="88"/>
  <c r="J62" i="88"/>
  <c r="J5" i="88"/>
  <c r="J56" i="88"/>
  <c r="J12" i="88"/>
  <c r="J9" i="88"/>
  <c r="J55" i="88"/>
  <c r="J41" i="88"/>
  <c r="J43" i="88"/>
  <c r="J69" i="88"/>
  <c r="J42" i="88"/>
  <c r="J25" i="88"/>
  <c r="J70" i="88"/>
  <c r="J63" i="88"/>
  <c r="J21" i="88"/>
  <c r="J46" i="88"/>
  <c r="J13" i="88"/>
  <c r="J30" i="88"/>
  <c r="J65" i="88"/>
  <c r="J36" i="88"/>
  <c r="J45" i="88"/>
  <c r="J54" i="88"/>
  <c r="J26" i="88"/>
  <c r="J60" i="88"/>
  <c r="J44" i="88"/>
  <c r="J27" i="88"/>
  <c r="J71" i="88"/>
  <c r="J10" i="88"/>
  <c r="C1353" i="76" l="1"/>
  <c r="C1352" i="76" s="1"/>
  <c r="C1347" i="76"/>
  <c r="C1346" i="76"/>
  <c r="C1344" i="76"/>
  <c r="C1343" i="76" s="1"/>
  <c r="C1341" i="76"/>
  <c r="C1340" i="76"/>
  <c r="C1338" i="76"/>
  <c r="C1337" i="76" s="1"/>
  <c r="C1335" i="76"/>
  <c r="C1334" i="76" s="1"/>
  <c r="C1332" i="76"/>
  <c r="C1331" i="76" s="1"/>
  <c r="C1329" i="76"/>
  <c r="C1328" i="76" s="1"/>
  <c r="C1326" i="76"/>
  <c r="C1325" i="76" s="1"/>
  <c r="C1323" i="76"/>
  <c r="C1322" i="76"/>
  <c r="C1320" i="76"/>
  <c r="C1319" i="76" s="1"/>
  <c r="C1317" i="76"/>
  <c r="C1316" i="76"/>
  <c r="C1312" i="76"/>
  <c r="C1311" i="76"/>
  <c r="C1306" i="76"/>
  <c r="C1305" i="76" s="1"/>
  <c r="C1303" i="76"/>
  <c r="C1302" i="76" s="1"/>
  <c r="C1300" i="76"/>
  <c r="C1299" i="76" s="1"/>
  <c r="C1297" i="76"/>
  <c r="C1296" i="76" s="1"/>
  <c r="C1294" i="76"/>
  <c r="C1293" i="76"/>
  <c r="C1291" i="76"/>
  <c r="C1290" i="76" s="1"/>
  <c r="C1288" i="76"/>
  <c r="C1287" i="76"/>
  <c r="C1285" i="76"/>
  <c r="C1284" i="76" s="1"/>
  <c r="C1282" i="76"/>
  <c r="C1281" i="76" s="1"/>
  <c r="C1279" i="76"/>
  <c r="C1278" i="76" s="1"/>
  <c r="C1276" i="76"/>
  <c r="C1275" i="76" s="1"/>
  <c r="C1271" i="76"/>
  <c r="C1270" i="76" s="1"/>
  <c r="C1265" i="76"/>
  <c r="C1264" i="76" s="1"/>
  <c r="C1262" i="76"/>
  <c r="C1261" i="76"/>
  <c r="C1259" i="76"/>
  <c r="C1258" i="76" s="1"/>
  <c r="C1256" i="76"/>
  <c r="C1255" i="76"/>
  <c r="C1253" i="76"/>
  <c r="C1252" i="76" s="1"/>
  <c r="C1250" i="76"/>
  <c r="C1249" i="76" s="1"/>
  <c r="C1247" i="76"/>
  <c r="C1246" i="76" s="1"/>
  <c r="C1244" i="76"/>
  <c r="C1243" i="76" s="1"/>
  <c r="C1241" i="76"/>
  <c r="C1240" i="76" s="1"/>
  <c r="C1238" i="76"/>
  <c r="C1237" i="76"/>
  <c r="C1235" i="76"/>
  <c r="C1234" i="76" s="1"/>
  <c r="C1230" i="76"/>
  <c r="C1229" i="76"/>
  <c r="C1224" i="76"/>
  <c r="C1223" i="76"/>
  <c r="C1221" i="76"/>
  <c r="C1220" i="76" s="1"/>
  <c r="C1218" i="76"/>
  <c r="C1217" i="76" s="1"/>
  <c r="C1215" i="76"/>
  <c r="C1214" i="76" s="1"/>
  <c r="C1212" i="76"/>
  <c r="C1211" i="76" s="1"/>
  <c r="C1209" i="76"/>
  <c r="C1208" i="76"/>
  <c r="C1206" i="76"/>
  <c r="C1205" i="76" s="1"/>
  <c r="C1203" i="76"/>
  <c r="C1202" i="76"/>
  <c r="C1200" i="76"/>
  <c r="C1199" i="76" s="1"/>
  <c r="C1197" i="76"/>
  <c r="C1196" i="76" s="1"/>
  <c r="C1194" i="76"/>
  <c r="C1193" i="76" s="1"/>
  <c r="C1189" i="76"/>
  <c r="C1188" i="76" s="1"/>
  <c r="C1183" i="76"/>
  <c r="C1182" i="76"/>
  <c r="C1180" i="76"/>
  <c r="C1179" i="76" s="1"/>
  <c r="C1177" i="76"/>
  <c r="C1176" i="76"/>
  <c r="C1174" i="76"/>
  <c r="C1173" i="76" s="1"/>
  <c r="C1171" i="76"/>
  <c r="C1170" i="76"/>
  <c r="C1168" i="76"/>
  <c r="C1167" i="76" s="1"/>
  <c r="C1165" i="76"/>
  <c r="C1164" i="76" s="1"/>
  <c r="C1162" i="76"/>
  <c r="C1161" i="76" s="1"/>
  <c r="C1159" i="76"/>
  <c r="C1158" i="76" s="1"/>
  <c r="C1156" i="76"/>
  <c r="C1155" i="76"/>
  <c r="C1153" i="76"/>
  <c r="C1152" i="76" s="1"/>
  <c r="C1148" i="76"/>
  <c r="C1147" i="76"/>
  <c r="C1142" i="76"/>
  <c r="C1141" i="76"/>
  <c r="C1139" i="76"/>
  <c r="C1138" i="76" s="1"/>
  <c r="C1136" i="76"/>
  <c r="C1135" i="76" s="1"/>
  <c r="C1133" i="76"/>
  <c r="C1132" i="76" s="1"/>
  <c r="C1130" i="76"/>
  <c r="C1129" i="76" s="1"/>
  <c r="C1127" i="76"/>
  <c r="C1126" i="76"/>
  <c r="C1124" i="76"/>
  <c r="C1123" i="76" s="1"/>
  <c r="C1121" i="76"/>
  <c r="C1120" i="76"/>
  <c r="C1118" i="76"/>
  <c r="C1117" i="76" s="1"/>
  <c r="C1115" i="76"/>
  <c r="C1114" i="76" s="1"/>
  <c r="C1112" i="76"/>
  <c r="C1111" i="76" s="1"/>
  <c r="C1107" i="76"/>
  <c r="C1106" i="76" s="1"/>
  <c r="C1101" i="76"/>
  <c r="C1100" i="76"/>
  <c r="C1098" i="76"/>
  <c r="C1097" i="76" s="1"/>
  <c r="C1095" i="76"/>
  <c r="C1094" i="76"/>
  <c r="C1092" i="76"/>
  <c r="C1091" i="76" s="1"/>
  <c r="C1089" i="76"/>
  <c r="C1088" i="76"/>
  <c r="C1086" i="76"/>
  <c r="C1085" i="76" s="1"/>
  <c r="C1083" i="76"/>
  <c r="C1082" i="76" s="1"/>
  <c r="C1080" i="76"/>
  <c r="C1079" i="76" s="1"/>
  <c r="C1077" i="76"/>
  <c r="C1076" i="76" s="1"/>
  <c r="C1074" i="76"/>
  <c r="C1073" i="76"/>
  <c r="C1071" i="76"/>
  <c r="C1070" i="76" s="1"/>
  <c r="C1066" i="76"/>
  <c r="C1065" i="76"/>
  <c r="C1060" i="76"/>
  <c r="C1059" i="76"/>
  <c r="C1057" i="76"/>
  <c r="C1056" i="76" s="1"/>
  <c r="C1054" i="76"/>
  <c r="C1053" i="76" s="1"/>
  <c r="C1051" i="76"/>
  <c r="C1050" i="76" s="1"/>
  <c r="C1048" i="76"/>
  <c r="C1047" i="76" s="1"/>
  <c r="C1045" i="76"/>
  <c r="C1044" i="76"/>
  <c r="C1042" i="76"/>
  <c r="C1041" i="76" s="1"/>
  <c r="C1039" i="76"/>
  <c r="C1038" i="76"/>
  <c r="C1036" i="76"/>
  <c r="C1035" i="76" s="1"/>
  <c r="C1033" i="76"/>
  <c r="C1032" i="76" s="1"/>
  <c r="C1030" i="76"/>
  <c r="C1029" i="76" s="1"/>
  <c r="C1025" i="76"/>
  <c r="C1024" i="76" s="1"/>
  <c r="C1019" i="76"/>
  <c r="C1018" i="76"/>
  <c r="C1016" i="76"/>
  <c r="C1015" i="76" s="1"/>
  <c r="C1013" i="76"/>
  <c r="C1012" i="76"/>
  <c r="C1010" i="76"/>
  <c r="C1009" i="76" s="1"/>
  <c r="C1007" i="76"/>
  <c r="C1006" i="76"/>
  <c r="C1004" i="76"/>
  <c r="C1003" i="76" s="1"/>
  <c r="C1001" i="76"/>
  <c r="C1000" i="76" s="1"/>
  <c r="C998" i="76"/>
  <c r="C997" i="76" s="1"/>
  <c r="C995" i="76"/>
  <c r="C994" i="76" s="1"/>
  <c r="C992" i="76"/>
  <c r="C991" i="76"/>
  <c r="C989" i="76"/>
  <c r="C988" i="76" s="1"/>
  <c r="C984" i="76"/>
  <c r="C983" i="76"/>
  <c r="C978" i="76"/>
  <c r="C977" i="76"/>
  <c r="C975" i="76"/>
  <c r="C974" i="76" s="1"/>
  <c r="C972" i="76"/>
  <c r="C971" i="76" s="1"/>
  <c r="C969" i="76"/>
  <c r="C968" i="76" s="1"/>
  <c r="C966" i="76"/>
  <c r="C965" i="76" s="1"/>
  <c r="C963" i="76"/>
  <c r="C962" i="76"/>
  <c r="C960" i="76"/>
  <c r="C959" i="76" s="1"/>
  <c r="C957" i="76"/>
  <c r="C956" i="76"/>
  <c r="C954" i="76"/>
  <c r="C953" i="76" s="1"/>
  <c r="C951" i="76"/>
  <c r="C950" i="76" s="1"/>
  <c r="C948" i="76"/>
  <c r="C947" i="76" s="1"/>
  <c r="C943" i="76"/>
  <c r="C942" i="76" s="1"/>
  <c r="C937" i="76"/>
  <c r="C936" i="76"/>
  <c r="C934" i="76"/>
  <c r="C933" i="76" s="1"/>
  <c r="C931" i="76"/>
  <c r="C930" i="76"/>
  <c r="C928" i="76"/>
  <c r="C927" i="76" s="1"/>
  <c r="C925" i="76"/>
  <c r="C924" i="76"/>
  <c r="C922" i="76"/>
  <c r="C921" i="76" s="1"/>
  <c r="C919" i="76"/>
  <c r="C918" i="76" s="1"/>
  <c r="C916" i="76"/>
  <c r="C915" i="76" s="1"/>
  <c r="C913" i="76"/>
  <c r="C912" i="76" s="1"/>
  <c r="C910" i="76"/>
  <c r="C909" i="76"/>
  <c r="C907" i="76"/>
  <c r="C906" i="76" s="1"/>
  <c r="C902" i="76"/>
  <c r="C901" i="76"/>
  <c r="C896" i="76"/>
  <c r="C895" i="76"/>
  <c r="C893" i="76"/>
  <c r="C892" i="76" s="1"/>
  <c r="C890" i="76"/>
  <c r="C889" i="76" s="1"/>
  <c r="C887" i="76"/>
  <c r="C886" i="76" s="1"/>
  <c r="C884" i="76"/>
  <c r="C883" i="76" s="1"/>
  <c r="C881" i="76"/>
  <c r="C880" i="76"/>
  <c r="C878" i="76"/>
  <c r="C877" i="76" s="1"/>
  <c r="C875" i="76"/>
  <c r="C874" i="76"/>
  <c r="C872" i="76"/>
  <c r="C871" i="76" s="1"/>
  <c r="C869" i="76"/>
  <c r="C868" i="76" s="1"/>
  <c r="C866" i="76"/>
  <c r="C865" i="76" s="1"/>
  <c r="C861" i="76"/>
  <c r="C860" i="76" s="1"/>
  <c r="C855" i="76"/>
  <c r="C854" i="76"/>
  <c r="C852" i="76"/>
  <c r="C851" i="76" s="1"/>
  <c r="C849" i="76"/>
  <c r="C848" i="76"/>
  <c r="C846" i="76"/>
  <c r="C845" i="76" s="1"/>
  <c r="C843" i="76"/>
  <c r="C842" i="76"/>
  <c r="C840" i="76"/>
  <c r="C839" i="76" s="1"/>
  <c r="C837" i="76"/>
  <c r="C836" i="76" s="1"/>
  <c r="C834" i="76"/>
  <c r="C833" i="76" s="1"/>
  <c r="C831" i="76"/>
  <c r="C830" i="76" s="1"/>
  <c r="C828" i="76"/>
  <c r="C827" i="76"/>
  <c r="C825" i="76"/>
  <c r="C824" i="76" s="1"/>
  <c r="C820" i="76"/>
  <c r="C819" i="76"/>
  <c r="C814" i="76"/>
  <c r="C813" i="76"/>
  <c r="C811" i="76"/>
  <c r="C810" i="76" s="1"/>
  <c r="C808" i="76"/>
  <c r="C807" i="76" s="1"/>
  <c r="C805" i="76"/>
  <c r="C804" i="76" s="1"/>
  <c r="C802" i="76"/>
  <c r="C801" i="76" s="1"/>
  <c r="C799" i="76"/>
  <c r="C798" i="76"/>
  <c r="C796" i="76"/>
  <c r="C795" i="76" s="1"/>
  <c r="C793" i="76"/>
  <c r="C792" i="76"/>
  <c r="C790" i="76"/>
  <c r="C789" i="76" s="1"/>
  <c r="C787" i="76"/>
  <c r="C786" i="76" s="1"/>
  <c r="C784" i="76"/>
  <c r="C783" i="76" s="1"/>
  <c r="C779" i="76"/>
  <c r="C778" i="76" s="1"/>
  <c r="C773" i="76"/>
  <c r="C772" i="76"/>
  <c r="C770" i="76"/>
  <c r="C769" i="76" s="1"/>
  <c r="C767" i="76"/>
  <c r="C766" i="76"/>
  <c r="C764" i="76"/>
  <c r="C763" i="76" s="1"/>
  <c r="C761" i="76"/>
  <c r="C760" i="76"/>
  <c r="C758" i="76"/>
  <c r="C757" i="76" s="1"/>
  <c r="C755" i="76"/>
  <c r="C754" i="76" s="1"/>
  <c r="C752" i="76"/>
  <c r="C751" i="76" s="1"/>
  <c r="C749" i="76"/>
  <c r="C748" i="76" s="1"/>
  <c r="C746" i="76"/>
  <c r="C745" i="76"/>
  <c r="C743" i="76"/>
  <c r="C742" i="76" s="1"/>
  <c r="C738" i="76"/>
  <c r="C737" i="76"/>
  <c r="C732" i="76"/>
  <c r="C731" i="76"/>
  <c r="C729" i="76"/>
  <c r="C728" i="76" s="1"/>
  <c r="C726" i="76"/>
  <c r="C725" i="76" s="1"/>
  <c r="C723" i="76"/>
  <c r="C722" i="76" s="1"/>
  <c r="C720" i="76"/>
  <c r="C719" i="76" s="1"/>
  <c r="C717" i="76"/>
  <c r="C716" i="76"/>
  <c r="C714" i="76"/>
  <c r="C713" i="76" s="1"/>
  <c r="C711" i="76"/>
  <c r="C710" i="76" s="1"/>
  <c r="C708" i="76"/>
  <c r="C707" i="76"/>
  <c r="C705" i="76"/>
  <c r="C704" i="76" s="1"/>
  <c r="C702" i="76"/>
  <c r="C701" i="76" s="1"/>
  <c r="C693" i="76"/>
  <c r="C691" i="76"/>
  <c r="C690" i="76"/>
  <c r="C688" i="76"/>
  <c r="C687" i="76"/>
  <c r="C685" i="76"/>
  <c r="C684" i="76"/>
  <c r="C682" i="76"/>
  <c r="C681" i="76"/>
  <c r="C679" i="76"/>
  <c r="C678" i="76"/>
  <c r="C676" i="76"/>
  <c r="C675" i="76"/>
  <c r="C673" i="76"/>
  <c r="C672" i="76"/>
  <c r="C670" i="76"/>
  <c r="C669" i="76"/>
  <c r="C667" i="76"/>
  <c r="C666" i="76"/>
  <c r="C665" i="76" s="1"/>
  <c r="C663" i="76"/>
  <c r="C662" i="76" s="1"/>
  <c r="C660" i="76"/>
  <c r="C658" i="76"/>
  <c r="C656" i="76"/>
  <c r="C655" i="76"/>
  <c r="C653" i="76"/>
  <c r="C652" i="76"/>
  <c r="C650" i="76"/>
  <c r="C649" i="76"/>
  <c r="C647" i="76"/>
  <c r="C646" i="76"/>
  <c r="C644" i="76"/>
  <c r="C643" i="76"/>
  <c r="C641" i="76"/>
  <c r="C640" i="76"/>
  <c r="C638" i="76"/>
  <c r="C637" i="76"/>
  <c r="C635" i="76"/>
  <c r="C634" i="76"/>
  <c r="C632" i="76"/>
  <c r="C631" i="76"/>
  <c r="C630" i="76"/>
  <c r="C628" i="76"/>
  <c r="C627" i="76" s="1"/>
  <c r="C625" i="76"/>
  <c r="C623" i="76"/>
  <c r="C621" i="76"/>
  <c r="C620" i="76"/>
  <c r="C618" i="76"/>
  <c r="C617" i="76"/>
  <c r="C615" i="76"/>
  <c r="C614" i="76"/>
  <c r="C612" i="76"/>
  <c r="C611" i="76"/>
  <c r="C609" i="76"/>
  <c r="C608" i="76"/>
  <c r="C606" i="76"/>
  <c r="C605" i="76"/>
  <c r="C603" i="76"/>
  <c r="C602" i="76"/>
  <c r="C600" i="76"/>
  <c r="C599" i="76"/>
  <c r="C597" i="76"/>
  <c r="C596" i="76"/>
  <c r="C595" i="76" s="1"/>
  <c r="C593" i="76"/>
  <c r="C592" i="76" s="1"/>
  <c r="C590" i="76"/>
  <c r="C588" i="76"/>
  <c r="C586" i="76"/>
  <c r="C585" i="76"/>
  <c r="C583" i="76"/>
  <c r="C582" i="76"/>
  <c r="C580" i="76"/>
  <c r="C579" i="76"/>
  <c r="C577" i="76"/>
  <c r="C576" i="76"/>
  <c r="C574" i="76"/>
  <c r="C573" i="76"/>
  <c r="C571" i="76"/>
  <c r="C570" i="76"/>
  <c r="C568" i="76"/>
  <c r="C567" i="76"/>
  <c r="C565" i="76"/>
  <c r="C564" i="76"/>
  <c r="C562" i="76"/>
  <c r="C561" i="76"/>
  <c r="C560" i="76" s="1"/>
  <c r="C558" i="76"/>
  <c r="C557" i="76"/>
  <c r="C555" i="76"/>
  <c r="C553" i="76"/>
  <c r="C551" i="76"/>
  <c r="C550" i="76"/>
  <c r="C548" i="76"/>
  <c r="C547" i="76"/>
  <c r="C545" i="76"/>
  <c r="C544" i="76"/>
  <c r="C542" i="76"/>
  <c r="C541" i="76"/>
  <c r="C539" i="76"/>
  <c r="C538" i="76"/>
  <c r="C536" i="76"/>
  <c r="C535" i="76"/>
  <c r="C533" i="76"/>
  <c r="C532" i="76"/>
  <c r="C530" i="76"/>
  <c r="C529" i="76"/>
  <c r="C527" i="76"/>
  <c r="C526" i="76"/>
  <c r="C525" i="76" s="1"/>
  <c r="C523" i="76"/>
  <c r="C522" i="76" s="1"/>
  <c r="C520" i="76"/>
  <c r="C518" i="76"/>
  <c r="C516" i="76"/>
  <c r="C515" i="76"/>
  <c r="C513" i="76"/>
  <c r="C512" i="76"/>
  <c r="C510" i="76"/>
  <c r="C509" i="76"/>
  <c r="C507" i="76"/>
  <c r="C506" i="76"/>
  <c r="C504" i="76"/>
  <c r="C503" i="76"/>
  <c r="C501" i="76"/>
  <c r="C500" i="76"/>
  <c r="C498" i="76"/>
  <c r="C497" i="76"/>
  <c r="C495" i="76"/>
  <c r="C494" i="76"/>
  <c r="C492" i="76"/>
  <c r="C491" i="76"/>
  <c r="C490" i="76" s="1"/>
  <c r="C488" i="76"/>
  <c r="C487" i="76" s="1"/>
  <c r="C485" i="76"/>
  <c r="C483" i="76"/>
  <c r="C481" i="76"/>
  <c r="C480" i="76"/>
  <c r="C478" i="76"/>
  <c r="C477" i="76"/>
  <c r="C475" i="76"/>
  <c r="C474" i="76"/>
  <c r="C472" i="76"/>
  <c r="C471" i="76"/>
  <c r="C469" i="76"/>
  <c r="C468" i="76"/>
  <c r="C466" i="76"/>
  <c r="C465" i="76"/>
  <c r="C463" i="76"/>
  <c r="C462" i="76"/>
  <c r="C460" i="76"/>
  <c r="C459" i="76"/>
  <c r="C457" i="76"/>
  <c r="C456" i="76"/>
  <c r="C455" i="76" s="1"/>
  <c r="C453" i="76"/>
  <c r="C452" i="76" s="1"/>
  <c r="C450" i="76"/>
  <c r="C448" i="76"/>
  <c r="C446" i="76"/>
  <c r="C445" i="76"/>
  <c r="C443" i="76"/>
  <c r="C442" i="76"/>
  <c r="C440" i="76"/>
  <c r="C439" i="76"/>
  <c r="C437" i="76"/>
  <c r="C436" i="76"/>
  <c r="C434" i="76"/>
  <c r="C433" i="76"/>
  <c r="C431" i="76"/>
  <c r="C430" i="76"/>
  <c r="C428" i="76"/>
  <c r="C427" i="76"/>
  <c r="C425" i="76"/>
  <c r="C424" i="76"/>
  <c r="C422" i="76"/>
  <c r="C421" i="76"/>
  <c r="C420" i="76" s="1"/>
  <c r="C418" i="76"/>
  <c r="C416" i="76"/>
  <c r="C414" i="76"/>
  <c r="C413" i="76"/>
  <c r="C411" i="76"/>
  <c r="C410" i="76"/>
  <c r="C408" i="76"/>
  <c r="C407" i="76"/>
  <c r="C405" i="76"/>
  <c r="C404" i="76"/>
  <c r="C402" i="76"/>
  <c r="C401" i="76"/>
  <c r="C399" i="76"/>
  <c r="C398" i="76"/>
  <c r="C396" i="76"/>
  <c r="C395" i="76"/>
  <c r="C393" i="76"/>
  <c r="C392" i="76"/>
  <c r="C390" i="76"/>
  <c r="C389" i="76"/>
  <c r="C388" i="76" s="1"/>
  <c r="C386" i="76"/>
  <c r="C385" i="76" s="1"/>
  <c r="C383" i="76"/>
  <c r="C381" i="76"/>
  <c r="C379" i="76"/>
  <c r="C378" i="76"/>
  <c r="C376" i="76"/>
  <c r="C375" i="76"/>
  <c r="C373" i="76"/>
  <c r="C372" i="76"/>
  <c r="C370" i="76"/>
  <c r="C369" i="76"/>
  <c r="C367" i="76"/>
  <c r="C366" i="76"/>
  <c r="C364" i="76"/>
  <c r="C363" i="76"/>
  <c r="C361" i="76"/>
  <c r="C360" i="76"/>
  <c r="C358" i="76"/>
  <c r="C357" i="76"/>
  <c r="C355" i="76"/>
  <c r="C354" i="76"/>
  <c r="C353" i="76"/>
  <c r="C351" i="76"/>
  <c r="C350" i="76" s="1"/>
  <c r="C348" i="76"/>
  <c r="C346" i="76"/>
  <c r="C344" i="76"/>
  <c r="C343" i="76"/>
  <c r="C341" i="76"/>
  <c r="C340" i="76"/>
  <c r="C338" i="76"/>
  <c r="C337" i="76"/>
  <c r="C335" i="76"/>
  <c r="C334" i="76"/>
  <c r="C332" i="76"/>
  <c r="C331" i="76"/>
  <c r="C329" i="76"/>
  <c r="C328" i="76"/>
  <c r="C326" i="76"/>
  <c r="C325" i="76"/>
  <c r="C323" i="76"/>
  <c r="C322" i="76"/>
  <c r="C320" i="76"/>
  <c r="C319" i="76"/>
  <c r="C318" i="76" s="1"/>
  <c r="C316" i="76"/>
  <c r="C315" i="76" s="1"/>
  <c r="C313" i="76"/>
  <c r="C311" i="76"/>
  <c r="C309" i="76"/>
  <c r="C308" i="76"/>
  <c r="C306" i="76"/>
  <c r="C305" i="76"/>
  <c r="C303" i="76"/>
  <c r="C302" i="76"/>
  <c r="C300" i="76"/>
  <c r="C299" i="76"/>
  <c r="C297" i="76"/>
  <c r="C296" i="76"/>
  <c r="C294" i="76"/>
  <c r="C293" i="76"/>
  <c r="C291" i="76"/>
  <c r="C290" i="76"/>
  <c r="C288" i="76"/>
  <c r="C287" i="76"/>
  <c r="C285" i="76"/>
  <c r="C284" i="76"/>
  <c r="C283" i="76" s="1"/>
  <c r="C281" i="76"/>
  <c r="C280" i="76"/>
  <c r="C278" i="76"/>
  <c r="C276" i="76"/>
  <c r="C274" i="76"/>
  <c r="C273" i="76"/>
  <c r="C271" i="76"/>
  <c r="C270" i="76"/>
  <c r="C268" i="76"/>
  <c r="C267" i="76"/>
  <c r="C265" i="76"/>
  <c r="C264" i="76"/>
  <c r="C262" i="76"/>
  <c r="C261" i="76"/>
  <c r="C259" i="76"/>
  <c r="C258" i="76"/>
  <c r="C256" i="76"/>
  <c r="C255" i="76"/>
  <c r="C253" i="76"/>
  <c r="C252" i="76"/>
  <c r="C250" i="76"/>
  <c r="C249" i="76"/>
  <c r="C248" i="76" s="1"/>
  <c r="C246" i="76"/>
  <c r="C245" i="76" s="1"/>
  <c r="C243" i="76"/>
  <c r="C241" i="76"/>
  <c r="C239" i="76"/>
  <c r="C238" i="76"/>
  <c r="C236" i="76"/>
  <c r="C235" i="76"/>
  <c r="C233" i="76"/>
  <c r="C232" i="76"/>
  <c r="C230" i="76"/>
  <c r="C229" i="76"/>
  <c r="C227" i="76"/>
  <c r="C226" i="76"/>
  <c r="C224" i="76"/>
  <c r="C223" i="76"/>
  <c r="C221" i="76"/>
  <c r="C220" i="76"/>
  <c r="C218" i="76"/>
  <c r="C217" i="76"/>
  <c r="C215" i="76"/>
  <c r="C214" i="76"/>
  <c r="C213" i="76" s="1"/>
  <c r="C211" i="76"/>
  <c r="C210" i="76" s="1"/>
  <c r="C208" i="76"/>
  <c r="C206" i="76"/>
  <c r="C204" i="76"/>
  <c r="C203" i="76"/>
  <c r="C201" i="76"/>
  <c r="C200" i="76"/>
  <c r="C198" i="76"/>
  <c r="C197" i="76"/>
  <c r="C195" i="76"/>
  <c r="C194" i="76"/>
  <c r="C192" i="76"/>
  <c r="C191" i="76"/>
  <c r="C189" i="76"/>
  <c r="C188" i="76"/>
  <c r="C186" i="76"/>
  <c r="C185" i="76"/>
  <c r="C183" i="76"/>
  <c r="C182" i="76"/>
  <c r="C180" i="76"/>
  <c r="C179" i="76"/>
  <c r="C178" i="76" s="1"/>
  <c r="C176" i="76"/>
  <c r="C175" i="76" s="1"/>
  <c r="C173" i="76"/>
  <c r="C171" i="76"/>
  <c r="C169" i="76"/>
  <c r="C168" i="76"/>
  <c r="C166" i="76"/>
  <c r="C165" i="76"/>
  <c r="C163" i="76"/>
  <c r="C162" i="76"/>
  <c r="C160" i="76"/>
  <c r="C159" i="76"/>
  <c r="C157" i="76"/>
  <c r="C156" i="76"/>
  <c r="C154" i="76"/>
  <c r="C153" i="76"/>
  <c r="C151" i="76"/>
  <c r="C150" i="76"/>
  <c r="C148" i="76"/>
  <c r="C147" i="76"/>
  <c r="C145" i="76"/>
  <c r="C144" i="76"/>
  <c r="C143" i="76"/>
  <c r="C141" i="76"/>
  <c r="C130" i="76"/>
  <c r="C129" i="76" s="1"/>
  <c r="C127" i="76"/>
  <c r="C126" i="76" s="1"/>
  <c r="C124" i="76"/>
  <c r="C123" i="76" s="1"/>
  <c r="C116" i="76"/>
  <c r="C115" i="76"/>
  <c r="C113" i="76"/>
  <c r="C112" i="76" s="1"/>
  <c r="C110" i="76"/>
  <c r="C109" i="76" s="1"/>
  <c r="C99" i="76"/>
  <c r="C96" i="76"/>
  <c r="C93" i="76"/>
  <c r="C92" i="76"/>
  <c r="C90" i="76"/>
  <c r="C89" i="76" s="1"/>
  <c r="C87" i="76"/>
  <c r="C86" i="76" s="1"/>
  <c r="C84" i="76"/>
  <c r="C83" i="76" s="1"/>
  <c r="C81" i="76"/>
  <c r="C80" i="76" s="1"/>
  <c r="C78" i="76"/>
  <c r="C77" i="76" s="1"/>
  <c r="C75" i="76"/>
  <c r="C74" i="76" s="1"/>
  <c r="C72" i="76"/>
  <c r="C71" i="76" s="1"/>
  <c r="C67" i="76"/>
  <c r="C66" i="76"/>
  <c r="C61" i="76"/>
  <c r="C58" i="76"/>
  <c r="C55" i="76"/>
  <c r="C54" i="76" s="1"/>
  <c r="C52" i="76"/>
  <c r="C51" i="76" s="1"/>
  <c r="C49" i="76"/>
  <c r="C48" i="76" s="1"/>
  <c r="C46" i="76"/>
  <c r="C45" i="76"/>
  <c r="C43" i="76"/>
  <c r="C42" i="76"/>
  <c r="C40" i="76"/>
  <c r="C39" i="76"/>
  <c r="C37" i="76"/>
  <c r="C36" i="76" s="1"/>
  <c r="C34" i="76"/>
  <c r="C33" i="76" s="1"/>
  <c r="C29" i="76"/>
  <c r="C28" i="76" s="1"/>
  <c r="C10" i="76"/>
  <c r="J1046" i="76"/>
  <c r="J1108" i="76"/>
  <c r="J1257" i="76"/>
  <c r="J1305" i="76"/>
  <c r="J1155" i="76"/>
  <c r="J1217" i="76"/>
  <c r="J1322" i="76"/>
  <c r="J753" i="76"/>
  <c r="J240" i="76"/>
  <c r="J1114" i="76"/>
  <c r="J1156" i="76"/>
  <c r="J1310" i="76"/>
  <c r="J833" i="76"/>
  <c r="J1212" i="76"/>
  <c r="J1270" i="76"/>
  <c r="J787" i="76"/>
  <c r="J1245" i="76"/>
  <c r="J1171" i="76"/>
  <c r="J1209" i="76"/>
  <c r="J737" i="76"/>
  <c r="J823" i="76"/>
  <c r="J895" i="76"/>
  <c r="J841" i="76"/>
  <c r="J961" i="76"/>
  <c r="J969" i="76"/>
  <c r="J406" i="76"/>
  <c r="J1089" i="76"/>
  <c r="J1147" i="76"/>
  <c r="J1353" i="76"/>
  <c r="J818" i="76"/>
  <c r="J1343" i="76"/>
  <c r="J759" i="76"/>
  <c r="J893" i="76"/>
  <c r="J897" i="76"/>
  <c r="J472" i="76"/>
  <c r="J1085" i="76"/>
  <c r="J1137" i="76"/>
  <c r="J1228" i="76"/>
  <c r="J1334" i="76"/>
  <c r="J1261" i="76"/>
  <c r="J1303" i="76"/>
  <c r="J826" i="76"/>
  <c r="J830" i="76"/>
  <c r="J396" i="76"/>
  <c r="J1292" i="76"/>
  <c r="J1311" i="76"/>
  <c r="J828" i="76"/>
  <c r="J919" i="76"/>
  <c r="J928" i="76"/>
  <c r="J884" i="76"/>
  <c r="J1000" i="76"/>
  <c r="J1018" i="76"/>
  <c r="J510" i="76"/>
  <c r="J843" i="76"/>
  <c r="J944" i="76"/>
  <c r="J1093" i="76"/>
  <c r="J1059" i="76"/>
  <c r="J952" i="76"/>
  <c r="J1111" i="76"/>
  <c r="J1133" i="76"/>
  <c r="J629" i="76"/>
  <c r="J1345" i="76"/>
  <c r="J1354" i="76"/>
  <c r="J877" i="76"/>
  <c r="J968" i="76"/>
  <c r="J914" i="76"/>
  <c r="J870" i="76"/>
  <c r="J985" i="76"/>
  <c r="J998" i="76"/>
  <c r="J491" i="76"/>
  <c r="J718" i="76"/>
  <c r="J263" i="76"/>
  <c r="J618" i="76"/>
  <c r="J108" i="76"/>
  <c r="J461" i="76"/>
  <c r="J1255" i="76"/>
  <c r="J351" i="76"/>
  <c r="J709" i="76"/>
  <c r="J136" i="76"/>
  <c r="J501" i="76"/>
  <c r="J165" i="76"/>
  <c r="J668" i="76"/>
  <c r="J339" i="76"/>
  <c r="J604" i="76"/>
  <c r="J45" i="76"/>
  <c r="J323" i="76"/>
  <c r="J655" i="76"/>
  <c r="J143" i="76"/>
  <c r="J654" i="76"/>
  <c r="J187" i="76"/>
  <c r="J547" i="76"/>
  <c r="J687" i="76"/>
  <c r="J314" i="76"/>
  <c r="J650" i="76"/>
  <c r="J137" i="76"/>
  <c r="J441" i="76"/>
  <c r="J129" i="76"/>
  <c r="J386" i="76"/>
  <c r="J720" i="76"/>
  <c r="J229" i="76"/>
  <c r="J565" i="76"/>
  <c r="J17" i="76"/>
  <c r="J385" i="76"/>
  <c r="J678" i="76"/>
  <c r="J189" i="76"/>
  <c r="J463" i="76"/>
  <c r="J33" i="76"/>
  <c r="J47" i="76"/>
  <c r="J53" i="76"/>
  <c r="J703" i="76"/>
  <c r="J236" i="76"/>
  <c r="J287" i="76"/>
  <c r="J495" i="76"/>
  <c r="J1284" i="76"/>
  <c r="J338" i="76"/>
  <c r="J494" i="76"/>
  <c r="J1071" i="76"/>
  <c r="J488" i="76"/>
  <c r="J124" i="76"/>
  <c r="J664" i="76"/>
  <c r="J974" i="76"/>
  <c r="J1045" i="76"/>
  <c r="J1194" i="76"/>
  <c r="J1170" i="76"/>
  <c r="J1077" i="76"/>
  <c r="J1154" i="76"/>
  <c r="J1254" i="76"/>
  <c r="J686" i="76"/>
  <c r="J192" i="76"/>
  <c r="J1036" i="76"/>
  <c r="J1098" i="76"/>
  <c r="J1247" i="76"/>
  <c r="J1295" i="76"/>
  <c r="J1140" i="76"/>
  <c r="J1207" i="76"/>
  <c r="J1307" i="76"/>
  <c r="J739" i="76"/>
  <c r="J1099" i="76"/>
  <c r="J1152" i="76"/>
  <c r="J1300" i="76"/>
  <c r="J765" i="76"/>
  <c r="J1347" i="76"/>
  <c r="J769" i="76"/>
  <c r="J903" i="76"/>
  <c r="J912" i="76"/>
  <c r="J344" i="76"/>
  <c r="J1017" i="76"/>
  <c r="J1084" i="76"/>
  <c r="J1296" i="76"/>
  <c r="J1338" i="76"/>
  <c r="J1265" i="76"/>
  <c r="J1313" i="76"/>
  <c r="J836" i="76"/>
  <c r="J834" i="76"/>
  <c r="J401" i="76"/>
  <c r="J1007" i="76"/>
  <c r="J1074" i="76"/>
  <c r="J1165" i="76"/>
  <c r="J1266" i="76"/>
  <c r="J1183" i="76"/>
  <c r="J1246" i="76"/>
  <c r="J768" i="76"/>
  <c r="J762" i="76"/>
  <c r="J325" i="76"/>
  <c r="J1220" i="76"/>
  <c r="J1248" i="76"/>
  <c r="J770" i="76"/>
  <c r="J861" i="76"/>
  <c r="J871" i="76"/>
  <c r="J812" i="76"/>
  <c r="J942" i="76"/>
  <c r="J883" i="76"/>
  <c r="J453" i="76"/>
  <c r="J771" i="76"/>
  <c r="J881" i="76"/>
  <c r="J1030" i="76"/>
  <c r="J924" i="76"/>
  <c r="J880" i="76"/>
  <c r="J1053" i="76"/>
  <c r="J1076" i="76"/>
  <c r="J562" i="76"/>
  <c r="J1278" i="76"/>
  <c r="J1291" i="76"/>
  <c r="J819" i="76"/>
  <c r="J905" i="76"/>
  <c r="J846" i="76"/>
  <c r="J798" i="76"/>
  <c r="J922" i="76"/>
  <c r="J936" i="76"/>
  <c r="J444" i="76"/>
  <c r="J849" i="76"/>
  <c r="J206" i="76"/>
  <c r="J557" i="76"/>
  <c r="J49" i="76"/>
  <c r="J409" i="76"/>
  <c r="J917" i="76"/>
  <c r="J294" i="76"/>
  <c r="J635" i="76"/>
  <c r="J74" i="76"/>
  <c r="J416" i="76"/>
  <c r="J63" i="76"/>
  <c r="J825" i="76"/>
  <c r="J258" i="76"/>
  <c r="J552" i="76"/>
  <c r="J747" i="76"/>
  <c r="J257" i="76"/>
  <c r="J598" i="76"/>
  <c r="J79" i="76"/>
  <c r="J707" i="76"/>
  <c r="J128" i="76"/>
  <c r="J414" i="76"/>
  <c r="J1013" i="76"/>
  <c r="J252" i="76"/>
  <c r="J593" i="76"/>
  <c r="J1235" i="76"/>
  <c r="J365" i="76"/>
  <c r="J19" i="76"/>
  <c r="J329" i="76"/>
  <c r="J656" i="76"/>
  <c r="J148" i="76"/>
  <c r="J499" i="76"/>
  <c r="J1095" i="76"/>
  <c r="J337" i="76"/>
  <c r="J607" i="76"/>
  <c r="J111" i="76"/>
  <c r="J392" i="76"/>
  <c r="J288" i="76"/>
  <c r="J641" i="76"/>
  <c r="J673" i="76"/>
  <c r="J587" i="76"/>
  <c r="J492" i="76"/>
  <c r="J114" i="76"/>
  <c r="J429" i="76"/>
  <c r="J806" i="76"/>
  <c r="J281" i="76"/>
  <c r="J442" i="76"/>
  <c r="J793" i="76"/>
  <c r="J289" i="76"/>
  <c r="J13" i="76"/>
  <c r="J484" i="76"/>
  <c r="J628" i="76"/>
  <c r="J102" i="76"/>
  <c r="J466" i="76"/>
  <c r="J896" i="76"/>
  <c r="J988" i="76"/>
  <c r="J1136" i="76"/>
  <c r="J1102" i="76"/>
  <c r="J1005" i="76"/>
  <c r="J1096" i="76"/>
  <c r="J1119" i="76"/>
  <c r="J605" i="76"/>
  <c r="J103" i="76"/>
  <c r="J964" i="76"/>
  <c r="J1041" i="76"/>
  <c r="J1189" i="76"/>
  <c r="J1160" i="76"/>
  <c r="J1073" i="76"/>
  <c r="J1149" i="76"/>
  <c r="J1244" i="76"/>
  <c r="J681" i="76"/>
  <c r="J1032" i="76"/>
  <c r="J1094" i="76"/>
  <c r="J1243" i="76"/>
  <c r="J1348" i="76"/>
  <c r="J1280" i="76"/>
  <c r="J1318" i="76"/>
  <c r="J840" i="76"/>
  <c r="J844" i="76"/>
  <c r="J283" i="76"/>
  <c r="J950" i="76"/>
  <c r="J1026" i="76"/>
  <c r="J1233" i="76"/>
  <c r="J1281" i="76"/>
  <c r="J1198" i="76"/>
  <c r="J1250" i="76"/>
  <c r="J778" i="76"/>
  <c r="J772" i="76"/>
  <c r="J330" i="76"/>
  <c r="J935" i="76"/>
  <c r="J1016" i="76"/>
  <c r="J1107" i="76"/>
  <c r="J1203" i="76"/>
  <c r="J1116" i="76"/>
  <c r="J1188" i="76"/>
  <c r="J1283" i="76"/>
  <c r="J1009" i="76"/>
  <c r="J268" i="76"/>
  <c r="J1142" i="76"/>
  <c r="J1190" i="76"/>
  <c r="J1339" i="76"/>
  <c r="J804" i="76"/>
  <c r="J1323" i="76"/>
  <c r="J745" i="76"/>
  <c r="J879" i="76"/>
  <c r="J815" i="76"/>
  <c r="J1282" i="76"/>
  <c r="J1301" i="76"/>
  <c r="J824" i="76"/>
  <c r="J972" i="76"/>
  <c r="J856" i="76"/>
  <c r="J802" i="76"/>
  <c r="J990" i="76"/>
  <c r="J1008" i="76"/>
  <c r="J496" i="76"/>
  <c r="J1200" i="76"/>
  <c r="J1234" i="76"/>
  <c r="J756" i="76"/>
  <c r="J847" i="76"/>
  <c r="J1304" i="76"/>
  <c r="J1342" i="76"/>
  <c r="J865" i="76"/>
  <c r="J801" i="76"/>
  <c r="J363" i="76"/>
  <c r="J721" i="76"/>
  <c r="J144" i="76"/>
  <c r="J509" i="76"/>
  <c r="J902" i="76"/>
  <c r="J328" i="76"/>
  <c r="J724" i="76"/>
  <c r="J209" i="76"/>
  <c r="J569" i="76"/>
  <c r="J1274" i="76"/>
  <c r="J354" i="76"/>
  <c r="J255" i="76"/>
  <c r="J711" i="76"/>
  <c r="J201" i="76"/>
  <c r="J504" i="76"/>
  <c r="J1110" i="76"/>
  <c r="J205" i="76"/>
  <c r="J541" i="76"/>
  <c r="J9" i="76"/>
  <c r="J652" i="76"/>
  <c r="J61" i="76"/>
  <c r="J353" i="76"/>
  <c r="J715" i="76"/>
  <c r="J200" i="76"/>
  <c r="J536" i="76"/>
  <c r="J1177" i="76"/>
  <c r="J308" i="76"/>
  <c r="J796" i="76"/>
  <c r="J244" i="76"/>
  <c r="J595" i="76"/>
  <c r="J85" i="76"/>
  <c r="J447" i="76"/>
  <c r="J803" i="76"/>
  <c r="J256" i="76"/>
  <c r="J550" i="76"/>
  <c r="J48" i="76"/>
  <c r="J340" i="76"/>
  <c r="J412" i="76"/>
  <c r="J845" i="76"/>
  <c r="J545" i="76"/>
  <c r="J539" i="76"/>
  <c r="J459" i="76"/>
  <c r="J12" i="76"/>
  <c r="J382" i="76"/>
  <c r="J716" i="76"/>
  <c r="J224" i="76"/>
  <c r="J366" i="76"/>
  <c r="J631" i="76"/>
  <c r="J161" i="76"/>
  <c r="J260" i="76"/>
  <c r="J284" i="76"/>
  <c r="J571" i="76"/>
  <c r="J36" i="76"/>
  <c r="J390" i="76"/>
  <c r="J694" i="76"/>
  <c r="J176" i="76"/>
  <c r="J498" i="76"/>
  <c r="J531" i="76"/>
  <c r="J829" i="76"/>
  <c r="J930" i="76"/>
  <c r="J1079" i="76"/>
  <c r="J1039" i="76"/>
  <c r="J933" i="76"/>
  <c r="J1033" i="76"/>
  <c r="J1051" i="76"/>
  <c r="J548" i="76"/>
  <c r="J704" i="76"/>
  <c r="J892" i="76"/>
  <c r="J983" i="76"/>
  <c r="J1132" i="76"/>
  <c r="J1092" i="76"/>
  <c r="J995" i="76"/>
  <c r="J1086" i="76"/>
  <c r="J1182" i="76"/>
  <c r="J600" i="76"/>
  <c r="J954" i="76"/>
  <c r="J1031" i="76"/>
  <c r="J1122" i="76"/>
  <c r="J1285" i="76"/>
  <c r="J1208" i="76"/>
  <c r="J1260" i="76"/>
  <c r="J783" i="76"/>
  <c r="J1066" i="76"/>
  <c r="J230" i="76"/>
  <c r="J872" i="76"/>
  <c r="J963" i="76"/>
  <c r="J1175" i="76"/>
  <c r="J1213" i="76"/>
  <c r="J1126" i="76"/>
  <c r="J1193" i="76"/>
  <c r="J1293" i="76"/>
  <c r="J1042" i="76"/>
  <c r="J273" i="76"/>
  <c r="J868" i="76"/>
  <c r="J959" i="76"/>
  <c r="J1050" i="76"/>
  <c r="J1141" i="76"/>
  <c r="J1044" i="76"/>
  <c r="J1125" i="76"/>
  <c r="J1215" i="76"/>
  <c r="J722" i="76"/>
  <c r="J211" i="76"/>
  <c r="J1075" i="76"/>
  <c r="J1127" i="76"/>
  <c r="J1276" i="76"/>
  <c r="J1324" i="76"/>
  <c r="J1251" i="76"/>
  <c r="J1299" i="76"/>
  <c r="J821" i="76"/>
  <c r="J752" i="76"/>
  <c r="J1210" i="76"/>
  <c r="J1238" i="76"/>
  <c r="J766" i="76"/>
  <c r="J915" i="76"/>
  <c r="J1319" i="76"/>
  <c r="J730" i="76"/>
  <c r="J932" i="76"/>
  <c r="J873" i="76"/>
  <c r="J449" i="76"/>
  <c r="J1128" i="76"/>
  <c r="J1176" i="76"/>
  <c r="J1325" i="76"/>
  <c r="J784" i="76"/>
  <c r="J1237" i="76"/>
  <c r="J1279" i="76"/>
  <c r="J807" i="76"/>
  <c r="J733" i="76"/>
  <c r="J306" i="76"/>
  <c r="J662" i="76"/>
  <c r="J86" i="76"/>
  <c r="J428" i="76"/>
  <c r="J1134" i="76"/>
  <c r="J271" i="76"/>
  <c r="J665" i="76"/>
  <c r="J147" i="76"/>
  <c r="J517" i="76"/>
  <c r="J1187" i="76"/>
  <c r="J307" i="76"/>
  <c r="J160" i="76"/>
  <c r="J657" i="76"/>
  <c r="J140" i="76"/>
  <c r="J419" i="76"/>
  <c r="J725" i="76"/>
  <c r="J157" i="76"/>
  <c r="J460" i="76"/>
  <c r="J1288" i="76"/>
  <c r="J505" i="76"/>
  <c r="J663" i="76"/>
  <c r="J300" i="76"/>
  <c r="J651" i="76"/>
  <c r="J138" i="76"/>
  <c r="J451" i="76"/>
  <c r="J755" i="76"/>
  <c r="J251" i="76"/>
  <c r="J696" i="76"/>
  <c r="J182" i="76"/>
  <c r="J542" i="76"/>
  <c r="J30" i="76"/>
  <c r="J371" i="76"/>
  <c r="J700" i="76"/>
  <c r="J1335" i="76"/>
  <c r="J1344" i="76"/>
  <c r="J867" i="76"/>
  <c r="J958" i="76"/>
  <c r="J977" i="76"/>
  <c r="J855" i="76"/>
  <c r="J975" i="76"/>
  <c r="J994" i="76"/>
  <c r="J487" i="76"/>
  <c r="J970" i="76"/>
  <c r="J814" i="76"/>
  <c r="J920" i="76"/>
  <c r="J1069" i="76"/>
  <c r="J1035" i="76"/>
  <c r="J923" i="76"/>
  <c r="J1029" i="76"/>
  <c r="J1047" i="76"/>
  <c r="J534" i="76"/>
  <c r="J882" i="76"/>
  <c r="J973" i="76"/>
  <c r="J1064" i="76"/>
  <c r="J1223" i="76"/>
  <c r="J1130" i="76"/>
  <c r="J1197" i="76"/>
  <c r="J1297" i="76"/>
  <c r="J676" i="76"/>
  <c r="J164" i="76"/>
  <c r="J800" i="76"/>
  <c r="J906" i="76"/>
  <c r="J1112" i="76"/>
  <c r="J1078" i="76"/>
  <c r="J1048" i="76"/>
  <c r="J1135" i="76"/>
  <c r="J1225" i="76"/>
  <c r="J726" i="76"/>
  <c r="J216" i="76"/>
  <c r="J790" i="76"/>
  <c r="J901" i="76"/>
  <c r="J987" i="76"/>
  <c r="J1006" i="76"/>
  <c r="J966" i="76"/>
  <c r="J1067" i="76"/>
  <c r="J1158" i="76"/>
  <c r="J643" i="76"/>
  <c r="J154" i="76"/>
  <c r="J1003" i="76"/>
  <c r="J1070" i="76"/>
  <c r="J1218" i="76"/>
  <c r="J1256" i="76"/>
  <c r="J1179" i="76"/>
  <c r="J1236" i="76"/>
  <c r="J1346" i="76"/>
  <c r="J888" i="76"/>
  <c r="J1138" i="76"/>
  <c r="J1180" i="76"/>
  <c r="J1329" i="76"/>
  <c r="J794" i="76"/>
  <c r="J1241" i="76"/>
  <c r="J1352" i="76"/>
  <c r="J869" i="76"/>
  <c r="J805" i="76"/>
  <c r="J368" i="76"/>
  <c r="J1056" i="76"/>
  <c r="J1113" i="76"/>
  <c r="J1204" i="76"/>
  <c r="J1242" i="76"/>
  <c r="J1159" i="76"/>
  <c r="J1221" i="76"/>
  <c r="J1326" i="76"/>
  <c r="J777" i="76"/>
  <c r="J245" i="76"/>
  <c r="J614" i="76"/>
  <c r="J6" i="76"/>
  <c r="J362" i="76"/>
  <c r="J750" i="76"/>
  <c r="J210" i="76"/>
  <c r="J612" i="76"/>
  <c r="J89" i="76"/>
  <c r="J469" i="76"/>
  <c r="J754" i="76"/>
  <c r="J226" i="76"/>
  <c r="J198" i="76"/>
  <c r="J609" i="76"/>
  <c r="J76" i="76"/>
  <c r="J357" i="76"/>
  <c r="J575" i="76"/>
  <c r="J84" i="76"/>
  <c r="J394" i="76"/>
  <c r="J626" i="76"/>
  <c r="J448" i="76"/>
  <c r="J931" i="76"/>
  <c r="J234" i="76"/>
  <c r="J570" i="76"/>
  <c r="J80" i="76"/>
  <c r="J389" i="76"/>
  <c r="J683" i="76"/>
  <c r="J194" i="76"/>
  <c r="J647" i="76"/>
  <c r="J113" i="76"/>
  <c r="J476" i="76"/>
  <c r="J659" i="76"/>
  <c r="J309" i="76"/>
  <c r="J636" i="76"/>
  <c r="J131" i="76"/>
  <c r="J436" i="76"/>
  <c r="J713" i="76"/>
  <c r="J134" i="76"/>
  <c r="J68" i="76"/>
  <c r="J584" i="76"/>
  <c r="J355" i="76"/>
  <c r="J269" i="76"/>
  <c r="J375" i="76"/>
  <c r="J760" i="76"/>
  <c r="J239" i="76"/>
  <c r="J585" i="76"/>
  <c r="J75" i="76"/>
  <c r="J238" i="76"/>
  <c r="J380" i="76"/>
  <c r="J927" i="76"/>
  <c r="J28" i="76"/>
  <c r="J1263" i="76"/>
  <c r="J1287" i="76"/>
  <c r="J809" i="76"/>
  <c r="J900" i="76"/>
  <c r="J842" i="76"/>
  <c r="J788" i="76"/>
  <c r="J918" i="76"/>
  <c r="J926" i="76"/>
  <c r="J439" i="76"/>
  <c r="J1331" i="76"/>
  <c r="J1340" i="76"/>
  <c r="J862" i="76"/>
  <c r="J1011" i="76"/>
  <c r="J967" i="76"/>
  <c r="J851" i="76"/>
  <c r="J971" i="76"/>
  <c r="J979" i="76"/>
  <c r="J482" i="76"/>
  <c r="J810" i="76"/>
  <c r="J910" i="76"/>
  <c r="J1001" i="76"/>
  <c r="J1088" i="76"/>
  <c r="J1058" i="76"/>
  <c r="J1139" i="76"/>
  <c r="J1240" i="76"/>
  <c r="J591" i="76"/>
  <c r="J1306" i="76"/>
  <c r="J1320" i="76"/>
  <c r="J848" i="76"/>
  <c r="J1054" i="76"/>
  <c r="J1010" i="76"/>
  <c r="J976" i="76"/>
  <c r="J1072" i="76"/>
  <c r="J1162" i="76"/>
  <c r="J648" i="76"/>
  <c r="J1302" i="76"/>
  <c r="J1316" i="76"/>
  <c r="J838" i="76"/>
  <c r="J929" i="76"/>
  <c r="J938" i="76"/>
  <c r="J894" i="76"/>
  <c r="J1004" i="76"/>
  <c r="J1090" i="76"/>
  <c r="J572" i="76"/>
  <c r="J55" i="76"/>
  <c r="J925" i="76"/>
  <c r="J1012" i="76"/>
  <c r="J1161" i="76"/>
  <c r="J1199" i="76"/>
  <c r="J1101" i="76"/>
  <c r="J1178" i="76"/>
  <c r="J1211" i="76"/>
  <c r="J712" i="76"/>
  <c r="J1060" i="76"/>
  <c r="J1123" i="76"/>
  <c r="J1271" i="76"/>
  <c r="J1252" i="76"/>
  <c r="J1169" i="76"/>
  <c r="J1289" i="76"/>
  <c r="J811" i="76"/>
  <c r="J748" i="76"/>
  <c r="J311" i="76"/>
  <c r="J978" i="76"/>
  <c r="J1055" i="76"/>
  <c r="J1146" i="76"/>
  <c r="J1174" i="76"/>
  <c r="J1087" i="76"/>
  <c r="J1164" i="76"/>
  <c r="J1264" i="76"/>
  <c r="J697" i="76"/>
  <c r="J197" i="76"/>
  <c r="J533" i="76"/>
  <c r="J1052" i="76"/>
  <c r="J310" i="76"/>
  <c r="J679" i="76"/>
  <c r="J162" i="76"/>
  <c r="J546" i="76"/>
  <c r="J16" i="76"/>
  <c r="J384" i="76"/>
  <c r="J672" i="76"/>
  <c r="J155" i="76"/>
  <c r="J387" i="76"/>
  <c r="J524" i="76"/>
  <c r="J1028" i="76"/>
  <c r="J305" i="76"/>
  <c r="J518" i="76"/>
  <c r="J29" i="76"/>
  <c r="J347" i="76"/>
  <c r="J564" i="76"/>
  <c r="J391" i="76"/>
  <c r="J743" i="76"/>
  <c r="J153" i="76"/>
  <c r="J513" i="76"/>
  <c r="J24" i="76"/>
  <c r="J342" i="76"/>
  <c r="J621" i="76"/>
  <c r="J126" i="76"/>
  <c r="J581" i="76"/>
  <c r="J50" i="76"/>
  <c r="J400" i="76"/>
  <c r="J989" i="76"/>
  <c r="J248" i="76"/>
  <c r="J589" i="76"/>
  <c r="J820" i="76"/>
  <c r="J360" i="76"/>
  <c r="J653" i="76"/>
  <c r="J72" i="76"/>
  <c r="J521" i="76"/>
  <c r="J432" i="76"/>
  <c r="J242" i="76"/>
  <c r="J188" i="76"/>
  <c r="J597" i="76"/>
  <c r="J690" i="76"/>
  <c r="J178" i="76"/>
  <c r="J528" i="76"/>
  <c r="J25" i="76"/>
  <c r="J181" i="76"/>
  <c r="J247" i="76"/>
  <c r="J639" i="76"/>
  <c r="J241" i="76"/>
  <c r="J91" i="76"/>
  <c r="J377" i="76"/>
  <c r="J706" i="76"/>
  <c r="J196" i="76"/>
  <c r="J1196" i="76"/>
  <c r="J1229" i="76"/>
  <c r="J746" i="76"/>
  <c r="J837" i="76"/>
  <c r="J1294" i="76"/>
  <c r="J1332" i="76"/>
  <c r="J860" i="76"/>
  <c r="J791" i="76"/>
  <c r="J358" i="76"/>
  <c r="J1253" i="76"/>
  <c r="J1277" i="76"/>
  <c r="J799" i="76"/>
  <c r="J948" i="76"/>
  <c r="J832" i="76"/>
  <c r="J773" i="76"/>
  <c r="J908" i="76"/>
  <c r="J916" i="76"/>
  <c r="J1321" i="76"/>
  <c r="J1330" i="76"/>
  <c r="J852" i="76"/>
  <c r="J943" i="76"/>
  <c r="J1020" i="76"/>
  <c r="J991" i="76"/>
  <c r="J1082" i="76"/>
  <c r="J1172" i="76"/>
  <c r="J529" i="76"/>
  <c r="J1239" i="76"/>
  <c r="J1262" i="76"/>
  <c r="J785" i="76"/>
  <c r="J997" i="76"/>
  <c r="J953" i="76"/>
  <c r="J909" i="76"/>
  <c r="J1014" i="76"/>
  <c r="J1100" i="76"/>
  <c r="J586" i="76"/>
  <c r="J1224" i="76"/>
  <c r="J1258" i="76"/>
  <c r="J780" i="76"/>
  <c r="J866" i="76"/>
  <c r="J875" i="76"/>
  <c r="J827" i="76"/>
  <c r="J947" i="76"/>
  <c r="J955" i="76"/>
  <c r="J515" i="76"/>
  <c r="J1105" i="76"/>
  <c r="J853" i="76"/>
  <c r="J949" i="76"/>
  <c r="J1040" i="76"/>
  <c r="J1131" i="76"/>
  <c r="J1034" i="76"/>
  <c r="J1115" i="76"/>
  <c r="J1143" i="76"/>
  <c r="J638" i="76"/>
  <c r="J993" i="76"/>
  <c r="J1065" i="76"/>
  <c r="J1214" i="76"/>
  <c r="J1184" i="76"/>
  <c r="J1097" i="76"/>
  <c r="J1231" i="76"/>
  <c r="J1336" i="76"/>
  <c r="J864" i="76"/>
  <c r="J249" i="76"/>
  <c r="J911" i="76"/>
  <c r="J992" i="76"/>
  <c r="J1083" i="76"/>
  <c r="J1117" i="76"/>
  <c r="J1015" i="76"/>
  <c r="J1106" i="76"/>
  <c r="J1129" i="76"/>
  <c r="J610" i="76"/>
  <c r="J434" i="76"/>
  <c r="J462" i="76"/>
  <c r="J758" i="76"/>
  <c r="J262" i="76"/>
  <c r="J594" i="76"/>
  <c r="J94" i="76"/>
  <c r="J465" i="76"/>
  <c r="J1351" i="76"/>
  <c r="J322" i="76"/>
  <c r="J615" i="76"/>
  <c r="J97" i="76"/>
  <c r="J159" i="76"/>
  <c r="J457" i="76"/>
  <c r="J751" i="76"/>
  <c r="J158" i="76"/>
  <c r="J456" i="76"/>
  <c r="J1216" i="76"/>
  <c r="J266" i="76"/>
  <c r="J512" i="76"/>
  <c r="J334" i="76"/>
  <c r="J661" i="76"/>
  <c r="J95" i="76"/>
  <c r="J452" i="76"/>
  <c r="J1192" i="76"/>
  <c r="J261" i="76"/>
  <c r="J560" i="76"/>
  <c r="J52" i="76"/>
  <c r="J500" i="76"/>
  <c r="J1317" i="76"/>
  <c r="J343" i="76"/>
  <c r="J705" i="76"/>
  <c r="J195" i="76"/>
  <c r="J508" i="76"/>
  <c r="J1153" i="76"/>
  <c r="J303" i="76"/>
  <c r="J592" i="76"/>
  <c r="J20" i="76"/>
  <c r="J293" i="76"/>
  <c r="J332" i="76"/>
  <c r="J106" i="76"/>
  <c r="J67" i="76"/>
  <c r="J403" i="76"/>
  <c r="J633" i="76"/>
  <c r="J109" i="76"/>
  <c r="J471" i="76"/>
  <c r="J701" i="76"/>
  <c r="J122" i="76"/>
  <c r="J682" i="76"/>
  <c r="J454" i="76"/>
  <c r="J445" i="76"/>
  <c r="J1124" i="76"/>
  <c r="J296" i="76"/>
  <c r="J637" i="76"/>
  <c r="J127" i="76"/>
  <c r="J437" i="76"/>
  <c r="J757" i="76"/>
  <c r="J43" i="76"/>
  <c r="J1118" i="76"/>
  <c r="J1166" i="76"/>
  <c r="J1315" i="76"/>
  <c r="J779" i="76"/>
  <c r="J1222" i="76"/>
  <c r="J1275" i="76"/>
  <c r="J797" i="76"/>
  <c r="J1337" i="76"/>
  <c r="J292" i="76"/>
  <c r="J1181" i="76"/>
  <c r="J1219" i="76"/>
  <c r="J742" i="76"/>
  <c r="J890" i="76"/>
  <c r="J1290" i="76"/>
  <c r="J1328" i="76"/>
  <c r="J850" i="76"/>
  <c r="J854" i="76"/>
  <c r="J1037" i="76"/>
  <c r="J951" i="76"/>
  <c r="J749" i="76"/>
  <c r="J996" i="76"/>
  <c r="J1121" i="76"/>
  <c r="J1025" i="76"/>
  <c r="J675" i="76"/>
  <c r="J611" i="76"/>
  <c r="J349" i="76"/>
  <c r="J320" i="76"/>
  <c r="J741" i="76"/>
  <c r="J540" i="76"/>
  <c r="J237" i="76"/>
  <c r="J556" i="76"/>
  <c r="J228" i="76"/>
  <c r="J168" i="76"/>
  <c r="J5" i="76"/>
  <c r="J117" i="76"/>
  <c r="J116" i="76"/>
  <c r="J878" i="76"/>
  <c r="J372" i="76"/>
  <c r="J632" i="76"/>
  <c r="J123" i="76"/>
  <c r="J480" i="76"/>
  <c r="J956" i="76"/>
  <c r="J207" i="76"/>
  <c r="J415" i="76"/>
  <c r="J764" i="76"/>
  <c r="J267" i="76"/>
  <c r="J475" i="76"/>
  <c r="J941" i="76"/>
  <c r="J218" i="76"/>
  <c r="J522" i="76"/>
  <c r="J1202" i="76"/>
  <c r="J312" i="76"/>
  <c r="J98" i="76"/>
  <c r="J57" i="76"/>
  <c r="J473" i="76"/>
  <c r="J497" i="76"/>
  <c r="J578" i="76"/>
  <c r="J345" i="76"/>
  <c r="J479" i="76"/>
  <c r="J184" i="76"/>
  <c r="J511" i="76"/>
  <c r="J430" i="76"/>
  <c r="J417" i="76"/>
  <c r="J792" i="76"/>
  <c r="J554" i="76"/>
  <c r="J135" i="76"/>
  <c r="J397" i="76"/>
  <c r="J179" i="76"/>
  <c r="J1120" i="76"/>
  <c r="J259" i="76"/>
  <c r="J304" i="76"/>
  <c r="J145" i="76"/>
  <c r="J27" i="76"/>
  <c r="J115" i="76"/>
  <c r="J1249" i="76"/>
  <c r="J477" i="76"/>
  <c r="J965" i="76"/>
  <c r="J889" i="76"/>
  <c r="J962" i="76"/>
  <c r="J1019" i="76"/>
  <c r="J1049" i="76"/>
  <c r="J177" i="76"/>
  <c r="J41" i="76"/>
  <c r="J253" i="76"/>
  <c r="J443" i="76"/>
  <c r="J493" i="76"/>
  <c r="J693" i="76"/>
  <c r="J1148" i="76"/>
  <c r="J295" i="76"/>
  <c r="J99" i="76"/>
  <c r="J1230" i="76"/>
  <c r="J874" i="76"/>
  <c r="J59" i="76"/>
  <c r="J649" i="76"/>
  <c r="J1091" i="76"/>
  <c r="J291" i="76"/>
  <c r="J566" i="76"/>
  <c r="J66" i="76"/>
  <c r="J423" i="76"/>
  <c r="J736" i="76"/>
  <c r="J77" i="76"/>
  <c r="J367" i="76"/>
  <c r="J680" i="76"/>
  <c r="J186" i="76"/>
  <c r="J333" i="76"/>
  <c r="J731" i="76"/>
  <c r="J152" i="76"/>
  <c r="J474" i="76"/>
  <c r="J767" i="76"/>
  <c r="J231" i="76"/>
  <c r="J317" i="76"/>
  <c r="J21" i="76"/>
  <c r="J350" i="76"/>
  <c r="J183" i="76"/>
  <c r="J39" i="76"/>
  <c r="J212" i="76"/>
  <c r="J199" i="76"/>
  <c r="J440" i="76"/>
  <c r="J316" i="76"/>
  <c r="J297" i="76"/>
  <c r="J411" i="76"/>
  <c r="J645" i="76"/>
  <c r="J421" i="76"/>
  <c r="J1272" i="76"/>
  <c r="J1167" i="76"/>
  <c r="J525" i="76"/>
  <c r="J887" i="76"/>
  <c r="J1057" i="76"/>
  <c r="J1168" i="76"/>
  <c r="J937" i="76"/>
  <c r="J527" i="76"/>
  <c r="J405" i="76"/>
  <c r="J599" i="76"/>
  <c r="J907" i="76"/>
  <c r="J246" i="76"/>
  <c r="J180" i="76"/>
  <c r="J576" i="76"/>
  <c r="J65" i="76"/>
  <c r="J254" i="76"/>
  <c r="J789" i="76"/>
  <c r="J613" i="76"/>
  <c r="J761" i="76"/>
  <c r="J1038" i="76"/>
  <c r="J738" i="76"/>
  <c r="J220" i="76"/>
  <c r="J519" i="76"/>
  <c r="J1312" i="76"/>
  <c r="J352" i="76"/>
  <c r="J674" i="76"/>
  <c r="J946" i="76"/>
  <c r="J282" i="76"/>
  <c r="J623" i="76"/>
  <c r="J60" i="76"/>
  <c r="J276" i="76"/>
  <c r="J669" i="76"/>
  <c r="J93" i="76"/>
  <c r="J393" i="76"/>
  <c r="J677" i="76"/>
  <c r="J169" i="76"/>
  <c r="J250" i="76"/>
  <c r="J112" i="76"/>
  <c r="J221" i="76"/>
  <c r="J279" i="76"/>
  <c r="J526" i="76"/>
  <c r="J82" i="76"/>
  <c r="J1259" i="76"/>
  <c r="J426" i="76"/>
  <c r="J110" i="76"/>
  <c r="J174" i="76"/>
  <c r="J87" i="76"/>
  <c r="J125" i="76"/>
  <c r="J302" i="76"/>
  <c r="J723" i="76"/>
  <c r="J630" i="76"/>
  <c r="J795" i="76"/>
  <c r="J1205" i="76"/>
  <c r="J1157" i="76"/>
  <c r="J458" i="76"/>
  <c r="J1080" i="76"/>
  <c r="J1201" i="76"/>
  <c r="J1043" i="76"/>
  <c r="J34" i="76"/>
  <c r="J670" i="76"/>
  <c r="J35" i="76"/>
  <c r="J286" i="76"/>
  <c r="J960" i="76"/>
  <c r="J431" i="76"/>
  <c r="J301" i="76"/>
  <c r="J503" i="76"/>
  <c r="J744" i="76"/>
  <c r="J580" i="76"/>
  <c r="J551" i="76"/>
  <c r="J688" i="76"/>
  <c r="J729" i="76"/>
  <c r="J671" i="76"/>
  <c r="J163" i="76"/>
  <c r="J438" i="76"/>
  <c r="J1341" i="76"/>
  <c r="J285" i="76"/>
  <c r="J622" i="76"/>
  <c r="J732" i="76"/>
  <c r="J215" i="76"/>
  <c r="J561" i="76"/>
  <c r="J1081" i="76"/>
  <c r="J214" i="76"/>
  <c r="J617" i="76"/>
  <c r="J23" i="76"/>
  <c r="J327" i="76"/>
  <c r="J620" i="76"/>
  <c r="J104" i="76"/>
  <c r="J274" i="76"/>
  <c r="J588" i="76"/>
  <c r="J92" i="76"/>
  <c r="J336" i="76"/>
  <c r="J232" i="76"/>
  <c r="J516" i="76"/>
  <c r="J698" i="76"/>
  <c r="J318" i="76"/>
  <c r="J1023" i="76"/>
  <c r="J56" i="76"/>
  <c r="J83" i="76"/>
  <c r="J763" i="76"/>
  <c r="J150" i="76"/>
  <c r="J341" i="76"/>
  <c r="J886" i="76"/>
  <c r="J727" i="76"/>
  <c r="J1195" i="76"/>
  <c r="J1269" i="76"/>
  <c r="J567" i="76"/>
  <c r="J702" i="76"/>
  <c r="J1061" i="76"/>
  <c r="J408" i="76"/>
  <c r="J101" i="76"/>
  <c r="J399" i="76"/>
  <c r="J646" i="76"/>
  <c r="J544" i="76"/>
  <c r="J1298" i="76"/>
  <c r="J40" i="76"/>
  <c r="J602" i="76"/>
  <c r="J685" i="76"/>
  <c r="J523" i="76"/>
  <c r="J490" i="76"/>
  <c r="J627" i="76"/>
  <c r="J346" i="76"/>
  <c r="J624" i="76"/>
  <c r="J96" i="76"/>
  <c r="J381" i="76"/>
  <c r="J859" i="76"/>
  <c r="J219" i="76"/>
  <c r="J574" i="76"/>
  <c r="J666" i="76"/>
  <c r="J149" i="76"/>
  <c r="J514" i="76"/>
  <c r="J835" i="76"/>
  <c r="J167" i="76"/>
  <c r="J470" i="76"/>
  <c r="J999" i="76"/>
  <c r="J275" i="76"/>
  <c r="J563" i="76"/>
  <c r="J46" i="76"/>
  <c r="J37" i="76"/>
  <c r="J265" i="76"/>
  <c r="J559" i="76"/>
  <c r="J223" i="76"/>
  <c r="J644" i="76"/>
  <c r="J298" i="76"/>
  <c r="J582" i="76"/>
  <c r="J813" i="76"/>
  <c r="J398" i="76"/>
  <c r="J217" i="76"/>
  <c r="J120" i="76"/>
  <c r="J379" i="76"/>
  <c r="J32" i="76"/>
  <c r="J88" i="76"/>
  <c r="J478" i="76"/>
  <c r="J374" i="76"/>
  <c r="J222" i="76"/>
  <c r="J130" i="76"/>
  <c r="J105" i="76"/>
  <c r="J634" i="76"/>
  <c r="J203" i="76"/>
  <c r="J658" i="76"/>
  <c r="J957" i="76"/>
  <c r="J876" i="76"/>
  <c r="J1286" i="76"/>
  <c r="J786" i="76"/>
  <c r="J921" i="76"/>
  <c r="J202" i="76"/>
  <c r="J553" i="76"/>
  <c r="J782" i="76"/>
  <c r="J404" i="76"/>
  <c r="J710" i="76"/>
  <c r="J70" i="76"/>
  <c r="J193" i="76"/>
  <c r="J388" i="76"/>
  <c r="J642" i="76"/>
  <c r="J38" i="76"/>
  <c r="J486" i="76"/>
  <c r="J324" i="76"/>
  <c r="J361" i="76"/>
  <c r="J579" i="76"/>
  <c r="J156" i="76"/>
  <c r="J543" i="76"/>
  <c r="J1206" i="76"/>
  <c r="J319" i="76"/>
  <c r="J689" i="76"/>
  <c r="J172" i="76"/>
  <c r="J489" i="76"/>
  <c r="J619" i="76"/>
  <c r="J90" i="76"/>
  <c r="J433" i="76"/>
  <c r="J684" i="76"/>
  <c r="J100" i="76"/>
  <c r="J413" i="76"/>
  <c r="J719" i="76"/>
  <c r="J227" i="76"/>
  <c r="J506" i="76"/>
  <c r="J692" i="76"/>
  <c r="J407" i="76"/>
  <c r="J15" i="76"/>
  <c r="J455" i="76"/>
  <c r="J364" i="76"/>
  <c r="J717" i="76"/>
  <c r="J146" i="76"/>
  <c r="J435" i="76"/>
  <c r="J378" i="76"/>
  <c r="J151" i="76"/>
  <c r="J58" i="76"/>
  <c r="J984" i="76"/>
  <c r="J1163" i="76"/>
  <c r="J264" i="76"/>
  <c r="J913" i="76"/>
  <c r="J885" i="76"/>
  <c r="J808" i="76"/>
  <c r="J891" i="76"/>
  <c r="J1002" i="76"/>
  <c r="J839" i="76"/>
  <c r="J51" i="76"/>
  <c r="J270" i="76"/>
  <c r="J714" i="76"/>
  <c r="J190" i="76"/>
  <c r="J446" i="76"/>
  <c r="J464" i="76"/>
  <c r="J331" i="76"/>
  <c r="J395" i="76"/>
  <c r="J335" i="76"/>
  <c r="J424" i="76"/>
  <c r="J277" i="76"/>
  <c r="J290" i="76"/>
  <c r="J427" i="76"/>
  <c r="J235" i="76"/>
  <c r="J481" i="76"/>
  <c r="J774" i="76"/>
  <c r="J272" i="76"/>
  <c r="J608" i="76"/>
  <c r="J54" i="76"/>
  <c r="J422" i="76"/>
  <c r="J538" i="76"/>
  <c r="J11" i="76"/>
  <c r="J376" i="76"/>
  <c r="J603" i="76"/>
  <c r="J44" i="76"/>
  <c r="J356" i="76"/>
  <c r="J640" i="76"/>
  <c r="J142" i="76"/>
  <c r="J425" i="76"/>
  <c r="J175" i="76"/>
  <c r="J42" i="76"/>
  <c r="J728" i="76"/>
  <c r="J170" i="76"/>
  <c r="J22" i="76"/>
  <c r="J596" i="76"/>
  <c r="J606" i="76"/>
  <c r="J321" i="76"/>
  <c r="J213" i="76"/>
  <c r="J691" i="76"/>
  <c r="J369" i="76"/>
  <c r="J535" i="76"/>
  <c r="J1024" i="76"/>
  <c r="J831" i="76"/>
  <c r="J1333" i="76"/>
  <c r="J982" i="76"/>
  <c r="J1151" i="76"/>
  <c r="J934" i="76"/>
  <c r="J410" i="76"/>
  <c r="J558" i="76"/>
  <c r="J204" i="76"/>
  <c r="J507" i="76"/>
  <c r="J185" i="76"/>
  <c r="J502" i="76"/>
  <c r="J530" i="76"/>
  <c r="J139" i="76"/>
  <c r="J402" i="76"/>
  <c r="J225" i="76"/>
  <c r="J71" i="76"/>
  <c r="J233" i="76"/>
  <c r="J171" i="76"/>
  <c r="J81" i="76"/>
  <c r="J420" i="76"/>
  <c r="J695" i="76"/>
  <c r="J191" i="76"/>
  <c r="J537" i="76"/>
  <c r="J708" i="76"/>
  <c r="J370" i="76"/>
  <c r="J467" i="76"/>
  <c r="J1173" i="76"/>
  <c r="J315" i="76"/>
  <c r="J532" i="76"/>
  <c r="J1327" i="76"/>
  <c r="J299" i="76"/>
  <c r="J583" i="76"/>
  <c r="J78" i="76"/>
  <c r="J359" i="76"/>
  <c r="J568" i="76"/>
  <c r="J483" i="76"/>
  <c r="J601" i="76"/>
  <c r="J616" i="76"/>
  <c r="J373" i="76"/>
  <c r="J468" i="76"/>
  <c r="J14" i="76"/>
  <c r="J62" i="76"/>
  <c r="J280" i="76"/>
  <c r="J577" i="76"/>
  <c r="J326" i="76"/>
  <c r="J166" i="76"/>
  <c r="J667" i="76"/>
  <c r="J573" i="76"/>
  <c r="J549" i="76"/>
  <c r="J73" i="76"/>
  <c r="J10" i="76"/>
  <c r="L18" i="80" l="1"/>
  <c r="K18" i="80"/>
  <c r="C10" i="91" l="1"/>
  <c r="Q25" i="83"/>
  <c r="C25" i="83"/>
  <c r="E660" i="76" s="1"/>
  <c r="Q24" i="83"/>
  <c r="C24" i="83"/>
  <c r="E625" i="76" s="1"/>
  <c r="Q23" i="83"/>
  <c r="C23" i="83"/>
  <c r="E590" i="76" s="1"/>
  <c r="Q22" i="83"/>
  <c r="C22" i="83"/>
  <c r="E555" i="76" s="1"/>
  <c r="Q21" i="83"/>
  <c r="C21" i="83"/>
  <c r="E520" i="76" s="1"/>
  <c r="Q20" i="83"/>
  <c r="C20" i="83"/>
  <c r="E485" i="76" s="1"/>
  <c r="Q19" i="83"/>
  <c r="C19" i="83"/>
  <c r="E450" i="76" s="1"/>
  <c r="Q18" i="83"/>
  <c r="C18" i="83"/>
  <c r="E418" i="76" s="1"/>
  <c r="Q17" i="83"/>
  <c r="C17" i="83"/>
  <c r="E383" i="76" s="1"/>
  <c r="Q16" i="83"/>
  <c r="C16" i="83"/>
  <c r="E348" i="76" s="1"/>
  <c r="Q15" i="83"/>
  <c r="C15" i="83"/>
  <c r="E313" i="76" s="1"/>
  <c r="Q14" i="83"/>
  <c r="C14" i="83"/>
  <c r="E278" i="76" s="1"/>
  <c r="Q13" i="83"/>
  <c r="C13" i="83"/>
  <c r="E243" i="76" s="1"/>
  <c r="Q12" i="83"/>
  <c r="C12" i="83"/>
  <c r="E208" i="76" s="1"/>
  <c r="Q11" i="83"/>
  <c r="C11" i="83"/>
  <c r="E173" i="76" s="1"/>
  <c r="Q10" i="83"/>
  <c r="C10" i="83"/>
  <c r="E141" i="76" s="1"/>
  <c r="L57" i="80"/>
  <c r="K57" i="80"/>
  <c r="L50" i="80"/>
  <c r="K50" i="80"/>
  <c r="L47" i="80"/>
  <c r="L35" i="80"/>
  <c r="C10" i="80"/>
  <c r="E41" i="81"/>
  <c r="E40" i="81"/>
  <c r="E39" i="81"/>
  <c r="E38" i="81"/>
  <c r="E37" i="81"/>
  <c r="J22" i="81"/>
  <c r="I22" i="81"/>
  <c r="H22" i="81"/>
  <c r="G22" i="81"/>
  <c r="F22" i="81"/>
  <c r="E22" i="81"/>
  <c r="J8" i="81"/>
  <c r="J6" i="81" s="1"/>
  <c r="E8" i="81"/>
  <c r="E7" i="8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B10" i="1"/>
  <c r="K138" i="84"/>
  <c r="J138" i="84"/>
  <c r="K137" i="84"/>
  <c r="J137" i="84"/>
  <c r="K136" i="84"/>
  <c r="J136" i="84"/>
  <c r="K135" i="84"/>
  <c r="J135" i="84"/>
  <c r="K130" i="84"/>
  <c r="K129" i="84"/>
  <c r="J129" i="84"/>
  <c r="J130" i="84" s="1"/>
  <c r="I130" i="84" s="1"/>
  <c r="K128" i="84"/>
  <c r="J127" i="84"/>
  <c r="K126" i="84"/>
  <c r="J126" i="84"/>
  <c r="I126" i="84" s="1"/>
  <c r="K125" i="84"/>
  <c r="J125" i="84"/>
  <c r="I125" i="84" s="1"/>
  <c r="K124" i="84"/>
  <c r="J123" i="84"/>
  <c r="K119" i="84"/>
  <c r="K118" i="84"/>
  <c r="J118" i="84"/>
  <c r="K117" i="84"/>
  <c r="J116" i="84"/>
  <c r="K115" i="84"/>
  <c r="J115" i="84"/>
  <c r="K114" i="84"/>
  <c r="J114" i="84"/>
  <c r="K113" i="84"/>
  <c r="J112" i="84"/>
  <c r="K106" i="84"/>
  <c r="J106" i="84"/>
  <c r="K105" i="84"/>
  <c r="J104" i="84"/>
  <c r="K103" i="84"/>
  <c r="J103" i="84"/>
  <c r="K102" i="84"/>
  <c r="J102" i="84"/>
  <c r="K101" i="84"/>
  <c r="J100" i="84"/>
  <c r="K95" i="84"/>
  <c r="K94" i="84"/>
  <c r="J94" i="84"/>
  <c r="J95" i="84" s="1"/>
  <c r="I95" i="84" s="1"/>
  <c r="K93" i="84"/>
  <c r="J92" i="84"/>
  <c r="J93" i="84" s="1"/>
  <c r="I93" i="84" s="1"/>
  <c r="K91" i="84"/>
  <c r="J91" i="84"/>
  <c r="I91" i="84" s="1"/>
  <c r="K90" i="84"/>
  <c r="J90" i="84"/>
  <c r="I90" i="84" s="1"/>
  <c r="K89" i="84"/>
  <c r="J88" i="84"/>
  <c r="J89" i="84" s="1"/>
  <c r="I89" i="84" s="1"/>
  <c r="J82" i="84"/>
  <c r="J80" i="84"/>
  <c r="J31" i="81" s="1"/>
  <c r="J78" i="84"/>
  <c r="G30" i="81" s="1"/>
  <c r="J77" i="84"/>
  <c r="H30" i="81" s="1"/>
  <c r="J75" i="84"/>
  <c r="G29" i="81" s="1"/>
  <c r="J74" i="84"/>
  <c r="H29" i="81" s="1"/>
  <c r="J69" i="84"/>
  <c r="K68" i="84"/>
  <c r="J68" i="84"/>
  <c r="K67" i="84"/>
  <c r="J67" i="84"/>
  <c r="K66" i="84"/>
  <c r="J66" i="84"/>
  <c r="K65" i="84"/>
  <c r="J65" i="84"/>
  <c r="K60" i="84"/>
  <c r="K59" i="84"/>
  <c r="K58" i="84"/>
  <c r="K57" i="84"/>
  <c r="K56" i="84"/>
  <c r="K55" i="84"/>
  <c r="K54" i="84"/>
  <c r="J53" i="84"/>
  <c r="J52" i="84"/>
  <c r="J51" i="84"/>
  <c r="J50" i="84"/>
  <c r="J49" i="84"/>
  <c r="K48" i="84"/>
  <c r="J48" i="84"/>
  <c r="J47" i="84"/>
  <c r="J46" i="84"/>
  <c r="J45" i="84"/>
  <c r="J44" i="84"/>
  <c r="J43" i="84"/>
  <c r="J42" i="84"/>
  <c r="J41" i="84"/>
  <c r="J40" i="84"/>
  <c r="K35" i="84"/>
  <c r="J35" i="84"/>
  <c r="K34" i="84"/>
  <c r="J34" i="84"/>
  <c r="K33" i="84"/>
  <c r="J33" i="84"/>
  <c r="K32" i="84"/>
  <c r="J32" i="84"/>
  <c r="K31" i="84"/>
  <c r="J31" i="84"/>
  <c r="K30" i="84"/>
  <c r="J30" i="84"/>
  <c r="K29" i="84"/>
  <c r="J29" i="84"/>
  <c r="K28" i="84"/>
  <c r="J28" i="84"/>
  <c r="K27" i="84"/>
  <c r="J27" i="84"/>
  <c r="K26" i="84"/>
  <c r="J26" i="84"/>
  <c r="K25" i="84"/>
  <c r="J25" i="84"/>
  <c r="K24" i="84"/>
  <c r="J24" i="84"/>
  <c r="K23" i="84"/>
  <c r="J23" i="84"/>
  <c r="K22" i="84"/>
  <c r="J22" i="84"/>
  <c r="K21" i="84"/>
  <c r="J21" i="84"/>
  <c r="K20" i="84"/>
  <c r="J20" i="84"/>
  <c r="K19" i="84"/>
  <c r="J19" i="84"/>
  <c r="K18" i="84"/>
  <c r="J18" i="84"/>
  <c r="K17" i="84"/>
  <c r="J17" i="84"/>
  <c r="K16" i="84"/>
  <c r="J16" i="84"/>
  <c r="K15" i="84"/>
  <c r="J15" i="84"/>
  <c r="J13" i="84" s="1"/>
  <c r="K14" i="84"/>
  <c r="K13" i="84"/>
  <c r="K12" i="84"/>
  <c r="K11" i="84"/>
  <c r="J11" i="84"/>
  <c r="J10" i="84"/>
  <c r="J9" i="84"/>
  <c r="J8" i="84"/>
  <c r="J7" i="84"/>
  <c r="C3" i="90"/>
  <c r="B4" i="92" s="1"/>
  <c r="J278" i="76"/>
  <c r="J348" i="76"/>
  <c r="J383" i="76"/>
  <c r="J625" i="76"/>
  <c r="J141" i="76"/>
  <c r="J208" i="76"/>
  <c r="J313" i="76"/>
  <c r="J555" i="76"/>
  <c r="J660" i="76"/>
  <c r="J590" i="76"/>
  <c r="J520" i="76"/>
  <c r="J450" i="76"/>
  <c r="J243" i="76"/>
  <c r="J173" i="76"/>
  <c r="J418" i="76"/>
  <c r="J485" i="76"/>
  <c r="B7" i="88" l="1"/>
  <c r="B7" i="76"/>
  <c r="G59" i="84"/>
  <c r="C18" i="76"/>
  <c r="B8" i="88"/>
  <c r="B8" i="76"/>
  <c r="J12" i="84"/>
  <c r="I102" i="84"/>
  <c r="I66" i="84"/>
  <c r="I47" i="84"/>
  <c r="I94" i="84"/>
  <c r="H23" i="81"/>
  <c r="I24" i="81"/>
  <c r="I25" i="81" s="1"/>
  <c r="G23" i="81"/>
  <c r="G18" i="84"/>
  <c r="F23" i="81"/>
  <c r="G11" i="84"/>
  <c r="I46" i="84"/>
  <c r="I67" i="84"/>
  <c r="I114" i="84"/>
  <c r="G24" i="81"/>
  <c r="G25" i="81" s="1"/>
  <c r="K61" i="84"/>
  <c r="J23" i="81"/>
  <c r="B7" i="91"/>
  <c r="B4" i="94"/>
  <c r="G17" i="84"/>
  <c r="G21" i="84"/>
  <c r="B8" i="91"/>
  <c r="G20" i="84"/>
  <c r="G25" i="84"/>
  <c r="G27" i="84"/>
  <c r="G29" i="84"/>
  <c r="G31" i="84"/>
  <c r="G33" i="84"/>
  <c r="A63" i="84"/>
  <c r="J32" i="81"/>
  <c r="F32" i="81"/>
  <c r="I32" i="81"/>
  <c r="E32" i="81"/>
  <c r="A132" i="84"/>
  <c r="H24" i="81"/>
  <c r="H25" i="81" s="1"/>
  <c r="J24" i="81"/>
  <c r="J25" i="81" s="1"/>
  <c r="F29" i="81"/>
  <c r="G14" i="84"/>
  <c r="H31" i="81"/>
  <c r="G31" i="81"/>
  <c r="G13" i="84"/>
  <c r="J14" i="84"/>
  <c r="G16" i="84"/>
  <c r="G24" i="84"/>
  <c r="G26" i="84"/>
  <c r="G28" i="84"/>
  <c r="G30" i="84"/>
  <c r="G32" i="84"/>
  <c r="G34" i="84"/>
  <c r="G35" i="84"/>
  <c r="A38" i="84"/>
  <c r="A5" i="84"/>
  <c r="C2" i="91"/>
  <c r="C2" i="76"/>
  <c r="C2" i="88"/>
  <c r="C2" i="75"/>
  <c r="C2" i="74"/>
  <c r="G12" i="84"/>
  <c r="G19" i="84"/>
  <c r="G23" i="84"/>
  <c r="I24" i="84"/>
  <c r="I25" i="84"/>
  <c r="I26" i="84"/>
  <c r="I27" i="84"/>
  <c r="I28" i="84"/>
  <c r="I29" i="84"/>
  <c r="I30" i="84"/>
  <c r="I31" i="84"/>
  <c r="I32" i="84"/>
  <c r="I33" i="84"/>
  <c r="I34" i="84"/>
  <c r="I35" i="84"/>
  <c r="G48" i="84"/>
  <c r="I65" i="84"/>
  <c r="J30" i="81"/>
  <c r="F30" i="81"/>
  <c r="I30" i="81"/>
  <c r="E30" i="81"/>
  <c r="A86" i="84"/>
  <c r="I106" i="84"/>
  <c r="J107" i="84"/>
  <c r="I118" i="84"/>
  <c r="J119" i="84"/>
  <c r="E23" i="81"/>
  <c r="I23" i="81"/>
  <c r="E24" i="81"/>
  <c r="E25" i="81" s="1"/>
  <c r="I29" i="81"/>
  <c r="E31" i="81"/>
  <c r="G32" i="81"/>
  <c r="G22" i="84"/>
  <c r="G47" i="84"/>
  <c r="I48" i="84"/>
  <c r="G54" i="84"/>
  <c r="G55" i="84"/>
  <c r="G56" i="84"/>
  <c r="G57" i="84"/>
  <c r="G58" i="84"/>
  <c r="I68" i="84"/>
  <c r="A71" i="84"/>
  <c r="A98" i="84"/>
  <c r="I103" i="84"/>
  <c r="A110" i="84"/>
  <c r="I115" i="84"/>
  <c r="I129" i="84"/>
  <c r="F24" i="81"/>
  <c r="F25" i="81" s="1"/>
  <c r="J29" i="81"/>
  <c r="F31" i="81"/>
  <c r="H32" i="81"/>
  <c r="C3" i="91"/>
  <c r="C3" i="88"/>
  <c r="C3" i="75"/>
  <c r="C3" i="74"/>
  <c r="C18" i="91"/>
  <c r="C3" i="76"/>
  <c r="G46" i="84"/>
  <c r="A121" i="84"/>
  <c r="E29" i="81"/>
  <c r="I31" i="81"/>
  <c r="A19" i="93"/>
  <c r="F6" i="94"/>
  <c r="B64" i="81"/>
  <c r="A13" i="93"/>
  <c r="U6" i="94"/>
  <c r="B61" i="81"/>
  <c r="B27" i="82"/>
  <c r="B16" i="82"/>
  <c r="B23" i="82"/>
  <c r="A8" i="93"/>
  <c r="M6" i="94"/>
  <c r="A10" i="93"/>
  <c r="A4" i="93"/>
  <c r="A5" i="93"/>
  <c r="B65" i="81"/>
  <c r="P6" i="94"/>
  <c r="B14" i="82"/>
  <c r="B21" i="82"/>
  <c r="B57" i="81"/>
  <c r="A20" i="93"/>
  <c r="B62" i="81"/>
  <c r="A12" i="93"/>
  <c r="B56" i="81"/>
  <c r="I6" i="94"/>
  <c r="B63" i="81"/>
  <c r="B22" i="82"/>
  <c r="B24" i="82"/>
  <c r="T6" i="94"/>
  <c r="K6" i="94"/>
  <c r="B50" i="81"/>
  <c r="B55" i="81"/>
  <c r="B54" i="81"/>
  <c r="A14" i="93"/>
  <c r="A7" i="93"/>
  <c r="B19" i="82"/>
  <c r="B18" i="82"/>
  <c r="O6" i="94"/>
  <c r="A17" i="93"/>
  <c r="B53" i="81"/>
  <c r="L6" i="94"/>
  <c r="S6" i="94"/>
  <c r="A16" i="93"/>
  <c r="K6" i="80"/>
  <c r="B25" i="82"/>
  <c r="B28" i="82"/>
  <c r="A6" i="93"/>
  <c r="Q6" i="94"/>
  <c r="G6" i="94"/>
  <c r="B49" i="81"/>
  <c r="B51" i="81"/>
  <c r="B58" i="81"/>
  <c r="L6" i="80"/>
  <c r="B15" i="82"/>
  <c r="B13" i="82"/>
  <c r="N6" i="94"/>
  <c r="A18" i="93"/>
  <c r="J6" i="94"/>
  <c r="H6" i="94"/>
  <c r="A11" i="93"/>
  <c r="A15" i="93"/>
  <c r="B12" i="82"/>
  <c r="B20" i="82"/>
  <c r="B26" i="82"/>
  <c r="V6" i="94"/>
  <c r="B59" i="81"/>
  <c r="B52" i="81"/>
  <c r="B60" i="81"/>
  <c r="A9" i="93"/>
  <c r="R6" i="94"/>
  <c r="B10" i="82"/>
  <c r="B17" i="82"/>
  <c r="B11" i="82"/>
  <c r="H2" i="80"/>
  <c r="J23" i="91"/>
  <c r="J131" i="91"/>
  <c r="J148" i="91"/>
  <c r="J320" i="91"/>
  <c r="J47" i="91"/>
  <c r="J175" i="91"/>
  <c r="J27" i="91"/>
  <c r="J149" i="91"/>
  <c r="L15" i="1"/>
  <c r="J545" i="91"/>
  <c r="J348" i="91"/>
  <c r="J160" i="91"/>
  <c r="J406" i="91"/>
  <c r="J55" i="91"/>
  <c r="J85" i="91"/>
  <c r="J108" i="91"/>
  <c r="J260" i="91"/>
  <c r="J132" i="91"/>
  <c r="J124" i="91"/>
  <c r="J430" i="91"/>
  <c r="J8" i="76"/>
  <c r="J510" i="91"/>
  <c r="J496" i="91"/>
  <c r="J403" i="91"/>
  <c r="J31" i="91"/>
  <c r="J94" i="91"/>
  <c r="J82" i="91"/>
  <c r="J390" i="91"/>
  <c r="J46" i="91"/>
  <c r="L21" i="1"/>
  <c r="J467" i="91"/>
  <c r="J411" i="91"/>
  <c r="J520" i="91"/>
  <c r="J318" i="91"/>
  <c r="J395" i="91"/>
  <c r="J478" i="91"/>
  <c r="J475" i="91"/>
  <c r="J321" i="91"/>
  <c r="J499" i="91"/>
  <c r="L19" i="1"/>
  <c r="J45" i="91"/>
  <c r="J391" i="91"/>
  <c r="J211" i="91"/>
  <c r="J41" i="91"/>
  <c r="J154" i="91"/>
  <c r="J157" i="91"/>
  <c r="J350" i="91"/>
  <c r="J445" i="91"/>
  <c r="J189" i="91"/>
  <c r="J486" i="91"/>
  <c r="J249" i="91"/>
  <c r="J397" i="91"/>
  <c r="J237" i="91"/>
  <c r="J227" i="91"/>
  <c r="J313" i="91"/>
  <c r="J297" i="91"/>
  <c r="J359" i="91"/>
  <c r="J444" i="91"/>
  <c r="J289" i="91"/>
  <c r="M16" i="1"/>
  <c r="J310" i="91"/>
  <c r="J355" i="91"/>
  <c r="J374" i="91"/>
  <c r="J500" i="91"/>
  <c r="J498" i="91"/>
  <c r="J455" i="91"/>
  <c r="J109" i="91"/>
  <c r="J503" i="91"/>
  <c r="J55" i="84"/>
  <c r="J449" i="91"/>
  <c r="J539" i="91"/>
  <c r="J11" i="91"/>
  <c r="J515" i="91"/>
  <c r="J443" i="91"/>
  <c r="J199" i="91"/>
  <c r="J492" i="91"/>
  <c r="J214" i="91"/>
  <c r="J226" i="91"/>
  <c r="M22" i="1"/>
  <c r="J238" i="91"/>
  <c r="J428" i="91"/>
  <c r="J281" i="91"/>
  <c r="J256" i="91"/>
  <c r="J479" i="91"/>
  <c r="J311" i="91"/>
  <c r="J242" i="91"/>
  <c r="J447" i="91"/>
  <c r="J269" i="91"/>
  <c r="J76" i="91"/>
  <c r="J173" i="91"/>
  <c r="J83" i="91"/>
  <c r="J501" i="91"/>
  <c r="J213" i="91"/>
  <c r="J25" i="91"/>
  <c r="J137" i="91"/>
  <c r="J212" i="91"/>
  <c r="M10" i="1"/>
  <c r="J332" i="91"/>
  <c r="J66" i="91"/>
  <c r="J172" i="91"/>
  <c r="J548" i="91"/>
  <c r="J65" i="91"/>
  <c r="J382" i="91"/>
  <c r="J100" i="91"/>
  <c r="J525" i="91"/>
  <c r="J393" i="91"/>
  <c r="J357" i="91"/>
  <c r="L10" i="1"/>
  <c r="J163" i="91"/>
  <c r="J52" i="91"/>
  <c r="J133" i="91"/>
  <c r="J250" i="91"/>
  <c r="J236" i="91"/>
  <c r="J166" i="91"/>
  <c r="J418" i="91"/>
  <c r="J225" i="91"/>
  <c r="M12" i="1"/>
  <c r="J197" i="91"/>
  <c r="J103" i="91"/>
  <c r="J275" i="91"/>
  <c r="J414" i="91"/>
  <c r="J235" i="91"/>
  <c r="J473" i="91"/>
  <c r="J456" i="91"/>
  <c r="J379" i="91"/>
  <c r="J458" i="91"/>
  <c r="J448" i="91"/>
  <c r="J117" i="84"/>
  <c r="J460" i="91"/>
  <c r="J373" i="91"/>
  <c r="J429" i="91"/>
  <c r="J51" i="91"/>
  <c r="J86" i="91"/>
  <c r="J245" i="91"/>
  <c r="J207" i="91"/>
  <c r="J105" i="91"/>
  <c r="J68" i="91"/>
  <c r="M13" i="1"/>
  <c r="J92" i="91"/>
  <c r="J89" i="91"/>
  <c r="J271" i="91"/>
  <c r="J74" i="91"/>
  <c r="J161" i="91"/>
  <c r="J56" i="91"/>
  <c r="J453" i="91"/>
  <c r="J42" i="91"/>
  <c r="J117" i="91"/>
  <c r="J18" i="76"/>
  <c r="J353" i="91"/>
  <c r="J217" i="91"/>
  <c r="J404" i="91"/>
  <c r="J178" i="91"/>
  <c r="J215" i="91"/>
  <c r="J220" i="91"/>
  <c r="J101" i="91"/>
  <c r="J513" i="91"/>
  <c r="L13" i="1"/>
  <c r="J361" i="91"/>
  <c r="J276" i="91"/>
  <c r="J22" i="91"/>
  <c r="J116" i="91"/>
  <c r="J198" i="91"/>
  <c r="J67" i="91"/>
  <c r="J480" i="91"/>
  <c r="J546" i="91"/>
  <c r="J120" i="91"/>
  <c r="J330" i="91"/>
  <c r="J322" i="91"/>
  <c r="J228" i="91"/>
  <c r="J180" i="91"/>
  <c r="J129" i="91"/>
  <c r="L27" i="1"/>
  <c r="J18" i="91"/>
  <c r="J118" i="91"/>
  <c r="J91" i="91"/>
  <c r="J437" i="91"/>
  <c r="J516" i="91"/>
  <c r="J139" i="91"/>
  <c r="J53" i="91"/>
  <c r="J346" i="91"/>
  <c r="J328" i="91"/>
  <c r="J482" i="91"/>
  <c r="J316" i="91"/>
  <c r="J78" i="91"/>
  <c r="J56" i="84"/>
  <c r="J435" i="91"/>
  <c r="J522" i="91"/>
  <c r="J432" i="91"/>
  <c r="J472" i="91"/>
  <c r="J190" i="91"/>
  <c r="J184" i="91"/>
  <c r="J182" i="91"/>
  <c r="J358" i="91"/>
  <c r="J337" i="91"/>
  <c r="J293" i="91"/>
  <c r="M21" i="1"/>
  <c r="J413" i="91"/>
  <c r="J524" i="91"/>
  <c r="J81" i="91"/>
  <c r="J540" i="91"/>
  <c r="J383" i="91"/>
  <c r="J416" i="91"/>
  <c r="J533" i="91"/>
  <c r="J164" i="91"/>
  <c r="J485" i="91"/>
  <c r="M18" i="1"/>
  <c r="J244" i="91"/>
  <c r="J405" i="91"/>
  <c r="J130" i="91"/>
  <c r="J121" i="91"/>
  <c r="J59" i="91"/>
  <c r="J60" i="91"/>
  <c r="J33" i="91"/>
  <c r="J106" i="91"/>
  <c r="J380" i="91"/>
  <c r="M26" i="1"/>
  <c r="J365" i="91"/>
  <c r="J266" i="91"/>
  <c r="J127" i="91"/>
  <c r="J241" i="91"/>
  <c r="J312" i="91"/>
  <c r="J476" i="91"/>
  <c r="J169" i="91"/>
  <c r="J466" i="91"/>
  <c r="J216" i="91"/>
  <c r="J123" i="91"/>
  <c r="J114" i="91"/>
  <c r="J424" i="91"/>
  <c r="J282" i="91"/>
  <c r="J143" i="91"/>
  <c r="J87" i="91"/>
  <c r="J183" i="91"/>
  <c r="J300" i="91"/>
  <c r="J142" i="91"/>
  <c r="J401" i="91"/>
  <c r="J194" i="91"/>
  <c r="J48" i="91"/>
  <c r="J54" i="91"/>
  <c r="J451" i="91"/>
  <c r="J150" i="91"/>
  <c r="J205" i="91"/>
  <c r="J307" i="91"/>
  <c r="J530" i="91"/>
  <c r="J113" i="91"/>
  <c r="J141" i="91"/>
  <c r="J145" i="91"/>
  <c r="J461" i="91"/>
  <c r="J147" i="91"/>
  <c r="J454" i="91"/>
  <c r="J37" i="91"/>
  <c r="J255" i="91"/>
  <c r="J14" i="91"/>
  <c r="J162" i="91"/>
  <c r="J536" i="91"/>
  <c r="J344" i="91"/>
  <c r="J16" i="91"/>
  <c r="J257" i="91"/>
  <c r="J144" i="91"/>
  <c r="J210" i="91"/>
  <c r="J259" i="91"/>
  <c r="L22" i="1"/>
  <c r="J34" i="91"/>
  <c r="J372" i="91"/>
  <c r="J338" i="91"/>
  <c r="J543" i="91"/>
  <c r="J193" i="91"/>
  <c r="J17" i="91"/>
  <c r="J303" i="91"/>
  <c r="J360" i="91"/>
  <c r="J110" i="91"/>
  <c r="J170" i="91"/>
  <c r="J234" i="91"/>
  <c r="J232" i="91"/>
  <c r="J113" i="84"/>
  <c r="J369" i="91"/>
  <c r="J299" i="91"/>
  <c r="J254" i="91"/>
  <c r="J497" i="91"/>
  <c r="J204" i="91"/>
  <c r="J290" i="91"/>
  <c r="J412" i="91"/>
  <c r="J285" i="91"/>
  <c r="J44" i="91"/>
  <c r="L14" i="1"/>
  <c r="J75" i="91"/>
  <c r="J376" i="91"/>
  <c r="J99" i="91"/>
  <c r="J399" i="91"/>
  <c r="J541" i="91"/>
  <c r="J253" i="91"/>
  <c r="J340" i="91"/>
  <c r="J181" i="91"/>
  <c r="J98" i="91"/>
  <c r="J13" i="91"/>
  <c r="L12" i="1"/>
  <c r="M25" i="1"/>
  <c r="J156" i="91"/>
  <c r="J468" i="91"/>
  <c r="J152" i="91"/>
  <c r="J417" i="91"/>
  <c r="J362" i="91"/>
  <c r="J158" i="91"/>
  <c r="J526" i="91"/>
  <c r="J464" i="91"/>
  <c r="J196" i="91"/>
  <c r="J433" i="91"/>
  <c r="J268" i="91"/>
  <c r="J20" i="91"/>
  <c r="J224" i="91"/>
  <c r="J9" i="91"/>
  <c r="J528" i="91"/>
  <c r="J323" i="91"/>
  <c r="J39" i="91"/>
  <c r="J229" i="91"/>
  <c r="J177" i="91"/>
  <c r="L18" i="1"/>
  <c r="J394" i="91"/>
  <c r="J168" i="91"/>
  <c r="J273" i="91"/>
  <c r="J272" i="91"/>
  <c r="J314" i="91"/>
  <c r="J188" i="91"/>
  <c r="J206" i="91"/>
  <c r="J547" i="91"/>
  <c r="J438" i="91"/>
  <c r="J327" i="91"/>
  <c r="J305" i="91"/>
  <c r="J61" i="91"/>
  <c r="J90" i="91"/>
  <c r="J284" i="91"/>
  <c r="J187" i="91"/>
  <c r="J339" i="91"/>
  <c r="J231" i="91"/>
  <c r="J58" i="84"/>
  <c r="M14" i="1"/>
  <c r="J408" i="91"/>
  <c r="J457" i="91"/>
  <c r="J261" i="91"/>
  <c r="J326" i="91"/>
  <c r="J50" i="91"/>
  <c r="J474" i="91"/>
  <c r="J79" i="91"/>
  <c r="J532" i="91"/>
  <c r="J488" i="91"/>
  <c r="J8" i="88"/>
  <c r="J112" i="91"/>
  <c r="J534" i="91"/>
  <c r="J490" i="91"/>
  <c r="J426" i="91"/>
  <c r="J296" i="91"/>
  <c r="J153" i="91"/>
  <c r="J364" i="91"/>
  <c r="J283" i="91"/>
  <c r="J54" i="84"/>
  <c r="L23" i="1"/>
  <c r="J73" i="91"/>
  <c r="J69" i="91"/>
  <c r="J465" i="91"/>
  <c r="J471" i="91"/>
  <c r="J279" i="91"/>
  <c r="J450" i="91"/>
  <c r="J402" i="91"/>
  <c r="J347" i="91"/>
  <c r="J247" i="91"/>
  <c r="J400" i="91"/>
  <c r="J93" i="91"/>
  <c r="J135" i="91"/>
  <c r="J77" i="91"/>
  <c r="J527" i="91"/>
  <c r="J64" i="91"/>
  <c r="J21" i="91"/>
  <c r="J518" i="91"/>
  <c r="J308" i="91"/>
  <c r="J63" i="91"/>
  <c r="L9" i="1"/>
  <c r="J7" i="76"/>
  <c r="J544" i="91"/>
  <c r="J28" i="91"/>
  <c r="J115" i="91"/>
  <c r="J294" i="91"/>
  <c r="J192" i="91"/>
  <c r="J248" i="91"/>
  <c r="J265" i="91"/>
  <c r="J287" i="91"/>
  <c r="M9" i="1"/>
  <c r="J230" i="91"/>
  <c r="J24" i="91"/>
  <c r="J15" i="91"/>
  <c r="J371" i="91"/>
  <c r="J286" i="91"/>
  <c r="J280" i="91"/>
  <c r="J494" i="91"/>
  <c r="J381" i="91"/>
  <c r="J58" i="91"/>
  <c r="M15" i="1"/>
  <c r="M11" i="1"/>
  <c r="J146" i="91"/>
  <c r="J481" i="91"/>
  <c r="J421" i="91"/>
  <c r="J298" i="91"/>
  <c r="J352" i="91"/>
  <c r="J367" i="91"/>
  <c r="J309" i="91"/>
  <c r="J378" i="91"/>
  <c r="J179" i="91"/>
  <c r="J136" i="91"/>
  <c r="J343" i="91"/>
  <c r="J104" i="91"/>
  <c r="J71" i="91"/>
  <c r="J202" i="91"/>
  <c r="J302" i="91"/>
  <c r="J315" i="91"/>
  <c r="J12" i="91"/>
  <c r="J105" i="84"/>
  <c r="J60" i="84"/>
  <c r="J345" i="91"/>
  <c r="J419" i="91"/>
  <c r="J95" i="91"/>
  <c r="J521" i="91"/>
  <c r="J218" i="91"/>
  <c r="L26" i="1"/>
  <c r="J35" i="91"/>
  <c r="J317" i="91"/>
  <c r="J267" i="91"/>
  <c r="J542" i="91"/>
  <c r="J334" i="91"/>
  <c r="J304" i="91"/>
  <c r="J200" i="91"/>
  <c r="J410" i="91"/>
  <c r="J462" i="91"/>
  <c r="J38" i="91"/>
  <c r="J43" i="91"/>
  <c r="J36" i="91"/>
  <c r="J306" i="91"/>
  <c r="J396" i="91"/>
  <c r="J385" i="91"/>
  <c r="J431" i="91"/>
  <c r="J128" i="91"/>
  <c r="J19" i="91"/>
  <c r="J514" i="91"/>
  <c r="J278" i="91"/>
  <c r="J252" i="91"/>
  <c r="L20" i="1"/>
  <c r="J7" i="88"/>
  <c r="J84" i="91"/>
  <c r="J434" i="91"/>
  <c r="J512" i="91"/>
  <c r="J292" i="91"/>
  <c r="J57" i="91"/>
  <c r="J392" i="91"/>
  <c r="J26" i="91"/>
  <c r="J336" i="91"/>
  <c r="J124" i="84"/>
  <c r="J506" i="91"/>
  <c r="J363" i="91"/>
  <c r="J30" i="91"/>
  <c r="J195" i="91"/>
  <c r="J523" i="91"/>
  <c r="J125" i="91"/>
  <c r="J502" i="91"/>
  <c r="J407" i="91"/>
  <c r="J386" i="91"/>
  <c r="M17" i="1"/>
  <c r="J101" i="84"/>
  <c r="J370" i="91"/>
  <c r="J186" i="91"/>
  <c r="J72" i="91"/>
  <c r="J88" i="91"/>
  <c r="J441" i="91"/>
  <c r="J375" i="91"/>
  <c r="J240" i="91"/>
  <c r="J535" i="91"/>
  <c r="J57" i="84"/>
  <c r="M23" i="1"/>
  <c r="J368" i="91"/>
  <c r="J519" i="91"/>
  <c r="J167" i="91"/>
  <c r="J262" i="91"/>
  <c r="J341" i="91"/>
  <c r="J509" i="91"/>
  <c r="J495" i="91"/>
  <c r="J489" i="91"/>
  <c r="M19" i="1"/>
  <c r="J40" i="91"/>
  <c r="J477" i="91"/>
  <c r="J463" i="91"/>
  <c r="J155" i="91"/>
  <c r="J165" i="91"/>
  <c r="J263" i="91"/>
  <c r="J6" i="91"/>
  <c r="J529" i="91"/>
  <c r="J508" i="91"/>
  <c r="J422" i="91"/>
  <c r="J62" i="91"/>
  <c r="J387" i="91"/>
  <c r="J439" i="91"/>
  <c r="J491" i="91"/>
  <c r="J436" i="91"/>
  <c r="J366" i="91"/>
  <c r="J8" i="91"/>
  <c r="J356" i="91"/>
  <c r="U10" i="1"/>
  <c r="J415" i="91"/>
  <c r="J171" i="91"/>
  <c r="J233" i="91"/>
  <c r="J409" i="91"/>
  <c r="J505" i="91"/>
  <c r="J324" i="91"/>
  <c r="J531" i="91"/>
  <c r="M24" i="1"/>
  <c r="J483" i="91"/>
  <c r="J203" i="91"/>
  <c r="J446" i="91"/>
  <c r="J319" i="91"/>
  <c r="J470" i="91"/>
  <c r="J97" i="91"/>
  <c r="J325" i="91"/>
  <c r="J264" i="91"/>
  <c r="J538" i="91"/>
  <c r="J29" i="91"/>
  <c r="J354" i="91"/>
  <c r="J291" i="91"/>
  <c r="J388" i="91"/>
  <c r="J333" i="91"/>
  <c r="J122" i="91"/>
  <c r="J185" i="91"/>
  <c r="J223" i="91"/>
  <c r="L11" i="1"/>
  <c r="J288" i="91"/>
  <c r="J201" i="91"/>
  <c r="J246" i="91"/>
  <c r="J239" i="91"/>
  <c r="J335" i="91"/>
  <c r="J111" i="91"/>
  <c r="J119" i="91"/>
  <c r="J427" i="91"/>
  <c r="U11" i="1"/>
  <c r="L25" i="1"/>
  <c r="J140" i="91"/>
  <c r="J389" i="91"/>
  <c r="J398" i="91"/>
  <c r="J221" i="91"/>
  <c r="J420" i="91"/>
  <c r="J258" i="91"/>
  <c r="J251" i="91"/>
  <c r="J174" i="91"/>
  <c r="M20" i="1"/>
  <c r="L16" i="1"/>
  <c r="J459" i="91"/>
  <c r="J349" i="91"/>
  <c r="J134" i="91"/>
  <c r="J342" i="91"/>
  <c r="J270" i="91"/>
  <c r="J138" i="91"/>
  <c r="J96" i="91"/>
  <c r="J159" i="91"/>
  <c r="J537" i="91"/>
  <c r="J128" i="84"/>
  <c r="J176" i="91"/>
  <c r="J151" i="91"/>
  <c r="J222" i="91"/>
  <c r="J384" i="91"/>
  <c r="J80" i="91"/>
  <c r="J425" i="91"/>
  <c r="J243" i="91"/>
  <c r="J452" i="91"/>
  <c r="M27" i="1"/>
  <c r="J329" i="91"/>
  <c r="J70" i="91"/>
  <c r="J126" i="91"/>
  <c r="J423" i="91"/>
  <c r="J507" i="91"/>
  <c r="J351" i="91"/>
  <c r="J102" i="91"/>
  <c r="J377" i="91"/>
  <c r="J295" i="91"/>
  <c r="J219" i="91"/>
  <c r="J208" i="91"/>
  <c r="J493" i="91"/>
  <c r="J5" i="91"/>
  <c r="J440" i="91"/>
  <c r="J484" i="91"/>
  <c r="J209" i="91"/>
  <c r="J191" i="91"/>
  <c r="J511" i="91"/>
  <c r="J59" i="84"/>
  <c r="J301" i="91"/>
  <c r="J469" i="91"/>
  <c r="J331" i="91"/>
  <c r="J504" i="91"/>
  <c r="B2" i="81"/>
  <c r="J487" i="91"/>
  <c r="L24" i="1"/>
  <c r="J274" i="91"/>
  <c r="J442" i="91"/>
  <c r="J517" i="91"/>
  <c r="J107" i="91"/>
  <c r="J7" i="91"/>
  <c r="L17" i="1"/>
  <c r="J277" i="91"/>
  <c r="J49" i="91"/>
  <c r="J32" i="91"/>
  <c r="J10" i="91"/>
  <c r="C67" i="74" l="1"/>
  <c r="C74" i="74"/>
  <c r="C66" i="74"/>
  <c r="C75" i="74"/>
  <c r="C61" i="74"/>
  <c r="C70" i="74"/>
  <c r="C76" i="74"/>
  <c r="C59" i="74"/>
  <c r="C73" i="74"/>
  <c r="C68" i="74"/>
  <c r="C62" i="74"/>
  <c r="C64" i="74"/>
  <c r="C72" i="74"/>
  <c r="C77" i="74"/>
  <c r="C63" i="74"/>
  <c r="C60" i="74"/>
  <c r="C69" i="74"/>
  <c r="C71" i="74"/>
  <c r="C65" i="74"/>
  <c r="C1191" i="76"/>
  <c r="C29" i="88"/>
  <c r="C781" i="76"/>
  <c r="C863" i="76"/>
  <c r="C1027" i="76"/>
  <c r="C121" i="76"/>
  <c r="C64" i="76"/>
  <c r="C69" i="76"/>
  <c r="C740" i="76"/>
  <c r="C1150" i="76"/>
  <c r="C31" i="76"/>
  <c r="C107" i="76"/>
  <c r="C26" i="76"/>
  <c r="C1232" i="76"/>
  <c r="C945" i="76"/>
  <c r="C1068" i="76"/>
  <c r="C904" i="76"/>
  <c r="C1273" i="76"/>
  <c r="C822" i="76"/>
  <c r="C32" i="88"/>
  <c r="C1109" i="76"/>
  <c r="C986" i="76"/>
  <c r="C1314" i="76"/>
  <c r="C699" i="76"/>
  <c r="I124" i="84"/>
  <c r="O9" i="82"/>
  <c r="M9" i="82"/>
  <c r="I60" i="84"/>
  <c r="J61" i="84"/>
  <c r="Q22" i="1"/>
  <c r="P22" i="1"/>
  <c r="O22" i="1"/>
  <c r="N22" i="1"/>
  <c r="O27" i="1"/>
  <c r="N27" i="1"/>
  <c r="P27" i="1"/>
  <c r="Q27" i="1"/>
  <c r="V9" i="82"/>
  <c r="K9" i="82"/>
  <c r="F9" i="1"/>
  <c r="D37" i="1" s="1"/>
  <c r="I55" i="84"/>
  <c r="R9" i="82"/>
  <c r="Q12" i="1"/>
  <c r="O12" i="1"/>
  <c r="N12" i="1"/>
  <c r="P12" i="1"/>
  <c r="Q21" i="1"/>
  <c r="P21" i="1"/>
  <c r="N21" i="1"/>
  <c r="O21" i="1"/>
  <c r="U9" i="82"/>
  <c r="P10" i="1"/>
  <c r="Q10" i="1"/>
  <c r="N10" i="1"/>
  <c r="O10" i="1"/>
  <c r="Z9" i="82"/>
  <c r="L9" i="82"/>
  <c r="Q14" i="1"/>
  <c r="N14" i="1"/>
  <c r="O14" i="1"/>
  <c r="P14" i="1"/>
  <c r="O17" i="1"/>
  <c r="Q17" i="1"/>
  <c r="N17" i="1"/>
  <c r="P17" i="1"/>
  <c r="I57" i="84"/>
  <c r="T9" i="82"/>
  <c r="O18" i="1"/>
  <c r="P18" i="1"/>
  <c r="N18" i="1"/>
  <c r="Q18" i="1"/>
  <c r="Q24" i="1"/>
  <c r="N24" i="1"/>
  <c r="O24" i="1"/>
  <c r="P24" i="1"/>
  <c r="N9" i="82"/>
  <c r="N19" i="1"/>
  <c r="Q19" i="1"/>
  <c r="P19" i="1"/>
  <c r="O19" i="1"/>
  <c r="I54" i="84"/>
  <c r="E9" i="1"/>
  <c r="C44" i="1" s="1"/>
  <c r="N13" i="1"/>
  <c r="O13" i="1"/>
  <c r="P13" i="1"/>
  <c r="Q13" i="1"/>
  <c r="P9" i="82"/>
  <c r="Q11" i="1"/>
  <c r="N11" i="1"/>
  <c r="O11" i="1"/>
  <c r="P11" i="1"/>
  <c r="Q9" i="1"/>
  <c r="P9" i="1"/>
  <c r="N9" i="1"/>
  <c r="O9" i="1"/>
  <c r="O25" i="1"/>
  <c r="Q25" i="1"/>
  <c r="P25" i="1"/>
  <c r="N25" i="1"/>
  <c r="Q9" i="82"/>
  <c r="Q16" i="1"/>
  <c r="O16" i="1"/>
  <c r="N16" i="1"/>
  <c r="P16" i="1"/>
  <c r="J9" i="82"/>
  <c r="N26" i="1"/>
  <c r="Q26" i="1"/>
  <c r="O26" i="1"/>
  <c r="P26" i="1"/>
  <c r="I56" i="84"/>
  <c r="W9" i="82"/>
  <c r="S9" i="82"/>
  <c r="I58" i="84"/>
  <c r="H9" i="82"/>
  <c r="X9" i="82"/>
  <c r="I101" i="84"/>
  <c r="Q20" i="1"/>
  <c r="P20" i="1"/>
  <c r="N20" i="1"/>
  <c r="O20" i="1"/>
  <c r="P15" i="1"/>
  <c r="Q15" i="1"/>
  <c r="O15" i="1"/>
  <c r="N15" i="1"/>
  <c r="I59" i="84"/>
  <c r="I9" i="82"/>
  <c r="Y9" i="82"/>
  <c r="I105" i="84"/>
  <c r="I113" i="84"/>
  <c r="I128" i="84"/>
  <c r="I117" i="84"/>
  <c r="P23" i="1"/>
  <c r="N23" i="1"/>
  <c r="O23" i="1"/>
  <c r="Q23" i="1"/>
  <c r="I107" i="84"/>
  <c r="C33" i="1"/>
  <c r="C24" i="1"/>
  <c r="C34" i="1"/>
  <c r="I119" i="84"/>
  <c r="Z28" i="82"/>
  <c r="U23" i="82"/>
  <c r="C53" i="81"/>
  <c r="H7" i="94"/>
  <c r="M7" i="94"/>
  <c r="S7" i="94"/>
  <c r="B7" i="93"/>
  <c r="B20" i="93"/>
  <c r="B8" i="93"/>
  <c r="B2" i="94"/>
  <c r="X26" i="82"/>
  <c r="W25" i="82"/>
  <c r="P18" i="82"/>
  <c r="N16" i="82"/>
  <c r="B11" i="93"/>
  <c r="B17" i="93"/>
  <c r="B18" i="93"/>
  <c r="C61" i="81"/>
  <c r="B15" i="93"/>
  <c r="C58" i="81"/>
  <c r="C55" i="81"/>
  <c r="B5" i="93"/>
  <c r="R20" i="82"/>
  <c r="Q19" i="82"/>
  <c r="Y27" i="82"/>
  <c r="N7" i="94"/>
  <c r="O7" i="94"/>
  <c r="B14" i="93"/>
  <c r="C54" i="81"/>
  <c r="B9" i="93"/>
  <c r="C63" i="81"/>
  <c r="G7" i="94"/>
  <c r="I7" i="94"/>
  <c r="J12" i="82"/>
  <c r="K13" i="82"/>
  <c r="S21" i="82"/>
  <c r="B16" i="93"/>
  <c r="C57" i="81"/>
  <c r="R7" i="94"/>
  <c r="L7" i="94"/>
  <c r="C64" i="81"/>
  <c r="Q7" i="94"/>
  <c r="B4" i="82"/>
  <c r="M15" i="82"/>
  <c r="L14" i="82"/>
  <c r="B12" i="93"/>
  <c r="V7" i="94"/>
  <c r="C60" i="81"/>
  <c r="K7" i="94"/>
  <c r="C59" i="81"/>
  <c r="B6" i="93"/>
  <c r="U7" i="94"/>
  <c r="I11" i="82"/>
  <c r="D4" i="83"/>
  <c r="V24" i="82"/>
  <c r="B13" i="93"/>
  <c r="B4" i="93"/>
  <c r="C49" i="81"/>
  <c r="B19" i="93"/>
  <c r="C62" i="81"/>
  <c r="T7" i="94"/>
  <c r="B10" i="93"/>
  <c r="O17" i="82"/>
  <c r="T22" i="82"/>
  <c r="P7" i="94"/>
  <c r="C50" i="81"/>
  <c r="C56" i="81"/>
  <c r="C65" i="81"/>
  <c r="J7" i="94"/>
  <c r="F7" i="94"/>
  <c r="H10" i="82"/>
  <c r="C52" i="81"/>
  <c r="C51" i="81"/>
  <c r="J67" i="74"/>
  <c r="J73" i="74"/>
  <c r="J69" i="74"/>
  <c r="J29" i="88"/>
  <c r="R8" i="94"/>
  <c r="J32" i="88"/>
  <c r="J699" i="76"/>
  <c r="D17" i="93"/>
  <c r="C24" i="82"/>
  <c r="J1068" i="76"/>
  <c r="D13" i="93"/>
  <c r="Q8" i="94"/>
  <c r="V8" i="94"/>
  <c r="J1109" i="76"/>
  <c r="C28" i="82"/>
  <c r="D65" i="81"/>
  <c r="C23" i="82"/>
  <c r="J74" i="74"/>
  <c r="J68" i="74"/>
  <c r="J71" i="74"/>
  <c r="J8" i="94"/>
  <c r="F8" i="94"/>
  <c r="P8" i="94"/>
  <c r="J986" i="76"/>
  <c r="D7" i="93"/>
  <c r="C17" i="82"/>
  <c r="J26" i="76"/>
  <c r="J781" i="76"/>
  <c r="U8" i="94"/>
  <c r="G8" i="94"/>
  <c r="D51" i="81"/>
  <c r="D64" i="81"/>
  <c r="D54" i="81"/>
  <c r="F13" i="82"/>
  <c r="J66" i="74"/>
  <c r="J62" i="74"/>
  <c r="J65" i="74"/>
  <c r="J69" i="76"/>
  <c r="C15" i="82"/>
  <c r="J1027" i="76"/>
  <c r="C16" i="82"/>
  <c r="D56" i="81"/>
  <c r="D14" i="93"/>
  <c r="L40" i="80"/>
  <c r="J863" i="76"/>
  <c r="O8" i="94"/>
  <c r="K8" i="94"/>
  <c r="H8" i="94"/>
  <c r="D55" i="81"/>
  <c r="J75" i="74"/>
  <c r="J64" i="74"/>
  <c r="C19" i="82"/>
  <c r="D58" i="81"/>
  <c r="D19" i="93"/>
  <c r="D11" i="93"/>
  <c r="D9" i="93"/>
  <c r="M8" i="94"/>
  <c r="D60" i="81"/>
  <c r="D12" i="93"/>
  <c r="D5" i="93"/>
  <c r="D50" i="81"/>
  <c r="D6" i="93"/>
  <c r="D18" i="93"/>
  <c r="J121" i="76"/>
  <c r="C12" i="82"/>
  <c r="C27" i="82"/>
  <c r="J61" i="74"/>
  <c r="J72" i="74"/>
  <c r="J945" i="76"/>
  <c r="C20" i="82"/>
  <c r="C22" i="82"/>
  <c r="L8" i="94"/>
  <c r="K40" i="80"/>
  <c r="D20" i="93"/>
  <c r="D16" i="93"/>
  <c r="C26" i="82"/>
  <c r="J1232" i="76"/>
  <c r="J107" i="76"/>
  <c r="J70" i="74"/>
  <c r="J77" i="74"/>
  <c r="J822" i="76"/>
  <c r="D10" i="93"/>
  <c r="D53" i="81"/>
  <c r="C18" i="82"/>
  <c r="N8" i="94"/>
  <c r="C25" i="82"/>
  <c r="D61" i="81"/>
  <c r="C14" i="82"/>
  <c r="D52" i="81"/>
  <c r="D8" i="93"/>
  <c r="J904" i="76"/>
  <c r="D62" i="81"/>
  <c r="D49" i="81"/>
  <c r="J64" i="76"/>
  <c r="D57" i="81"/>
  <c r="J76" i="74"/>
  <c r="J63" i="74"/>
  <c r="D59" i="81"/>
  <c r="S8" i="94"/>
  <c r="C21" i="82"/>
  <c r="J740" i="76"/>
  <c r="C13" i="82"/>
  <c r="J1150" i="76"/>
  <c r="C10" i="82"/>
  <c r="D15" i="93"/>
  <c r="J1314" i="76"/>
  <c r="J1273" i="76"/>
  <c r="D63" i="81"/>
  <c r="J59" i="74"/>
  <c r="J60" i="74"/>
  <c r="J1191" i="76"/>
  <c r="D4" i="93"/>
  <c r="I8" i="94"/>
  <c r="C11" i="82"/>
  <c r="J31" i="76"/>
  <c r="T8" i="94"/>
  <c r="D19" i="82"/>
  <c r="D25" i="82"/>
  <c r="D26" i="82"/>
  <c r="D27" i="82"/>
  <c r="D18" i="82"/>
  <c r="D13" i="82"/>
  <c r="E27" i="82"/>
  <c r="E21" i="82"/>
  <c r="D16" i="82"/>
  <c r="D20" i="82"/>
  <c r="E24" i="82"/>
  <c r="E17" i="82"/>
  <c r="E16" i="82"/>
  <c r="D21" i="82"/>
  <c r="D15" i="82"/>
  <c r="E26" i="82"/>
  <c r="D11" i="82"/>
  <c r="E23" i="82"/>
  <c r="E15" i="82"/>
  <c r="D12" i="82"/>
  <c r="D24" i="82"/>
  <c r="D22" i="82"/>
  <c r="E13" i="82"/>
  <c r="D28" i="82"/>
  <c r="E22" i="82"/>
  <c r="E25" i="82"/>
  <c r="E19" i="82"/>
  <c r="E12" i="82"/>
  <c r="E18" i="82"/>
  <c r="E14" i="82"/>
  <c r="E28" i="82"/>
  <c r="E10" i="82"/>
  <c r="D17" i="82"/>
  <c r="E11" i="82"/>
  <c r="D14" i="82"/>
  <c r="D10" i="82"/>
  <c r="D23" i="82"/>
  <c r="E20" i="82"/>
  <c r="E63" i="81" l="1"/>
  <c r="F63" i="81"/>
  <c r="E64" i="81"/>
  <c r="F64" i="81"/>
  <c r="F65" i="81"/>
  <c r="E65" i="81"/>
  <c r="F49" i="81"/>
  <c r="E49" i="81"/>
  <c r="E51" i="81"/>
  <c r="F51" i="81"/>
  <c r="E62" i="81"/>
  <c r="F62" i="81"/>
  <c r="E57" i="81"/>
  <c r="F57" i="81"/>
  <c r="F50" i="81"/>
  <c r="G50" i="81" s="1"/>
  <c r="E50" i="81"/>
  <c r="E52" i="81"/>
  <c r="F52" i="81"/>
  <c r="E61" i="81"/>
  <c r="F61" i="81"/>
  <c r="L36" i="80"/>
  <c r="L41" i="80"/>
  <c r="L33" i="80"/>
  <c r="E60" i="81"/>
  <c r="F60" i="81"/>
  <c r="E56" i="81"/>
  <c r="F56" i="81"/>
  <c r="F53" i="81"/>
  <c r="E53" i="81"/>
  <c r="F58" i="81"/>
  <c r="E58" i="81"/>
  <c r="G58" i="81" s="1"/>
  <c r="E59" i="81"/>
  <c r="F59" i="81"/>
  <c r="C31" i="88"/>
  <c r="C28" i="88"/>
  <c r="G51" i="81"/>
  <c r="I6" i="93"/>
  <c r="H6" i="93"/>
  <c r="I18" i="93"/>
  <c r="H18" i="93"/>
  <c r="H11" i="93"/>
  <c r="I11" i="93"/>
  <c r="H16" i="93"/>
  <c r="I16" i="93"/>
  <c r="I13" i="93"/>
  <c r="H13" i="93"/>
  <c r="I7" i="93"/>
  <c r="H7" i="93"/>
  <c r="I10" i="93"/>
  <c r="H10" i="93"/>
  <c r="I15" i="93"/>
  <c r="H15" i="93"/>
  <c r="I19" i="93"/>
  <c r="H19" i="93"/>
  <c r="H8" i="93"/>
  <c r="I8" i="93"/>
  <c r="H4" i="93"/>
  <c r="I4" i="93"/>
  <c r="I12" i="93"/>
  <c r="H12" i="93"/>
  <c r="I14" i="93"/>
  <c r="H14" i="93"/>
  <c r="I5" i="93"/>
  <c r="H5" i="93"/>
  <c r="G62" i="81"/>
  <c r="D45" i="1"/>
  <c r="D18" i="1"/>
  <c r="D12" i="1"/>
  <c r="C26" i="1"/>
  <c r="C27" i="1"/>
  <c r="C38" i="1"/>
  <c r="G63" i="81"/>
  <c r="C37" i="1"/>
  <c r="C31" i="1"/>
  <c r="C35" i="1"/>
  <c r="C42" i="1"/>
  <c r="C39" i="1"/>
  <c r="C41" i="1"/>
  <c r="G64" i="81"/>
  <c r="C43" i="1"/>
  <c r="C45" i="1"/>
  <c r="C13" i="1"/>
  <c r="C28" i="1"/>
  <c r="C11" i="1"/>
  <c r="C15" i="1"/>
  <c r="C10" i="1"/>
  <c r="C17" i="1"/>
  <c r="C32" i="1"/>
  <c r="C14" i="1"/>
  <c r="C19" i="1"/>
  <c r="C12" i="1"/>
  <c r="C21" i="1"/>
  <c r="C36" i="1"/>
  <c r="C18" i="1"/>
  <c r="C23" i="1"/>
  <c r="C16" i="1"/>
  <c r="C25" i="1"/>
  <c r="C40" i="1"/>
  <c r="I61" i="84"/>
  <c r="C22" i="1"/>
  <c r="C29" i="1"/>
  <c r="C20" i="1"/>
  <c r="C30" i="1"/>
  <c r="F54" i="81"/>
  <c r="E54" i="81"/>
  <c r="G10" i="82"/>
  <c r="H20" i="93"/>
  <c r="I20" i="93"/>
  <c r="I17" i="93"/>
  <c r="H17" i="93"/>
  <c r="G13" i="82"/>
  <c r="K41" i="80"/>
  <c r="K36" i="80"/>
  <c r="K33" i="80"/>
  <c r="G14" i="82"/>
  <c r="H9" i="93"/>
  <c r="I9" i="93"/>
  <c r="F55" i="81"/>
  <c r="E55" i="81"/>
  <c r="D20" i="1"/>
  <c r="D36" i="1"/>
  <c r="D29" i="1"/>
  <c r="D38" i="1"/>
  <c r="D13" i="1"/>
  <c r="D21" i="1"/>
  <c r="D30" i="1"/>
  <c r="D42" i="1"/>
  <c r="D14" i="1"/>
  <c r="D33" i="1"/>
  <c r="D32" i="1"/>
  <c r="D25" i="1"/>
  <c r="D17" i="1"/>
  <c r="D28" i="1"/>
  <c r="D39" i="1"/>
  <c r="D15" i="1"/>
  <c r="D19" i="1"/>
  <c r="D31" i="1"/>
  <c r="D43" i="1"/>
  <c r="D23" i="1"/>
  <c r="D34" i="1"/>
  <c r="G59" i="81"/>
  <c r="D44" i="1"/>
  <c r="D22" i="1"/>
  <c r="D16" i="1"/>
  <c r="D11" i="1"/>
  <c r="D40" i="1"/>
  <c r="D10" i="1"/>
  <c r="D26" i="1"/>
  <c r="D41" i="1"/>
  <c r="D24" i="1"/>
  <c r="D35" i="1"/>
  <c r="D27" i="1"/>
  <c r="L38" i="80"/>
  <c r="G57" i="81"/>
  <c r="G52" i="81"/>
  <c r="G61" i="81"/>
  <c r="G49" i="81"/>
  <c r="G60" i="81"/>
  <c r="G53" i="81"/>
  <c r="G56" i="81"/>
  <c r="G65" i="81"/>
  <c r="G17" i="82"/>
  <c r="G19" i="82"/>
  <c r="G24" i="82"/>
  <c r="G21" i="82"/>
  <c r="G26" i="82"/>
  <c r="G15" i="82"/>
  <c r="G23" i="82"/>
  <c r="G16" i="82"/>
  <c r="G11" i="82"/>
  <c r="G27" i="82"/>
  <c r="G18" i="82"/>
  <c r="G20" i="82"/>
  <c r="G25" i="82"/>
  <c r="G22" i="82"/>
  <c r="J31" i="88"/>
  <c r="L30" i="80"/>
  <c r="J28" i="88"/>
  <c r="K45" i="80"/>
  <c r="G12" i="82"/>
  <c r="K30" i="80"/>
  <c r="G28" i="82"/>
  <c r="L45" i="80"/>
  <c r="J14" i="93" l="1"/>
  <c r="K14" i="93" s="1"/>
  <c r="J19" i="93"/>
  <c r="K19" i="93" s="1"/>
  <c r="J13" i="93"/>
  <c r="K13" i="93" s="1"/>
  <c r="J6" i="93"/>
  <c r="K6" i="93" s="1"/>
  <c r="J10" i="93"/>
  <c r="K10" i="93" s="1"/>
  <c r="J5" i="93"/>
  <c r="K5" i="93" s="1"/>
  <c r="J8" i="93"/>
  <c r="K8" i="93" s="1"/>
  <c r="J7" i="93"/>
  <c r="K7" i="93" s="1"/>
  <c r="J18" i="93"/>
  <c r="K18" i="93" s="1"/>
  <c r="J17" i="93"/>
  <c r="K17" i="93" s="1"/>
  <c r="J12" i="93"/>
  <c r="K12" i="93" s="1"/>
  <c r="J15" i="93"/>
  <c r="K15" i="93" s="1"/>
  <c r="J16" i="93"/>
  <c r="K16" i="93" s="1"/>
  <c r="G54" i="81"/>
  <c r="J4" i="93"/>
  <c r="K4" i="93" s="1"/>
  <c r="J11" i="93"/>
  <c r="K11" i="93" s="1"/>
  <c r="J9" i="93"/>
  <c r="K9" i="93" s="1"/>
  <c r="L32" i="80"/>
  <c r="L31" i="80"/>
  <c r="L34" i="80"/>
  <c r="K32" i="80"/>
  <c r="K34" i="80"/>
  <c r="K31" i="80"/>
  <c r="J20" i="93"/>
  <c r="K20" i="93" s="1"/>
  <c r="G55" i="81"/>
  <c r="L52" i="80"/>
  <c r="K13" i="80"/>
  <c r="K35" i="80" s="1"/>
  <c r="H51" i="81"/>
  <c r="H50" i="81"/>
  <c r="H63" i="81"/>
  <c r="H53" i="81"/>
  <c r="H57" i="81"/>
  <c r="H56" i="81"/>
  <c r="H65" i="81"/>
  <c r="H61" i="81"/>
  <c r="H54" i="81"/>
  <c r="H55" i="81"/>
  <c r="H59" i="81"/>
  <c r="H52" i="81"/>
  <c r="H49" i="81"/>
  <c r="H64" i="81"/>
  <c r="H62" i="81"/>
  <c r="H58" i="81"/>
  <c r="H60" i="81"/>
  <c r="I52" i="81" l="1"/>
  <c r="J52" i="81" s="1"/>
  <c r="I53" i="81"/>
  <c r="I50" i="81"/>
  <c r="I61" i="81"/>
  <c r="I60" i="81"/>
  <c r="J60" i="81" s="1"/>
  <c r="I51" i="81"/>
  <c r="I57" i="81"/>
  <c r="I58" i="81"/>
  <c r="I62" i="81"/>
  <c r="I64" i="81"/>
  <c r="I63" i="81"/>
  <c r="I59" i="81"/>
  <c r="J59" i="81" s="1"/>
  <c r="I55" i="81"/>
  <c r="J55" i="81" s="1"/>
  <c r="I54" i="81"/>
  <c r="J54" i="81" s="1"/>
  <c r="I56" i="81"/>
  <c r="I49" i="81"/>
  <c r="I65" i="81"/>
  <c r="K52" i="80"/>
  <c r="K53" i="80" s="1"/>
  <c r="K38" i="80"/>
  <c r="L53" i="80"/>
  <c r="K26" i="80"/>
  <c r="K47" i="80" s="1"/>
  <c r="V21" i="94"/>
  <c r="N21" i="94"/>
  <c r="F25" i="82"/>
  <c r="G21" i="94"/>
  <c r="I21" i="94"/>
  <c r="F23" i="82"/>
  <c r="F16" i="82"/>
  <c r="F14" i="82"/>
  <c r="F10" i="82"/>
  <c r="F22" i="82"/>
  <c r="T21" i="94"/>
  <c r="F26" i="82"/>
  <c r="F28" i="82"/>
  <c r="F20" i="82"/>
  <c r="M21" i="94"/>
  <c r="F12" i="82"/>
  <c r="J21" i="94"/>
  <c r="F11" i="82"/>
  <c r="H21" i="94"/>
  <c r="P21" i="94"/>
  <c r="F19" i="82"/>
  <c r="L21" i="94"/>
  <c r="F15" i="82"/>
  <c r="U21" i="94"/>
  <c r="F21" i="82"/>
  <c r="F21" i="94"/>
  <c r="Q21" i="94"/>
  <c r="O21" i="94"/>
  <c r="F18" i="82"/>
  <c r="F24" i="82"/>
  <c r="F17" i="82"/>
  <c r="S21" i="94"/>
  <c r="R21" i="94"/>
  <c r="K21" i="94"/>
  <c r="F27" i="82"/>
  <c r="L46" i="80" s="1"/>
  <c r="C858" i="76" l="1"/>
  <c r="C1227" i="76"/>
  <c r="C1104" i="76"/>
  <c r="C1145" i="76"/>
  <c r="C1309" i="76"/>
  <c r="C776" i="76"/>
  <c r="C1186" i="76"/>
  <c r="C817" i="76"/>
  <c r="C1022" i="76"/>
  <c r="C981" i="76"/>
  <c r="C735" i="76"/>
  <c r="C1063" i="76"/>
  <c r="C1268" i="76"/>
  <c r="C899" i="76"/>
  <c r="C940" i="76"/>
  <c r="C1350" i="76"/>
  <c r="J51" i="81"/>
  <c r="J63" i="81"/>
  <c r="J53" i="81"/>
  <c r="J62" i="81"/>
  <c r="J58" i="81"/>
  <c r="J64" i="81"/>
  <c r="J57" i="81"/>
  <c r="J61" i="81"/>
  <c r="J50" i="81"/>
  <c r="J56" i="81"/>
  <c r="J49" i="81"/>
  <c r="L48" i="80"/>
  <c r="L49" i="80" s="1"/>
  <c r="L54" i="80"/>
  <c r="L55" i="80" s="1"/>
  <c r="L58" i="80" s="1"/>
  <c r="L60" i="80" s="1"/>
  <c r="C133" i="76" s="1"/>
  <c r="J65" i="81"/>
  <c r="K46" i="80"/>
  <c r="J1186" i="76"/>
  <c r="J981" i="76"/>
  <c r="J1104" i="76"/>
  <c r="J735" i="76"/>
  <c r="J1145" i="76"/>
  <c r="J940" i="76"/>
  <c r="J899" i="76"/>
  <c r="J1227" i="76"/>
  <c r="J1063" i="76"/>
  <c r="J817" i="76"/>
  <c r="J1309" i="76"/>
  <c r="J1350" i="76"/>
  <c r="J1022" i="76"/>
  <c r="J133" i="76"/>
  <c r="J1268" i="76"/>
  <c r="J776" i="76"/>
  <c r="J858" i="76"/>
  <c r="K54" i="80" l="1"/>
  <c r="K55" i="80" s="1"/>
  <c r="K58" i="80" s="1"/>
  <c r="K60" i="80" s="1"/>
  <c r="C119" i="76" s="1"/>
  <c r="K48" i="80"/>
  <c r="K49" i="80" s="1"/>
  <c r="C734" i="76"/>
  <c r="C1103" i="76"/>
  <c r="C980" i="76"/>
  <c r="C1226" i="76"/>
  <c r="C1021" i="76"/>
  <c r="C857" i="76"/>
  <c r="C118" i="76"/>
  <c r="C1349" i="76"/>
  <c r="C816" i="76"/>
  <c r="C939" i="76"/>
  <c r="C1185" i="76"/>
  <c r="C132" i="76"/>
  <c r="C898" i="76"/>
  <c r="C775" i="76"/>
  <c r="C1267" i="76"/>
  <c r="C1308" i="76"/>
  <c r="C1062" i="76"/>
  <c r="C1144" i="76"/>
  <c r="L59" i="80"/>
  <c r="K59" i="80"/>
  <c r="J119" i="76"/>
  <c r="J1021" i="76"/>
  <c r="J898" i="76"/>
  <c r="J734" i="76"/>
  <c r="J816" i="76"/>
  <c r="J118" i="76"/>
  <c r="J1267" i="76"/>
  <c r="J939" i="76"/>
  <c r="J1226" i="76"/>
  <c r="J1144" i="76"/>
  <c r="J857" i="76"/>
  <c r="J1349" i="76"/>
  <c r="J1308" i="76"/>
  <c r="J775" i="76"/>
  <c r="J1062" i="76"/>
  <c r="J1185" i="76"/>
  <c r="J1103" i="76"/>
  <c r="J132" i="76"/>
  <c r="J980" i="7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Gregory Haskins</author>
  </authors>
  <commentList>
    <comment ref="C8" authorId="0" shapeId="0" xr:uid="{00000000-0006-0000-0400-000001000000}">
      <text>
        <r>
          <rPr>
            <sz val="8"/>
            <color indexed="81"/>
            <rFont val="Tahoma"/>
            <family val="2"/>
          </rPr>
          <t>These are the coordinates for any/all parcel vertices. Parcels are defined by connecting these together in a particular order.</t>
        </r>
      </text>
    </comment>
    <comment ref="E8" authorId="0" shapeId="0" xr:uid="{00000000-0006-0000-0400-000002000000}">
      <text>
        <r>
          <rPr>
            <sz val="8"/>
            <color indexed="81"/>
            <rFont val="Tahoma"/>
            <family val="2"/>
          </rPr>
          <t>Amount to shift the base coordinates by (East, and North). These are added to each point's coordinates. Enter 0,0 to leave base coordinates unchanged.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Gregory Haskins</author>
  </authors>
  <commentList>
    <comment ref="D9" authorId="0" shapeId="0" xr:uid="{00000000-0006-0000-0900-000001000000}">
      <text>
        <r>
          <rPr>
            <sz val="8"/>
            <color indexed="81"/>
            <rFont val="Tahoma"/>
            <family val="2"/>
          </rPr>
          <t>Runoff area accounts for the termination of all water flow (after all time steps).</t>
        </r>
      </text>
    </comment>
    <comment ref="E9" authorId="0" shapeId="0" xr:uid="{00000000-0006-0000-0900-000002000000}">
      <text>
        <r>
          <rPr>
            <sz val="8"/>
            <color indexed="81"/>
            <rFont val="Tahoma"/>
            <family val="2"/>
          </rPr>
          <t>Erosion area accounts for only the fraction of mass transferred in a single time step (and no further).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Gregory Haskins</author>
  </authors>
  <commentList>
    <comment ref="D8" authorId="0" shapeId="0" xr:uid="{00000000-0006-0000-0B00-000001000000}">
      <text>
        <r>
          <rPr>
            <sz val="8"/>
            <color indexed="81"/>
            <rFont val="Tahoma"/>
            <family val="2"/>
          </rPr>
          <t>These names must match compartments in the TRIM.FaTE library.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Gregory Haskins</author>
  </authors>
  <commentList>
    <comment ref="B3" authorId="0" shapeId="0" xr:uid="{00000000-0006-0000-1100-000001000000}">
      <text>
        <r>
          <rPr>
            <b/>
            <sz val="8"/>
            <color indexed="81"/>
            <rFont val="Tahoma"/>
            <family val="2"/>
          </rPr>
          <t>Gregory Haskins:</t>
        </r>
        <r>
          <rPr>
            <sz val="8"/>
            <color indexed="81"/>
            <rFont val="Tahoma"/>
            <family val="2"/>
          </rPr>
          <t xml:space="preserve">
These columns can be hidden.</t>
        </r>
      </text>
    </comment>
    <comment ref="B6" authorId="0" shapeId="0" xr:uid="{00000000-0006-0000-1100-000002000000}">
      <text>
        <r>
          <rPr>
            <b/>
            <sz val="8"/>
            <color indexed="81"/>
            <rFont val="Tahoma"/>
            <family val="2"/>
          </rPr>
          <t>Gregory Haskins:</t>
        </r>
        <r>
          <rPr>
            <sz val="8"/>
            <color indexed="81"/>
            <rFont val="Tahoma"/>
            <family val="2"/>
          </rPr>
          <t xml:space="preserve">
Hard-coded.</t>
        </r>
      </text>
    </comment>
  </commentList>
</comments>
</file>

<file path=xl/sharedStrings.xml><?xml version="1.0" encoding="utf-8"?>
<sst xmlns="http://schemas.openxmlformats.org/spreadsheetml/2006/main" count="4043" uniqueCount="926">
  <si>
    <t>Property: WaterTemperature_K</t>
  </si>
  <si>
    <r>
      <t xml:space="preserve">a </t>
    </r>
    <r>
      <rPr>
        <sz val="8"/>
        <rFont val="Arial"/>
        <family val="2"/>
      </rPr>
      <t>Output time step is set in TRIM.FaTE using the scenario properties "simulationStepsPerOutputStep" and "simulationTimeStep."</t>
    </r>
  </si>
  <si>
    <t>Value:</t>
  </si>
  <si>
    <t>Property: Flushes_per_year</t>
  </si>
  <si>
    <t>Property: rho</t>
  </si>
  <si>
    <t>Property: SedimentResuspensionVelocity</t>
  </si>
  <si>
    <t>annual</t>
  </si>
  <si>
    <t>File Name:</t>
  </si>
  <si>
    <t>File Directory</t>
  </si>
  <si>
    <t>Fraction of pores in sediment compartment</t>
  </si>
  <si>
    <t>Sediment particle density</t>
  </si>
  <si>
    <t>Concentration of sediment particles in water compartment</t>
  </si>
  <si>
    <t>Concentration of sediment particles in sediment compartment</t>
  </si>
  <si>
    <t>Main</t>
  </si>
  <si>
    <t>m</t>
  </si>
  <si>
    <t># points</t>
  </si>
  <si>
    <t>Source</t>
  </si>
  <si>
    <t>Location</t>
  </si>
  <si>
    <t>hectares</t>
  </si>
  <si>
    <t>acres</t>
  </si>
  <si>
    <t>Lake</t>
  </si>
  <si>
    <t>Calculated</t>
  </si>
  <si>
    <t>R (100 ft-ton/ac)</t>
  </si>
  <si>
    <t>K (ton/ac/(100 ft-ton/acre))</t>
  </si>
  <si>
    <t>LS (USCS)</t>
  </si>
  <si>
    <t>land use</t>
  </si>
  <si>
    <t>grass</t>
  </si>
  <si>
    <t>C (USCS)</t>
  </si>
  <si>
    <t>A (ton/ac/yr)</t>
  </si>
  <si>
    <t>A (kg/m2/d)</t>
  </si>
  <si>
    <t>rainfall/erosivity index</t>
  </si>
  <si>
    <t>soil erodibility index</t>
  </si>
  <si>
    <t>kg/ton</t>
  </si>
  <si>
    <t>acre/m2</t>
  </si>
  <si>
    <t>ft2/acre</t>
  </si>
  <si>
    <t>ft2/m2</t>
  </si>
  <si>
    <t>topographical (LS) factor</t>
  </si>
  <si>
    <t>cover/mgt factor</t>
  </si>
  <si>
    <t>P</t>
  </si>
  <si>
    <t>supporting practices factor</t>
  </si>
  <si>
    <t>side (m) if square</t>
  </si>
  <si>
    <t>#0.1 2.1</t>
  </si>
  <si>
    <t>1 (&gt;0.1 but #1.0) 1.9</t>
  </si>
  <si>
    <t>10 (&gt;1.0 but #10) 1.4</t>
  </si>
  <si>
    <t>100 (&gt;10 but #100) 1.2</t>
  </si>
  <si>
    <t>1,000 (&gt;100) 0.6</t>
  </si>
  <si>
    <t>area (mi2)</t>
  </si>
  <si>
    <t>&lt;0.1</t>
  </si>
  <si>
    <t>&gt;0.1, &lt;=1.0</t>
  </si>
  <si>
    <t>&gt;1.0, &lt;=10</t>
  </si>
  <si>
    <t>&gt;10, &lt;=100</t>
  </si>
  <si>
    <t>&gt;100, &lt;=1000</t>
  </si>
  <si>
    <t>a</t>
  </si>
  <si>
    <t>mi2 range</t>
  </si>
  <si>
    <t>sed deliv ratio</t>
  </si>
  <si>
    <t>kg/m2-day</t>
  </si>
  <si>
    <t>adjusted erosion rate, kg/m2/d</t>
  </si>
  <si>
    <t>kg/yr</t>
  </si>
  <si>
    <t>kg/day</t>
  </si>
  <si>
    <t>m/day</t>
  </si>
  <si>
    <t>cm/yr</t>
  </si>
  <si>
    <t>from CalTOX input user guidance</t>
  </si>
  <si>
    <t>ResVel = rhoBS/BSconc * (Dep - Bur)</t>
  </si>
  <si>
    <t>kg/m3</t>
  </si>
  <si>
    <t>land use type</t>
  </si>
  <si>
    <t>Var Name (units)</t>
  </si>
  <si>
    <t>Description</t>
  </si>
  <si>
    <t>Unit soil loss</t>
  </si>
  <si>
    <t>Height soil Loss:</t>
  </si>
  <si>
    <t>A (kg/m2-yr)</t>
  </si>
  <si>
    <t>Sediment delivery ratio, SD = a * (AL)^-b</t>
  </si>
  <si>
    <t>empirical intercept coeff</t>
  </si>
  <si>
    <t>AL (m2)</t>
  </si>
  <si>
    <t>total watershed area</t>
  </si>
  <si>
    <t>empirical slope coeff</t>
  </si>
  <si>
    <t>b</t>
  </si>
  <si>
    <t>SD</t>
  </si>
  <si>
    <t>Effective erosion rate = (unit soil loss) * (enrichment ratio, E) * (sediment delivery ratio, SD)</t>
  </si>
  <si>
    <t>Constants</t>
  </si>
  <si>
    <t>Average US erosion rate</t>
  </si>
  <si>
    <t>Value</t>
  </si>
  <si>
    <t>Units</t>
  </si>
  <si>
    <t>HHRAP</t>
  </si>
  <si>
    <t>dioxin reassessment</t>
  </si>
  <si>
    <t>Ratio of calculated rate to average US rate</t>
  </si>
  <si>
    <t>m2, (high end)</t>
  </si>
  <si>
    <t>Area (sq. miles) (unitless) [from HHRAP]</t>
  </si>
  <si>
    <t>TRIM.FaTE Screening Scenario Sensitivity Analysis</t>
  </si>
  <si>
    <t>Export Sensitivity Properties:</t>
  </si>
  <si>
    <t>Note- this worksheet ONLY works with values which only changes values within the TRIM.FaTE properties file, no other output worksheet.</t>
  </si>
  <si>
    <t>Input</t>
  </si>
  <si>
    <t>Output</t>
  </si>
  <si>
    <t>Default TRIM.FaTE Scenario</t>
  </si>
  <si>
    <t>C:\Documents and Settings\16955\My Documents\Residual Risk (RTR)\Screening Scenario\01-26-09 de minimis\de minimis.trp</t>
  </si>
  <si>
    <t>Sensitivity Base Directory:</t>
  </si>
  <si>
    <t>C:\Documents and Settings\16955\Desktop\Sens Case Test</t>
  </si>
  <si>
    <t>Don't Touch:</t>
  </si>
  <si>
    <t>Change ID</t>
  </si>
  <si>
    <t>Base Value</t>
  </si>
  <si>
    <t>Changed Value</t>
  </si>
  <si>
    <t>Scenario/Output Name</t>
  </si>
  <si>
    <t>*.bat code to run:</t>
  </si>
  <si>
    <t>Enrichment ratio (E), inorganics</t>
  </si>
  <si>
    <t>Enrichment ratio (E), organics</t>
  </si>
  <si>
    <t>amt that must be buried for sed balance</t>
  </si>
  <si>
    <t>m/yr</t>
  </si>
  <si>
    <t>Property</t>
  </si>
  <si>
    <t>see Morton 1986 (probably underestimate)</t>
  </si>
  <si>
    <t>Land</t>
  </si>
  <si>
    <t>Water</t>
  </si>
  <si>
    <t>Aquatic Biota (Consuming Organism)</t>
  </si>
  <si>
    <t>Fraction Diet</t>
  </si>
  <si>
    <t>Algae</t>
  </si>
  <si>
    <t>Bethic Invertebrate</t>
  </si>
  <si>
    <t>Macrophyte</t>
  </si>
  <si>
    <t>Water Column Herbivore</t>
  </si>
  <si>
    <t>Water Column Omnivore</t>
  </si>
  <si>
    <t>Water Column Carnivore</t>
  </si>
  <si>
    <t>Benthic Omnivore</t>
  </si>
  <si>
    <t>assume they are base for detritus at surface of sediments</t>
  </si>
  <si>
    <t>YOY, minnows</t>
  </si>
  <si>
    <t>aka herbivore/ detritivore/ benthivore, e.g., sucker, carp</t>
  </si>
  <si>
    <t>largemouth bass, walleye</t>
  </si>
  <si>
    <t>small catfish, rock bass</t>
  </si>
  <si>
    <t>Benthic Carnivore</t>
  </si>
  <si>
    <t>large catfish</t>
  </si>
  <si>
    <t>Benthic Invertebrate</t>
  </si>
  <si>
    <r>
      <t>Biomass
(kg ww/m</t>
    </r>
    <r>
      <rPr>
        <b/>
        <vertAlign val="superscript"/>
        <sz val="10"/>
        <rFont val="Arial"/>
        <family val="2"/>
      </rPr>
      <t>2</t>
    </r>
    <r>
      <rPr>
        <b/>
        <sz val="10"/>
        <rFont val="Arial"/>
        <family val="2"/>
      </rPr>
      <t>)</t>
    </r>
  </si>
  <si>
    <t>Aquatic Species Density 
(# fish/m2)</t>
  </si>
  <si>
    <t>Single Organism Body Weight 
(kg)</t>
  </si>
  <si>
    <t>Aquatic Biota species/notes</t>
  </si>
  <si>
    <t>Last Updated:</t>
  </si>
  <si>
    <t>Tracking Changes:</t>
  </si>
  <si>
    <t>Worksheet Name</t>
  </si>
  <si>
    <t>Cell Changed</t>
  </si>
  <si>
    <t xml:space="preserve"> Parameter Name</t>
  </si>
  <si>
    <t>Value Used</t>
  </si>
  <si>
    <t>Reference</t>
  </si>
  <si>
    <t>Atmospheric dust load</t>
  </si>
  <si>
    <t>Bidleman 1988</t>
  </si>
  <si>
    <t>Density of air</t>
  </si>
  <si>
    <t>U.S. EPA 1997</t>
  </si>
  <si>
    <t>Dust density</t>
  </si>
  <si>
    <t>Fraction organic matter on particulates</t>
  </si>
  <si>
    <t>unitless</t>
  </si>
  <si>
    <t>Harner and Bidleman 1998</t>
  </si>
  <si>
    <t>5th percentile for United States</t>
  </si>
  <si>
    <t>Parameter Name</t>
  </si>
  <si>
    <t>Air temperature</t>
  </si>
  <si>
    <t>degrees K</t>
  </si>
  <si>
    <t>USEPA 2005.</t>
  </si>
  <si>
    <t>Horizontal wind speed</t>
  </si>
  <si>
    <t>m/sec</t>
  </si>
  <si>
    <t>Vertical wind speed</t>
  </si>
  <si>
    <t>Wind direction</t>
  </si>
  <si>
    <t>degrees clockwise from N (blowing from)</t>
  </si>
  <si>
    <t>varies daily</t>
  </si>
  <si>
    <t>Mixing height (used to set air VE property named “top”)</t>
  </si>
  <si>
    <t>isDay_SteadyState_forAir</t>
  </si>
  <si>
    <t>Value not used in current dynamic runs (would need to be reevaluated if steady-state runs are needed).</t>
  </si>
  <si>
    <t>isDay_SteadyState_forOther</t>
  </si>
  <si>
    <t>Start of simulation</t>
  </si>
  <si>
    <t>date/time</t>
  </si>
  <si>
    <t>Consistent with met data.</t>
  </si>
  <si>
    <t>End of simulation</t>
  </si>
  <si>
    <r>
      <t>Thickness - untilled</t>
    </r>
    <r>
      <rPr>
        <vertAlign val="superscript"/>
        <sz val="10"/>
        <rFont val="Arial"/>
        <family val="2"/>
      </rPr>
      <t>a</t>
    </r>
  </si>
  <si>
    <r>
      <t>Thickness</t>
    </r>
    <r>
      <rPr>
        <vertAlign val="superscript"/>
        <sz val="10"/>
        <rFont val="Arial"/>
        <family val="2"/>
      </rPr>
      <t>a</t>
    </r>
  </si>
  <si>
    <t>Consistent with met data set; selected to provide a 50-year modeling period.</t>
  </si>
  <si>
    <t>Simulation time step</t>
  </si>
  <si>
    <t>hr</t>
  </si>
  <si>
    <t>Selected value.</t>
  </si>
  <si>
    <t>Surface Soil Compartment Type</t>
  </si>
  <si>
    <t>Air content</t>
  </si>
  <si>
    <t>volume[air]/volume[compartment]</t>
  </si>
  <si>
    <t>McKone et al. 2001.</t>
  </si>
  <si>
    <t>Average vertical velocity of water (percolation)</t>
  </si>
  <si>
    <t>Assumed to be 0.2 times average precipitation for site.</t>
  </si>
  <si>
    <t>Boundary layer thickness above surface soil</t>
  </si>
  <si>
    <t>Thibodeaux 1996; McKone et al. 2001 (Table 3).</t>
  </si>
  <si>
    <t>Density of soil solids (dry weight)</t>
  </si>
  <si>
    <t>Default in McKone et al. 2001 (Table 3)</t>
  </si>
  <si>
    <t>McKone et al. 2001 (p. 30).</t>
  </si>
  <si>
    <t>Fraction of area available for erosion</t>
  </si>
  <si>
    <t>Professional judgment; area assumed rural.</t>
  </si>
  <si>
    <t>Fraction of area available for runoff</t>
  </si>
  <si>
    <t>Fraction of area availabe for vertical diffusion</t>
  </si>
  <si>
    <t>Fraction Sand</t>
  </si>
  <si>
    <t>Professional judgment.</t>
  </si>
  <si>
    <t>Organic carbon fraction</t>
  </si>
  <si>
    <t>pH</t>
  </si>
  <si>
    <t>Total erosion rate</t>
  </si>
  <si>
    <t>See Total Erosion Rates table.</t>
  </si>
  <si>
    <t>Total runoff rate</t>
  </si>
  <si>
    <t>Calculated using scenario-specific precipitation rate and assumptions associated with water balance.</t>
  </si>
  <si>
    <t>Water content</t>
  </si>
  <si>
    <t>Dep = Resus + Burial</t>
  </si>
  <si>
    <t>Dep - Burial = ResVel * BSconc/rhoBS</t>
  </si>
  <si>
    <t>Dep = [ResVel * Bsconc/rhoBS] + Burial</t>
  </si>
  <si>
    <t>Sediment bulk density</t>
  </si>
  <si>
    <t>[Dep Vel * TSS ] / (rho-SS)</t>
  </si>
  <si>
    <t>burial rate * (sed density/sed bulk density) * unit conv</t>
  </si>
  <si>
    <t>volume[water]/volume[compartment]</t>
  </si>
  <si>
    <t>Root Zone Soil Compartment Type</t>
  </si>
  <si>
    <t>McKone et al 2001 (Table 16).</t>
  </si>
  <si>
    <t>Assumed as 0.2 times average precipitation for New England in McKone et al. 2001.</t>
  </si>
  <si>
    <t>McKone et al. 2001 (Table 3).</t>
  </si>
  <si>
    <t>McKone et al. 2001 (Tabel 16 - U.S. Average).</t>
  </si>
  <si>
    <t>Adjusted from McKone et al. 2001 (Table 16).</t>
  </si>
  <si>
    <t>Vadose Zone Soil Compartment Type</t>
  </si>
  <si>
    <t>McKone et al. 2001 (Table 17).</t>
  </si>
  <si>
    <t>Default in McKone et al. 2001 (Table 3).</t>
  </si>
  <si>
    <t>Ground Water Compartment Type</t>
  </si>
  <si>
    <t>Porosity</t>
  </si>
  <si>
    <t>USGS National Water summary 1987, for LA: p 289 of 567</t>
  </si>
  <si>
    <t>volume[total pore space]/volume[compartment]</t>
  </si>
  <si>
    <t>Coniferous Forest</t>
  </si>
  <si>
    <t>Allow exchange</t>
  </si>
  <si>
    <t>Calculate wet dep interception fraction (boolean)</t>
  </si>
  <si>
    <t>Litter fall rate</t>
  </si>
  <si>
    <t>1/day</t>
  </si>
  <si>
    <t>Wet dep interception fraction</t>
  </si>
  <si>
    <t>Calculated based on 5 years of local met data, 1987-1991.</t>
  </si>
  <si>
    <t>value assumes 1st-order relationship and that 99% of leaves fall over 6 years</t>
  </si>
  <si>
    <t>Total sediment input</t>
  </si>
  <si>
    <t>Erosion rate into pond</t>
  </si>
  <si>
    <t>Total sediment flushed</t>
  </si>
  <si>
    <t>kg[sed]/m2-day</t>
  </si>
  <si>
    <t>kg[sed]/m2-yr</t>
  </si>
  <si>
    <t>burial rate / rho-BS</t>
  </si>
  <si>
    <t>Unit conversions</t>
  </si>
  <si>
    <t>Density of Solid material in aquifer</t>
  </si>
  <si>
    <t>Input value- values can be changed</t>
  </si>
  <si>
    <t>Output values- calculated or linked (don't touch!)</t>
  </si>
  <si>
    <t>Names, intermediates, or linked values</t>
  </si>
  <si>
    <t>Screening Scenario Setup</t>
  </si>
  <si>
    <t>Table A1, Appendix A of Perdue Document</t>
  </si>
  <si>
    <t>Souces for Input Values</t>
  </si>
  <si>
    <t>Directions - Columns B to H are LIVE columns which are tied to values throughout this workbook. The purple section a copy of the actual text file; it concatenates columns B to H and removes excess spaces. Files can be exported to the directory and filename specified to the left. The Paste range must be updated as well.</t>
  </si>
  <si>
    <r>
      <t>kg[dust]/m</t>
    </r>
    <r>
      <rPr>
        <vertAlign val="superscript"/>
        <sz val="10"/>
        <rFont val="Arial"/>
        <family val="2"/>
      </rPr>
      <t>3</t>
    </r>
    <r>
      <rPr>
        <sz val="10"/>
        <rFont val="Arial"/>
        <family val="2"/>
      </rPr>
      <t>[air]</t>
    </r>
  </si>
  <si>
    <r>
      <t>g/cm</t>
    </r>
    <r>
      <rPr>
        <vertAlign val="superscript"/>
        <sz val="10"/>
        <rFont val="Arial"/>
        <family val="2"/>
      </rPr>
      <t>3</t>
    </r>
  </si>
  <si>
    <r>
      <t>kg[dust]/m</t>
    </r>
    <r>
      <rPr>
        <vertAlign val="superscript"/>
        <sz val="10"/>
        <rFont val="Arial"/>
        <family val="2"/>
      </rPr>
      <t>3</t>
    </r>
    <r>
      <rPr>
        <sz val="10"/>
        <rFont val="Arial"/>
        <family val="2"/>
      </rPr>
      <t>[dust]</t>
    </r>
  </si>
  <si>
    <r>
      <t>m</t>
    </r>
    <r>
      <rPr>
        <vertAlign val="superscript"/>
        <sz val="10"/>
        <rFont val="Arial"/>
        <family val="2"/>
      </rPr>
      <t>3</t>
    </r>
    <r>
      <rPr>
        <sz val="10"/>
        <rFont val="Arial"/>
        <family val="2"/>
      </rPr>
      <t>[rain]/m</t>
    </r>
    <r>
      <rPr>
        <vertAlign val="superscript"/>
        <sz val="10"/>
        <rFont val="Arial"/>
        <family val="2"/>
      </rPr>
      <t>2</t>
    </r>
    <r>
      <rPr>
        <sz val="10"/>
        <rFont val="Arial"/>
        <family val="2"/>
      </rPr>
      <t>[surface area]-day</t>
    </r>
  </si>
  <si>
    <r>
      <t>Output time step</t>
    </r>
    <r>
      <rPr>
        <vertAlign val="superscript"/>
        <sz val="10"/>
        <rFont val="Arial"/>
        <family val="2"/>
      </rPr>
      <t>a</t>
    </r>
  </si>
  <si>
    <r>
      <t>kg[soil]/m</t>
    </r>
    <r>
      <rPr>
        <vertAlign val="superscript"/>
        <sz val="10"/>
        <rFont val="Arial"/>
        <family val="2"/>
      </rPr>
      <t>3</t>
    </r>
    <r>
      <rPr>
        <sz val="10"/>
        <rFont val="Arial"/>
        <family val="2"/>
      </rPr>
      <t>[soil]</t>
    </r>
  </si>
  <si>
    <r>
      <t>m</t>
    </r>
    <r>
      <rPr>
        <vertAlign val="superscript"/>
        <sz val="10"/>
        <rFont val="Arial"/>
        <family val="2"/>
      </rPr>
      <t>2</t>
    </r>
    <r>
      <rPr>
        <sz val="10"/>
        <rFont val="Arial"/>
        <family val="2"/>
      </rPr>
      <t>[area available]/m</t>
    </r>
    <r>
      <rPr>
        <vertAlign val="superscript"/>
        <sz val="10"/>
        <rFont val="Arial"/>
        <family val="2"/>
      </rPr>
      <t>2</t>
    </r>
    <r>
      <rPr>
        <sz val="10"/>
        <rFont val="Arial"/>
        <family val="2"/>
      </rPr>
      <t>[total]</t>
    </r>
  </si>
  <si>
    <r>
      <t>kg [soil]/m</t>
    </r>
    <r>
      <rPr>
        <vertAlign val="superscript"/>
        <sz val="10"/>
        <rFont val="Arial"/>
        <family val="2"/>
      </rPr>
      <t>2</t>
    </r>
    <r>
      <rPr>
        <sz val="10"/>
        <rFont val="Arial"/>
        <family val="2"/>
      </rPr>
      <t>/day</t>
    </r>
  </si>
  <si>
    <r>
      <t>m</t>
    </r>
    <r>
      <rPr>
        <vertAlign val="superscript"/>
        <sz val="10"/>
        <rFont val="Arial"/>
        <family val="2"/>
      </rPr>
      <t>3</t>
    </r>
    <r>
      <rPr>
        <sz val="10"/>
        <rFont val="Arial"/>
        <family val="2"/>
      </rPr>
      <t>[water]/m</t>
    </r>
    <r>
      <rPr>
        <vertAlign val="superscript"/>
        <sz val="10"/>
        <rFont val="Arial"/>
        <family val="2"/>
      </rPr>
      <t>2</t>
    </r>
    <r>
      <rPr>
        <sz val="10"/>
        <rFont val="Arial"/>
        <family val="2"/>
      </rPr>
      <t>/day</t>
    </r>
  </si>
  <si>
    <r>
      <t>a</t>
    </r>
    <r>
      <rPr>
        <sz val="9"/>
        <rFont val="Arial"/>
        <family val="2"/>
      </rPr>
      <t>Set using the volume element properties file</t>
    </r>
  </si>
  <si>
    <r>
      <t>b</t>
    </r>
    <r>
      <rPr>
        <sz val="9"/>
        <rFont val="Arial"/>
        <family val="2"/>
      </rPr>
      <t>See separate tables for erosion/runoff fractions and total erosion rates.</t>
    </r>
  </si>
  <si>
    <r>
      <t>Thickness - tilled</t>
    </r>
    <r>
      <rPr>
        <vertAlign val="superscript"/>
        <sz val="10"/>
        <rFont val="Arial"/>
        <family val="2"/>
      </rPr>
      <t>a</t>
    </r>
  </si>
  <si>
    <t>start_volume_element_file</t>
  </si>
  <si>
    <t>version 1</t>
  </si>
  <si>
    <t>start_points</t>
  </si>
  <si>
    <t>end_points</t>
  </si>
  <si>
    <t>start_parcels</t>
  </si>
  <si>
    <t>end_parcels</t>
  </si>
  <si>
    <t>start_volume_elements</t>
  </si>
  <si>
    <t>Version:1</t>
  </si>
  <si>
    <t>Run: BaseRun</t>
  </si>
  <si>
    <t>Property: TotalErosionRate_kg_m2_day</t>
  </si>
  <si>
    <t>Property: pH</t>
  </si>
  <si>
    <t>Property: OrganicCarbonContent</t>
  </si>
  <si>
    <t>Vertex points</t>
  </si>
  <si>
    <t>Parcels</t>
  </si>
  <si>
    <t>Point name</t>
  </si>
  <si>
    <t>X</t>
  </si>
  <si>
    <t>Y</t>
  </si>
  <si>
    <t>Parcel name</t>
  </si>
  <si>
    <t>(to add points, extend the rows below as needed)</t>
  </si>
  <si>
    <t>Points</t>
  </si>
  <si>
    <t>(to add parcels, extend rows as needed)</t>
  </si>
  <si>
    <r>
      <t>Area (m</t>
    </r>
    <r>
      <rPr>
        <b/>
        <vertAlign val="superscript"/>
        <sz val="10"/>
        <rFont val="Arial"/>
        <family val="2"/>
      </rPr>
      <t>2</t>
    </r>
    <r>
      <rPr>
        <b/>
        <sz val="10"/>
        <rFont val="Arial"/>
        <family val="2"/>
      </rPr>
      <t>)</t>
    </r>
  </si>
  <si>
    <t>Base coordinates (meters)</t>
  </si>
  <si>
    <t>Uniform offset   (meters X, Y)</t>
  </si>
  <si>
    <r>
      <t>km</t>
    </r>
    <r>
      <rPr>
        <b/>
        <vertAlign val="superscript"/>
        <sz val="10"/>
        <rFont val="Arial"/>
        <family val="2"/>
      </rPr>
      <t>2</t>
    </r>
  </si>
  <si>
    <t>Lakes</t>
  </si>
  <si>
    <t>Sediment depth (m)</t>
  </si>
  <si>
    <t>Water retention time (d)</t>
  </si>
  <si>
    <t>Unit Soil Loss, A = R * K * LS * C * P</t>
  </si>
  <si>
    <t>Erosion parameters</t>
  </si>
  <si>
    <t>(to add types, extend colums as needed)</t>
  </si>
  <si>
    <t>m2/mi2</t>
  </si>
  <si>
    <t>Land use</t>
  </si>
  <si>
    <t>coniferous forest</t>
  </si>
  <si>
    <t>deciduous forest</t>
  </si>
  <si>
    <t>Land &amp; Air</t>
  </si>
  <si>
    <t>Water &amp; Air</t>
  </si>
  <si>
    <t>Air Only</t>
  </si>
  <si>
    <t>Parcel type choices</t>
  </si>
  <si>
    <t>Parcel category</t>
  </si>
  <si>
    <t>Receiving parcel</t>
  </si>
  <si>
    <t>Sending parcel</t>
  </si>
  <si>
    <t>Surface parcels</t>
  </si>
  <si>
    <t>Water parcels</t>
  </si>
  <si>
    <t>Sink</t>
  </si>
  <si>
    <t>Lake parcel</t>
  </si>
  <si>
    <t>Watershed erosion/runoff</t>
  </si>
  <si>
    <t>Evaporation rate (m/yr)</t>
  </si>
  <si>
    <t>Water depth (m)</t>
  </si>
  <si>
    <t>surface RO from land</t>
  </si>
  <si>
    <t>direct precip to lake</t>
  </si>
  <si>
    <t>Evaporation</t>
  </si>
  <si>
    <r>
      <t>Inflow (m</t>
    </r>
    <r>
      <rPr>
        <b/>
        <vertAlign val="superscript"/>
        <sz val="10"/>
        <rFont val="Arial"/>
        <family val="2"/>
      </rPr>
      <t>3</t>
    </r>
    <r>
      <rPr>
        <b/>
        <sz val="10"/>
        <rFont val="Arial"/>
        <family val="2"/>
      </rPr>
      <t>/yr)</t>
    </r>
  </si>
  <si>
    <r>
      <t>Outflow (m</t>
    </r>
    <r>
      <rPr>
        <b/>
        <vertAlign val="superscript"/>
        <sz val="10"/>
        <rFont val="Arial"/>
        <family val="2"/>
      </rPr>
      <t>3</t>
    </r>
    <r>
      <rPr>
        <b/>
        <sz val="10"/>
        <rFont val="Arial"/>
        <family val="2"/>
      </rPr>
      <t>/yr)</t>
    </r>
  </si>
  <si>
    <t>Computed depth (m)</t>
  </si>
  <si>
    <r>
      <t>Volume (m</t>
    </r>
    <r>
      <rPr>
        <b/>
        <vertAlign val="superscript"/>
        <sz val="10"/>
        <rFont val="Arial"/>
        <family val="2"/>
      </rPr>
      <t>3</t>
    </r>
    <r>
      <rPr>
        <b/>
        <sz val="10"/>
        <rFont val="Arial"/>
        <family val="2"/>
      </rPr>
      <t>)</t>
    </r>
  </si>
  <si>
    <t>non-surface (GW seepage)</t>
  </si>
  <si>
    <r>
      <t>Discharge rate (m</t>
    </r>
    <r>
      <rPr>
        <b/>
        <vertAlign val="superscript"/>
        <sz val="10"/>
        <rFont val="Arial"/>
        <family val="2"/>
      </rPr>
      <t>3</t>
    </r>
    <r>
      <rPr>
        <b/>
        <sz val="10"/>
        <rFont val="Arial"/>
        <family val="2"/>
      </rPr>
      <t>/s)</t>
    </r>
  </si>
  <si>
    <r>
      <t xml:space="preserve">(extend rows &amp; columns as needed, but </t>
    </r>
    <r>
      <rPr>
        <b/>
        <sz val="10"/>
        <rFont val="Arial"/>
        <family val="2"/>
      </rPr>
      <t>keep this matrix square</t>
    </r>
    <r>
      <rPr>
        <sz val="10"/>
        <rFont val="Arial"/>
        <family val="2"/>
      </rPr>
      <t>)</t>
    </r>
  </si>
  <si>
    <t>Land area</t>
  </si>
  <si>
    <t>seconds/yr</t>
  </si>
  <si>
    <t>OR</t>
  </si>
  <si>
    <t>Watershed:Lake area ratio</t>
  </si>
  <si>
    <t>a (HHRAP)</t>
  </si>
  <si>
    <t>b (HHRAP)</t>
  </si>
  <si>
    <t>Land parcel</t>
  </si>
  <si>
    <t>Land parcels</t>
  </si>
  <si>
    <t>Sediment Delivery</t>
  </si>
  <si>
    <t>Sediment Delivery coefficients (a, b)</t>
  </si>
  <si>
    <t>(extend rows as needed for all land parcels)</t>
  </si>
  <si>
    <t>kg/m2/d</t>
  </si>
  <si>
    <t>unit soil loss (by land use)</t>
  </si>
  <si>
    <t>(x - avg) / avg</t>
  </si>
  <si>
    <t>Suspended sed. conc. (kg[sed] / m3[water])</t>
  </si>
  <si>
    <t>Sediment density / rho (suspended and bed sediment) (kg[sed]/m3[sed])</t>
  </si>
  <si>
    <t>Sediment porosity (volume[total pore space]/volume[sediment compartment])</t>
  </si>
  <si>
    <t>Upstream runoff area</t>
  </si>
  <si>
    <t>Upstream erosion area</t>
  </si>
  <si>
    <t>Erosion watershed area (m2)</t>
  </si>
  <si>
    <t>Adjusted erosion rate (kg/m2/day)</t>
  </si>
  <si>
    <t>Total sediment buried (kg/day)</t>
  </si>
  <si>
    <t>Volumetric</t>
  </si>
  <si>
    <t>Deposition (volumetric) (m3[sed]/m2[interface]-day)</t>
  </si>
  <si>
    <t>Burial rate (mass per area) (kg[sed]/m2[interface]-day)</t>
  </si>
  <si>
    <t>Burial rate (volumetric) (m3[sed]/m2[interface]-day)</t>
  </si>
  <si>
    <t>Annual bed sediment increment [hypothetical annual rise in sed] (cm[sed cmpt]/m2[interface]-yr)</t>
  </si>
  <si>
    <t>Resuspension velocity (m[sed cmpt]/day)</t>
  </si>
  <si>
    <t>(extend columns as needed)</t>
  </si>
  <si>
    <t/>
  </si>
  <si>
    <r>
      <t>Runoff watershed area (m</t>
    </r>
    <r>
      <rPr>
        <b/>
        <vertAlign val="superscript"/>
        <sz val="10"/>
        <rFont val="Arial"/>
        <family val="2"/>
      </rPr>
      <t>2</t>
    </r>
    <r>
      <rPr>
        <b/>
        <sz val="10"/>
        <rFont val="Arial"/>
        <family val="2"/>
      </rPr>
      <t>)</t>
    </r>
  </si>
  <si>
    <t>Portion of surface area whose runoff terminates in this lake</t>
  </si>
  <si>
    <t>Portion of surface area whose sediment erodes directly into this lake</t>
  </si>
  <si>
    <t>Time zone</t>
  </si>
  <si>
    <t>EST</t>
  </si>
  <si>
    <t>Rain</t>
  </si>
  <si>
    <t>WindDirection</t>
  </si>
  <si>
    <t>Output directory</t>
  </si>
  <si>
    <t>Scenario name</t>
  </si>
  <si>
    <t>Zooplankton</t>
  </si>
  <si>
    <t>Fish Food Chains</t>
  </si>
  <si>
    <t>(copy/paste rows so there is one food web per lake)</t>
  </si>
  <si>
    <t>Sed</t>
  </si>
  <si>
    <t>SW</t>
  </si>
  <si>
    <t>Compartment characteristics</t>
  </si>
  <si>
    <t>Thickness of the surface soil layer (below ground) (m)</t>
  </si>
  <si>
    <t>Thickness of the root soil layer (below the surface soil) (m)</t>
  </si>
  <si>
    <t>Thickness of the vadose soil layer (below the root soil) (m)</t>
  </si>
  <si>
    <t>Grasses/Herbs</t>
  </si>
  <si>
    <t>Deciduous Forest</t>
  </si>
  <si>
    <t>Coordinate system</t>
  </si>
  <si>
    <t>Directions - Columns B to H are LIVE columns which are tied to values throughout this workbook. The purple section a copy of the actual text file; it concatenates columns B to H and removes excess spaces. Files can be exported to the directory and filename specified to the left.</t>
  </si>
  <si>
    <t>// PointID x y</t>
  </si>
  <si>
    <t>// parcel_name, #points, pointIDs</t>
  </si>
  <si>
    <t>Thickness of the groundwater layer (below vadose soil) (m)</t>
  </si>
  <si>
    <t>"Air"</t>
  </si>
  <si>
    <t>"Surface water"</t>
  </si>
  <si>
    <t>"Sediment"</t>
  </si>
  <si>
    <t>// Air</t>
  </si>
  <si>
    <t>// Water</t>
  </si>
  <si>
    <t>// Land</t>
  </si>
  <si>
    <t>"Soil - Surface"</t>
  </si>
  <si>
    <t>// Parcel:</t>
  </si>
  <si>
    <t>// Land use:</t>
  </si>
  <si>
    <t>// name, parcel, primary abiotic, bottom, top</t>
  </si>
  <si>
    <t xml:space="preserve">// Generated: </t>
  </si>
  <si>
    <t>// Biotic and non-primary abiotoc compartments</t>
  </si>
  <si>
    <t>VolumeElement:</t>
  </si>
  <si>
    <t>Compartment: Degradation/Reaction Sink</t>
  </si>
  <si>
    <t>Compartment:</t>
  </si>
  <si>
    <t>Compartment: Flush Rate Sink</t>
  </si>
  <si>
    <t>HTML evaulation point</t>
  </si>
  <si>
    <t>Six months before end of simulation.</t>
  </si>
  <si>
    <t>TRIM property name</t>
  </si>
  <si>
    <t>Scenario description</t>
  </si>
  <si>
    <t>outputDir</t>
  </si>
  <si>
    <t>simulationBeginDateTime</t>
  </si>
  <si>
    <t>simulationEndDateTime</t>
  </si>
  <si>
    <t>evaluateHTMLPropertiesAtTime</t>
  </si>
  <si>
    <t>simulationStepsPerOutputStep</t>
  </si>
  <si>
    <t>simulationTimeStep</t>
  </si>
  <si>
    <t>Formatted value</t>
  </si>
  <si>
    <t>simulateSteadyState</t>
  </si>
  <si>
    <t>averageResultsFiles</t>
  </si>
  <si>
    <t>averagingInterval</t>
  </si>
  <si>
    <t>enableBoundaryContributions</t>
  </si>
  <si>
    <t>exportAllResultsToDB</t>
  </si>
  <si>
    <t>exportAvgResultsToDB</t>
  </si>
  <si>
    <t>exportIngestionInputs</t>
  </si>
  <si>
    <t>exportDeposition</t>
  </si>
  <si>
    <t>exportBiotaIntakeRates</t>
  </si>
  <si>
    <t>exportOutdoorEnvironmentBeforeRun</t>
  </si>
  <si>
    <t>exportPropertiesBeforeRun</t>
  </si>
  <si>
    <t>exportRiskECOInputs</t>
  </si>
  <si>
    <t>FractionInitialConcentrations</t>
  </si>
  <si>
    <t>exportMass</t>
  </si>
  <si>
    <t>exportConcentration</t>
  </si>
  <si>
    <t>exportHTML</t>
  </si>
  <si>
    <t>exportTimeStepsDown</t>
  </si>
  <si>
    <t>significantDigits</t>
  </si>
  <si>
    <t>isDay_Dynamic</t>
  </si>
  <si>
    <t>Use steady-state mode</t>
  </si>
  <si>
    <t>Average the results files</t>
  </si>
  <si>
    <t>Averaging interval</t>
  </si>
  <si>
    <t>Enable boundary contributions</t>
  </si>
  <si>
    <t>Export averaged results to SQL database</t>
  </si>
  <si>
    <t>Export all results to SQL database</t>
  </si>
  <si>
    <t>Export ingestion model inputs</t>
  </si>
  <si>
    <t>Export deposition results</t>
  </si>
  <si>
    <t>Export biointake rates</t>
  </si>
  <si>
    <t>Export outdoor environment before run</t>
  </si>
  <si>
    <t>Export properties before run</t>
  </si>
  <si>
    <t>Export RiskECO inputs</t>
  </si>
  <si>
    <t>Export mass</t>
  </si>
  <si>
    <t>Export concentration</t>
  </si>
  <si>
    <t>Export HTML files</t>
  </si>
  <si>
    <t>Export time steps down</t>
  </si>
  <si>
    <t>Pretty scenario name</t>
  </si>
  <si>
    <t>Met data file</t>
  </si>
  <si>
    <t>file name</t>
  </si>
  <si>
    <t>(data in degrees K)</t>
  </si>
  <si>
    <t>(data in m/sec)</t>
  </si>
  <si>
    <t>Column: wind direction</t>
  </si>
  <si>
    <t>Column: horizontal wind speed</t>
  </si>
  <si>
    <t>Column: air temperature</t>
  </si>
  <si>
    <t>(data in degrees clockwise from north, blowing from)</t>
  </si>
  <si>
    <t>(data in m/day)</t>
  </si>
  <si>
    <t>Column: mixing height</t>
  </si>
  <si>
    <t>(data in m)</t>
  </si>
  <si>
    <t>MixingHeight</t>
  </si>
  <si>
    <t>AirTemperature</t>
  </si>
  <si>
    <t>HorizontalWindSpeed</t>
  </si>
  <si>
    <t>cumulativeRain</t>
  </si>
  <si>
    <t>AirTemperature_K</t>
  </si>
  <si>
    <t>horizontalWindSpeed</t>
  </si>
  <si>
    <t>verticalWindSpeed</t>
  </si>
  <si>
    <t xml:space="preserve">windDirection  </t>
  </si>
  <si>
    <t>top</t>
  </si>
  <si>
    <t>Precipitation Rate</t>
  </si>
  <si>
    <t>Column: precipitation rate</t>
  </si>
  <si>
    <t>Column: cumulative rain</t>
  </si>
  <si>
    <t>CumulativeRain</t>
  </si>
  <si>
    <t>TRIM property scope</t>
  </si>
  <si>
    <t>VolumeElement: Air_*</t>
  </si>
  <si>
    <t>Compartment: Air in *</t>
  </si>
  <si>
    <t>DustLoad</t>
  </si>
  <si>
    <t>AirDensity_g_cm3</t>
  </si>
  <si>
    <t>DustDensity</t>
  </si>
  <si>
    <t>FractionOrganicMatteronParticulates</t>
  </si>
  <si>
    <t>Surface soil tilled?</t>
  </si>
  <si>
    <t>Whether the surface soil layer is tilled for farming</t>
  </si>
  <si>
    <t>rho of surface soil</t>
  </si>
  <si>
    <t>porosity of surface soil</t>
  </si>
  <si>
    <t>from parameter inputs</t>
  </si>
  <si>
    <t>TotalRunoffRate_m3_m2_day</t>
  </si>
  <si>
    <t>Surface soil thickness</t>
  </si>
  <si>
    <t>Root soil thickness</t>
  </si>
  <si>
    <t>Vadose soil thickness</t>
  </si>
  <si>
    <t>Average annual precipitation</t>
  </si>
  <si>
    <t>USGS National Water summary 1987, for LA: p 289 of 568</t>
  </si>
  <si>
    <t>USGS National Water summary 1987, for LA: p 289 of 569</t>
  </si>
  <si>
    <t>Fraction of precipitation that evapo-transpires</t>
  </si>
  <si>
    <t>Fraction of precipitation that seeps into groundwater</t>
  </si>
  <si>
    <t>Fraction of precipitation that contributes to overland runoff</t>
  </si>
  <si>
    <t>Groundwater thickness</t>
  </si>
  <si>
    <t>Algae density in water column (g[algae]/L[water])</t>
  </si>
  <si>
    <t>Chloride concentration (mg/L)</t>
  </si>
  <si>
    <t>Chlorophyll concentration (mg/L)</t>
  </si>
  <si>
    <t>Organic carbon fraction in suspended sediments (unitless)</t>
  </si>
  <si>
    <t>pH (unitless)</t>
  </si>
  <si>
    <t>Water temperature (degrees K)</t>
  </si>
  <si>
    <t>Surface water parameters</t>
  </si>
  <si>
    <t>Sediment parameters</t>
  </si>
  <si>
    <t>Sediment Deposition velocity (m[water]/day)</t>
  </si>
  <si>
    <t>Organic carbon fraction (unitless)</t>
  </si>
  <si>
    <t>IsDay</t>
  </si>
  <si>
    <t>Column: daytime indicator</t>
  </si>
  <si>
    <t>Description/Source</t>
  </si>
  <si>
    <t>tilled soil</t>
  </si>
  <si>
    <t>Composite plant compartments</t>
  </si>
  <si>
    <t>(add columns to match the TRIM.FaTE library, rows to include all component comartments)</t>
  </si>
  <si>
    <t>Leaf - Grasses/Herbs</t>
  </si>
  <si>
    <t>Leaf Particle - Grasses/Herbs</t>
  </si>
  <si>
    <t>Root - Grasses/Herbs</t>
  </si>
  <si>
    <t>Stem - Grasses/Herbs</t>
  </si>
  <si>
    <t>Leaf - Coniferous Forest</t>
  </si>
  <si>
    <t>Leaf Particle - Coniferous Forest</t>
  </si>
  <si>
    <t>Composite</t>
  </si>
  <si>
    <t>Components</t>
  </si>
  <si>
    <t>Leaf - Deciduous Forest</t>
  </si>
  <si>
    <t>Leaf Particle - Deciduous Forest</t>
  </si>
  <si>
    <t>The plant composite comparment present in this type of land. These must match pre-defined compartment types on the "Plants" sheet.</t>
  </si>
  <si>
    <t>Compartment: * in Coniferous Forest in *</t>
  </si>
  <si>
    <t>AllowExchange_Dynamic</t>
  </si>
  <si>
    <t>CalculateWetDepInterceptionFraction</t>
  </si>
  <si>
    <t>LitterFallRate</t>
  </si>
  <si>
    <t>WetDepInterceptionFraction_UserSupplied</t>
  </si>
  <si>
    <t>AllowExchange data file</t>
  </si>
  <si>
    <t>(leave blank for constant)</t>
  </si>
  <si>
    <t>1=yes, 0=no (if constant); Column name (if time-varying)</t>
  </si>
  <si>
    <t>true/false</t>
  </si>
  <si>
    <t>LitterFall data file</t>
  </si>
  <si>
    <t>Coniferous plants assumed to be constantly growing</t>
  </si>
  <si>
    <t>AllowExchange</t>
  </si>
  <si>
    <t>LitterfallRate</t>
  </si>
  <si>
    <t>Compartment: * in Deciduous Forest in *</t>
  </si>
  <si>
    <t>Begins March 9 (set to 1), ends November 7 (set to 0).  Nation-wide 80th percentile.</t>
  </si>
  <si>
    <t>Begins November 7, ends December 6; rate = 0.15/day during this time (value assumes 99 percent of leaves fall in 30 days).</t>
  </si>
  <si>
    <t>Compartment: * in Grasses/Herbs in *</t>
  </si>
  <si>
    <t>3-days-on, 4-days-off.</t>
  </si>
  <si>
    <t>Property:</t>
  </si>
  <si>
    <t>Form: Constant</t>
  </si>
  <si>
    <t>Form:</t>
  </si>
  <si>
    <t>FractionDietAlgae</t>
  </si>
  <si>
    <t>FractionDietMacrophyte</t>
  </si>
  <si>
    <t>FractionDietZooplankton</t>
  </si>
  <si>
    <t>FractionDietBenthicInvertebrate</t>
  </si>
  <si>
    <t>FractionDietFishHerbivore</t>
  </si>
  <si>
    <t>FractionDietFishBenthicOmnivore</t>
  </si>
  <si>
    <t>FractionDietFishOmnivore</t>
  </si>
  <si>
    <t>FractionDietFishBenthicCarnivore</t>
  </si>
  <si>
    <t>FractionDietFishCarnivore</t>
  </si>
  <si>
    <t>in</t>
  </si>
  <si>
    <t>Property: BiomassPerArea_kg_m2</t>
  </si>
  <si>
    <t>Property: BW</t>
  </si>
  <si>
    <t>Property: AlgaeDensityInWaterColumn_g_L</t>
  </si>
  <si>
    <t>Property: ChlorideConcentration_mg_L</t>
  </si>
  <si>
    <t>Property: ChlorophyllConcentration_mg_L</t>
  </si>
  <si>
    <t>Property: SuspendedSedimentConcentration</t>
  </si>
  <si>
    <t>// Surface water properties</t>
  </si>
  <si>
    <t>// Sediment properties</t>
  </si>
  <si>
    <t>// ----------------------------------------------------------------------------</t>
  </si>
  <si>
    <t>// Fish food web(s)</t>
  </si>
  <si>
    <t>Scenario:</t>
  </si>
  <si>
    <t>// Coordinates:</t>
  </si>
  <si>
    <t>// TRIM.FaTE scenario spatial layout</t>
  </si>
  <si>
    <t>// TRIM.FaTE scenario compartments</t>
  </si>
  <si>
    <t>// TRIM.FaTE scenario properties</t>
  </si>
  <si>
    <t>// Volume elements and primary abiotic compartments</t>
  </si>
  <si>
    <t>IsDay_forAir override in leaves</t>
  </si>
  <si>
    <t>IsDay_forOther override in leaves</t>
  </si>
  <si>
    <t>IsDay_forAir</t>
  </si>
  <si>
    <t>IsDay_forOther</t>
  </si>
  <si>
    <t>Compartment: Leaf -*</t>
  </si>
  <si>
    <t>From previous screening setup workbook. Source unknown.</t>
  </si>
  <si>
    <t>AllowExchange_SteadyState_forAir</t>
  </si>
  <si>
    <t>Allow exchange for Air (required, but not used in Dynamic mode)</t>
  </si>
  <si>
    <t>Allow exchange for Other (required, but not used in Dynamic mode)</t>
  </si>
  <si>
    <t>AllowExchange_SteadyState_forOther</t>
  </si>
  <si>
    <t>// Flowing water bodies currently unsupported in this workbook.</t>
  </si>
  <si>
    <t>Property: IsFlowing</t>
  </si>
  <si>
    <t>Property: CurrentVelocity</t>
  </si>
  <si>
    <t>Plant type</t>
  </si>
  <si>
    <t>// *****************************************************</t>
  </si>
  <si>
    <t>// NOTE: You must use the TRIM.FaTE interface to perform</t>
  </si>
  <si>
    <t>//   a smart link BEFORE importing this properties file!</t>
  </si>
  <si>
    <t>Scaling factor for initial concentrations</t>
  </si>
  <si>
    <t>Number of significant digits</t>
  </si>
  <si>
    <t>Constant 0 m/sec. Professional judgment; vertical wind speed not used by any of the algorithms in the current version of the TRIM.FaTE library.</t>
  </si>
  <si>
    <t>The CSV file containing values for all the above parameters. Must be comma-delimited with column headers across first row.</t>
  </si>
  <si>
    <t>The CSV file from which to read time-varying LitterFallRate (comma-delimited, headers on first row). Leave blank to use a constant value.</t>
  </si>
  <si>
    <t>The CSV file from which to read time-varying AllowExchange (comma-delimited, headers on first row). Leave blank to use a constant value.</t>
  </si>
  <si>
    <t>Source name</t>
  </si>
  <si>
    <t>Emissions Sources</t>
  </si>
  <si>
    <t>(to add sources, extend columns as needed)</t>
  </si>
  <si>
    <t>MethylMercury</t>
  </si>
  <si>
    <t>Lead</t>
  </si>
  <si>
    <t>Indeno(1,2,3-cd)pyrene</t>
  </si>
  <si>
    <t>Elemental Mercury</t>
  </si>
  <si>
    <t>Divalent Mercury</t>
  </si>
  <si>
    <t>Dibenz(a,h)anthracene</t>
  </si>
  <si>
    <t>Chrysene</t>
  </si>
  <si>
    <t>Cadmium</t>
  </si>
  <si>
    <t>Benzo(k)fluoranthene</t>
  </si>
  <si>
    <t>2,3,7,8-TCDF</t>
  </si>
  <si>
    <t>2,3,7,8-TCDD</t>
  </si>
  <si>
    <t>2,3,4,7,8-PeCDF</t>
  </si>
  <si>
    <t>2,3,4,6,7,8-HxCDF</t>
  </si>
  <si>
    <t>1,2,3,7,8-PeCDF</t>
  </si>
  <si>
    <t>1,2,3,7,8-PeCDD</t>
  </si>
  <si>
    <t>1,2,3,7,8,9-HxCDF</t>
  </si>
  <si>
    <t>1,2,3,7,8,9-HxCDD</t>
  </si>
  <si>
    <t>1,2,3,6,7,8-HxCDF</t>
  </si>
  <si>
    <t>1,2,3,6,7,8-HxCDD</t>
  </si>
  <si>
    <t>1,2,3,4,7,8-HxCDF</t>
  </si>
  <si>
    <t>1,2,3,4,7,8-HxCDD</t>
  </si>
  <si>
    <t>1,2,3,4,7,8,9-HpCDF</t>
  </si>
  <si>
    <t>1,2,3,4,6,7,8-HpCDF</t>
  </si>
  <si>
    <t>1,2,3,4,6,7,8-HpCDD</t>
  </si>
  <si>
    <t>1,2,3,4,6,7,8,9-OCDF</t>
  </si>
  <si>
    <t>1,2,3,4,6,7,8,9-OCDD</t>
  </si>
  <si>
    <t>Emission rates (g/day)</t>
  </si>
  <si>
    <t>Air parcels</t>
  </si>
  <si>
    <t>Stack elevation (m)</t>
  </si>
  <si>
    <t>X coordinate (m)</t>
  </si>
  <si>
    <t>Y coordinate (m)</t>
  </si>
  <si>
    <t>// TRIM.FaTE library file with site-specific emission sources</t>
  </si>
  <si>
    <t>PointSource:</t>
  </si>
  <si>
    <t>Property: Enabled</t>
  </si>
  <si>
    <t>Property: X</t>
  </si>
  <si>
    <t>Property: Y</t>
  </si>
  <si>
    <t>Property: Elevation</t>
  </si>
  <si>
    <t>Property: EmissionRate</t>
  </si>
  <si>
    <t xml:space="preserve">Value: </t>
  </si>
  <si>
    <t>// This file must be imported into the TRIM.FaTE library directly</t>
  </si>
  <si>
    <t>// scenario using the graphical interface.</t>
  </si>
  <si>
    <t>// (not the scenario). Sources must then be manually added to the</t>
  </si>
  <si>
    <t>Version:</t>
  </si>
  <si>
    <t>Default air height (overridden by mixing height)</t>
  </si>
  <si>
    <t>Agriculture - General</t>
  </si>
  <si>
    <t>Leaf - Agriculture - General</t>
  </si>
  <si>
    <t>Leaf Particle - Agriculture - General</t>
  </si>
  <si>
    <t>Root - Agriculture - General</t>
  </si>
  <si>
    <t>Stem - Agriculture - General</t>
  </si>
  <si>
    <t>agriculture</t>
  </si>
  <si>
    <t>(Mixing height value also used as bottom of Upper Air layer)</t>
  </si>
  <si>
    <t>VolumeElement: UpperAir_*</t>
  </si>
  <si>
    <t>bottom</t>
  </si>
  <si>
    <r>
      <t>Annual discharge (m</t>
    </r>
    <r>
      <rPr>
        <b/>
        <vertAlign val="superscript"/>
        <sz val="10"/>
        <rFont val="Arial"/>
        <family val="2"/>
      </rPr>
      <t>3</t>
    </r>
    <r>
      <rPr>
        <b/>
        <sz val="10"/>
        <rFont val="Arial"/>
        <family val="2"/>
      </rPr>
      <t>/yr)</t>
    </r>
  </si>
  <si>
    <t>Other external inflow</t>
  </si>
  <si>
    <r>
      <t>External inflow from other water bodies (m</t>
    </r>
    <r>
      <rPr>
        <b/>
        <vertAlign val="superscript"/>
        <sz val="10"/>
        <rFont val="Arial"/>
        <family val="2"/>
      </rPr>
      <t>3</t>
    </r>
    <r>
      <rPr>
        <b/>
        <sz val="10"/>
        <rFont val="Arial"/>
        <family val="2"/>
      </rPr>
      <t>/yr)</t>
    </r>
  </si>
  <si>
    <t>Scenario Changelog</t>
  </si>
  <si>
    <t>Compartment: * in Agriculture - General in *</t>
  </si>
  <si>
    <t>External sediment inflow from other water bodies (kg/yr)</t>
  </si>
  <si>
    <t>erosion per day (kg[sed]/day)</t>
  </si>
  <si>
    <t>sediment eroded into pond</t>
  </si>
  <si>
    <t>external input per day (kg[sed]/day)</t>
  </si>
  <si>
    <t>Setup file directory</t>
  </si>
  <si>
    <t>Tool Changelog</t>
  </si>
  <si>
    <t>untilled soil</t>
  </si>
  <si>
    <t>(add rows here to have property overrides included in export file, clear existing rows to remove previous overrides)</t>
  </si>
  <si>
    <t>Compartment: Leaf -* in Grasses/Herbs in *</t>
  </si>
  <si>
    <t>Compartment: Leaf -* in Deciduous Forest in *</t>
  </si>
  <si>
    <t>Compartment: Leaf -* in Coniferous Forest in *</t>
  </si>
  <si>
    <t>TRIM property form</t>
  </si>
  <si>
    <t>1-0.448</t>
  </si>
  <si>
    <t>1-0.391</t>
  </si>
  <si>
    <t>Formula</t>
  </si>
  <si>
    <t>Source erosion rate</t>
  </si>
  <si>
    <t>Source runoff rate</t>
  </si>
  <si>
    <t>Source parcel erosion disabled</t>
  </si>
  <si>
    <t>Source parcel runoff disabled</t>
  </si>
  <si>
    <t>Compartment: Soil - Surface in SurfSoil_source</t>
  </si>
  <si>
    <t>TotalErosionRate_kg_m2_day</t>
  </si>
  <si>
    <t>// TRIM.FaTE scenario properties (manually added)</t>
  </si>
  <si>
    <t>//  NOTE: These are manually added TRIM.FaTE properties;</t>
  </si>
  <si>
    <t>//   this tool will not verify or validate any of the information added below.</t>
  </si>
  <si>
    <t>// add other property-file input below this line ----------------------------------------</t>
  </si>
  <si>
    <t>FaTEmaster Scenario Builder</t>
  </si>
  <si>
    <t>Screening_Source</t>
  </si>
  <si>
    <t>Arsenic</t>
  </si>
  <si>
    <t>Fluorene</t>
  </si>
  <si>
    <t>Fluoranthene</t>
  </si>
  <si>
    <t>7,12-Dimethylbenz(a)anthracene</t>
  </si>
  <si>
    <t>Acenaphthene</t>
  </si>
  <si>
    <t>Acenaphthylene</t>
  </si>
  <si>
    <t>Benzo(A)pyrene</t>
  </si>
  <si>
    <t>Benzo(g,h,i)perylene</t>
  </si>
  <si>
    <t>2-Methylnaphthalene</t>
  </si>
  <si>
    <t>Benz(a)anthracene</t>
  </si>
  <si>
    <t>Benzo(b)fluoranthene</t>
  </si>
  <si>
    <t>Purpose:</t>
  </si>
  <si>
    <t>Tabs</t>
  </si>
  <si>
    <t>Tracking</t>
  </si>
  <si>
    <t>Parameters</t>
  </si>
  <si>
    <t>Layout</t>
  </si>
  <si>
    <t>Plants</t>
  </si>
  <si>
    <t>Watersheds</t>
  </si>
  <si>
    <t>Fish</t>
  </si>
  <si>
    <t>1 Sources</t>
  </si>
  <si>
    <t>2 Volume</t>
  </si>
  <si>
    <t>3 Cmpts</t>
  </si>
  <si>
    <t>4 Props</t>
  </si>
  <si>
    <t>5 OtherProps</t>
  </si>
  <si>
    <t>Input value - site-specific</t>
  </si>
  <si>
    <t xml:space="preserve">Input value - default </t>
  </si>
  <si>
    <t xml:space="preserve">Input value - site-specific </t>
  </si>
  <si>
    <t>1.5 m/yr is the maximum statewide 30-year (1971-2000) average for the contiguous United States, excluding Rhode Island because of extreme weather conditions on Mt. Washington.  Data obtained from the National Climatic Data Center at http://www.ncdc.noaa.gov/oa/climate/online/ccd/nrmpcp.txt.  The precipitation frequency was 3-days-on:4-days-off based on data from Holzworth, 1972.</t>
  </si>
  <si>
    <t>5th percentile annual average mixing heights (calculated from daily morning and afternoon values), for all stations on SCRM (40 state, 70 stations).</t>
  </si>
  <si>
    <t>Input value- default values</t>
  </si>
  <si>
    <t>Input value- site-specific values</t>
  </si>
  <si>
    <t>Surface Parcel</t>
  </si>
  <si>
    <t>Land Cover</t>
  </si>
  <si>
    <t>Area</t>
  </si>
  <si>
    <t>R
Rainfall/Erosivity Index</t>
  </si>
  <si>
    <t>K
Soil Erodibility Index</t>
  </si>
  <si>
    <t>LS
Length-Slope Factor</t>
  </si>
  <si>
    <t>C
Cover Mgmt. Factor</t>
  </si>
  <si>
    <t>P
Supporting Practices Factor</t>
  </si>
  <si>
    <t>A
Unit Soil Loss</t>
  </si>
  <si>
    <r>
      <t>m</t>
    </r>
    <r>
      <rPr>
        <vertAlign val="superscript"/>
        <sz val="9"/>
        <rFont val="Arial"/>
        <family val="2"/>
      </rPr>
      <t>2</t>
    </r>
  </si>
  <si>
    <t>100 ft-ton / ac</t>
  </si>
  <si>
    <t>ton / ac / (100 ft-ton / acre)</t>
  </si>
  <si>
    <t>USCS</t>
  </si>
  <si>
    <t>ton / ac / yr</t>
  </si>
  <si>
    <r>
      <t>kg / m</t>
    </r>
    <r>
      <rPr>
        <vertAlign val="superscript"/>
        <sz val="9"/>
        <rFont val="Arial"/>
        <family val="2"/>
      </rPr>
      <t xml:space="preserve">2 </t>
    </r>
    <r>
      <rPr>
        <sz val="9"/>
        <rFont val="Arial"/>
        <family val="2"/>
      </rPr>
      <t>/ d</t>
    </r>
  </si>
  <si>
    <t xml:space="preserve">Property </t>
  </si>
  <si>
    <t xml:space="preserve">Units </t>
  </si>
  <si>
    <t>USLECalcs</t>
  </si>
  <si>
    <t>Table of data that contains all the parameters used to calculate the USLE erosion rates for each surface land parcel; calculations are pulled into the 'Land' tab</t>
  </si>
  <si>
    <t>Cell Color</t>
  </si>
  <si>
    <t>Input values - default values</t>
  </si>
  <si>
    <t>Input values - Site-specific values</t>
  </si>
  <si>
    <t>Calculated values</t>
  </si>
  <si>
    <t>Based on calculation dependent on total phosphorus (TP)</t>
  </si>
  <si>
    <t>From 'Land' tab</t>
  </si>
  <si>
    <t>Site-specific time series met data</t>
  </si>
  <si>
    <t>E1</t>
  </si>
  <si>
    <t>S1</t>
  </si>
  <si>
    <t>E2</t>
  </si>
  <si>
    <t>E3</t>
  </si>
  <si>
    <t>S2</t>
  </si>
  <si>
    <t>Calculated from precipitation data</t>
  </si>
  <si>
    <t>Parcel Name</t>
  </si>
  <si>
    <t>Land Use</t>
  </si>
  <si>
    <t>Surface-VolumeFraction_vapor</t>
  </si>
  <si>
    <t>calculated from precipitation</t>
  </si>
  <si>
    <t>Surface-AirSoilBoundaryThickness</t>
  </si>
  <si>
    <t>Surface-rho</t>
  </si>
  <si>
    <t>Surface-Fractionofareaavailableforerosion</t>
  </si>
  <si>
    <t>Surface-FractionofAreaAvailableforRunoff</t>
  </si>
  <si>
    <t>Surface-Fractionofareaavailableforverticaldiffusion</t>
  </si>
  <si>
    <t>Surface-FractionSand</t>
  </si>
  <si>
    <t>Surface-OrganicCarbonContent</t>
  </si>
  <si>
    <t>Surface-pH</t>
  </si>
  <si>
    <t>Surface-VolumeFraction_liquid</t>
  </si>
  <si>
    <t>Root-VolumeFraction_vapor</t>
  </si>
  <si>
    <t>Root-rho</t>
  </si>
  <si>
    <t>Root-FractionSand</t>
  </si>
  <si>
    <t>Root-OrganicCarbonContent</t>
  </si>
  <si>
    <t>Root-pH</t>
  </si>
  <si>
    <t>Root-VolumeFraction_liquid</t>
  </si>
  <si>
    <t>Vadose-VolumeFraction_vapor</t>
  </si>
  <si>
    <t>Vadose-rho</t>
  </si>
  <si>
    <t>Vadose-FractionSand</t>
  </si>
  <si>
    <t>Vadose-OrganicCarbonContent</t>
  </si>
  <si>
    <t>Vadose-pH</t>
  </si>
  <si>
    <t>Vadose-VolumeFraction_liquid</t>
  </si>
  <si>
    <t>GW-FractionSand</t>
  </si>
  <si>
    <t>GW-OrganicCarbonContent</t>
  </si>
  <si>
    <t>GW-pH</t>
  </si>
  <si>
    <t>GW-Porosity</t>
  </si>
  <si>
    <t>GW-rho</t>
  </si>
  <si>
    <t>Citation</t>
  </si>
  <si>
    <t>TRIM Property</t>
  </si>
  <si>
    <t>Input, default values</t>
  </si>
  <si>
    <t>Input, site-specific values</t>
  </si>
  <si>
    <t>1.6 From File</t>
  </si>
  <si>
    <t>Web Soil Survey</t>
  </si>
  <si>
    <t>Added 'Soil' tab;  Parcel site-specific information can be found there</t>
  </si>
  <si>
    <t>Professional judgement</t>
  </si>
  <si>
    <t>// Surface soil properties</t>
  </si>
  <si>
    <t>Property: VolumeFraction_vapor</t>
  </si>
  <si>
    <t>Property: AverageVerticalVelocity</t>
  </si>
  <si>
    <t>Property: AirSoilBoundaryThickness</t>
  </si>
  <si>
    <t>Property: Fractionofareaavailableforerosion</t>
  </si>
  <si>
    <t>Property: FractionofAreaAvailableforRunoff</t>
  </si>
  <si>
    <t>Property: Fractionofareaavailableforverticaldiffusion</t>
  </si>
  <si>
    <t>Property: FractionSand</t>
  </si>
  <si>
    <t>Property: TotalRunoffRate_m3_m2_day</t>
  </si>
  <si>
    <t>Property: VolumeFraction_liquid</t>
  </si>
  <si>
    <t>Updated the Output Properties module to output properties from the Soil tab.</t>
  </si>
  <si>
    <r>
      <t>Tracks changes to the tool and scenario (</t>
    </r>
    <r>
      <rPr>
        <b/>
        <sz val="10"/>
        <rFont val="Calibri"/>
        <family val="2"/>
        <scheme val="minor"/>
      </rPr>
      <t>any changes to this tool should be documented on this tab</t>
    </r>
    <r>
      <rPr>
        <sz val="10"/>
        <rFont val="Calibri"/>
        <family val="2"/>
        <scheme val="minor"/>
      </rPr>
      <t>)</t>
    </r>
  </si>
  <si>
    <r>
      <t>Watershed/erosion runoff matrix (</t>
    </r>
    <r>
      <rPr>
        <b/>
        <sz val="10"/>
        <rFont val="Calibri"/>
        <family val="2"/>
        <scheme val="minor"/>
      </rPr>
      <t>changes to erosion patterns between parcels should be made in this matrix</t>
    </r>
    <r>
      <rPr>
        <sz val="10"/>
        <rFont val="Calibri"/>
        <family val="2"/>
        <scheme val="minor"/>
      </rPr>
      <t>)</t>
    </r>
  </si>
  <si>
    <t xml:space="preserve">  </t>
  </si>
  <si>
    <t>Constant</t>
  </si>
  <si>
    <t>Generate creates real time version of the (1) Sources.txt based on inputs in the Yellow tabs; Export to text file exports text in Purple cells into a text file. This file is not used for TRIM if emissions are generated from AERMOD</t>
  </si>
  <si>
    <t>Generate creates real time version of the (2) Volume Elements.txt  based on inputs in the Yellow tabs; Export to text file exports text in Purple cells into a text file</t>
  </si>
  <si>
    <t>Generate creates real time version of the (3) Compartments.txt based on inputs in the Yellow tabs; Export to text file exports text in Purple cells into a text file</t>
  </si>
  <si>
    <t>Generate creates real time version of the (4) Properties.txt based on inputs in the Yellow tabs; Export to text file exports text in Purple cells into a text file</t>
  </si>
  <si>
    <t>Generate creates real time version of the (5) Other Properties.txt based on inputs in the Yellow tabs; Export to text file exports text in Purple cells into a text file</t>
  </si>
  <si>
    <t>Soil</t>
  </si>
  <si>
    <t>(1) To document necessary parameters and references used to run TRIM.FaTE for site-specific risk assessments</t>
  </si>
  <si>
    <t>(2) To develop inputs for the model TRIM.FaTE including the Sources txt, Volume txt, Compartments txt, Properties txt, and Other Properties txt</t>
  </si>
  <si>
    <t>Developed a 'clear all site-specific values' button to reset the builder.</t>
  </si>
  <si>
    <t>linked or looked up values</t>
  </si>
  <si>
    <r>
      <t>TRIM.FaTE parameters for simulation, meteorology, soil and groundwater, and plants (</t>
    </r>
    <r>
      <rPr>
        <b/>
        <sz val="10"/>
        <rFont val="Calibri"/>
        <family val="2"/>
        <scheme val="minor"/>
      </rPr>
      <t xml:space="preserve">calculations are highlighted in </t>
    </r>
    <r>
      <rPr>
        <b/>
        <sz val="10"/>
        <color rgb="FF99CCFF"/>
        <rFont val="Calibri"/>
        <family val="2"/>
        <scheme val="minor"/>
      </rPr>
      <t>Blue</t>
    </r>
    <r>
      <rPr>
        <b/>
        <sz val="10"/>
        <rFont val="Calibri"/>
        <family val="2"/>
        <scheme val="minor"/>
      </rPr>
      <t xml:space="preserve"> and cells to be changed based on project are highlighted in </t>
    </r>
    <r>
      <rPr>
        <b/>
        <sz val="10"/>
        <color rgb="FFFF99CC"/>
        <rFont val="Calibri"/>
        <family val="2"/>
        <scheme val="minor"/>
      </rPr>
      <t>Pink</t>
    </r>
    <r>
      <rPr>
        <sz val="10"/>
        <rFont val="Calibri"/>
        <family val="2"/>
        <scheme val="minor"/>
      </rPr>
      <t>)</t>
    </r>
  </si>
  <si>
    <r>
      <t>Layout specific vertex points and parcel names as well as chemical specific emissions (</t>
    </r>
    <r>
      <rPr>
        <b/>
        <sz val="10"/>
        <rFont val="Calibri"/>
        <family val="2"/>
        <scheme val="minor"/>
      </rPr>
      <t>changes to the layout should be done by updating vertex points and parcel names</t>
    </r>
    <r>
      <rPr>
        <sz val="10"/>
        <rFont val="Calibri"/>
        <family val="2"/>
        <scheme val="minor"/>
      </rPr>
      <t>)</t>
    </r>
  </si>
  <si>
    <t>Sediment and erosion parameters for each land parcel, USLE erosion ratess are pulled in from the 'USLECalcs' tab</t>
  </si>
  <si>
    <t xml:space="preserve">Water body specific parameters </t>
  </si>
  <si>
    <t>Fish food chains for the water body</t>
  </si>
  <si>
    <t>Parcel and compartment specific soil and groundwater properties</t>
  </si>
  <si>
    <t>Input value - default</t>
  </si>
  <si>
    <t>Updated the 'Refresh' button on the 'Watersheds' tab to shade cells pink instead of green</t>
  </si>
  <si>
    <t>FaTEmaster Scenario Builder.xlsm</t>
  </si>
  <si>
    <r>
      <t xml:space="preserve">To clear all </t>
    </r>
    <r>
      <rPr>
        <b/>
        <sz val="10"/>
        <color rgb="FFFF99CC"/>
        <rFont val="Calibri"/>
        <family val="2"/>
        <scheme val="minor"/>
      </rPr>
      <t>pink</t>
    </r>
    <r>
      <rPr>
        <b/>
        <sz val="10"/>
        <rFont val="Calibri"/>
        <family val="2"/>
        <scheme val="minor"/>
      </rPr>
      <t xml:space="preserve"> cells (site-specific values)  in this workbook, click on the button to the right.</t>
    </r>
  </si>
  <si>
    <t>From 'Land' tab and Figure 1 of Wischmeier and Smith, 1978 (units technically per year).</t>
  </si>
  <si>
    <t>Web Soil Tool (whole soil)</t>
  </si>
  <si>
    <t>Calculated using Slope Gradients and Slope Lengths from Web Soil Tool (calculation based on equation here: http://www.omafra.gov.on.ca/english/engineer/facts/12-051.htm#7)</t>
  </si>
  <si>
    <t>=R * K * LS * C * P, w/ proper unit &amp; time conversions. Calculation based on equation found here: http://www.omafra.gov.on.ca/english/engineer/facts/12-051.htm#7)</t>
  </si>
  <si>
    <t>Wischmeier and Smith, 1978 SE USA (Figure 1)</t>
  </si>
  <si>
    <t>Based on % organic matter from Web Soil Survey and equation from McKone et al. 2001.</t>
  </si>
  <si>
    <t>Made the time zone a site-specific value (shaded pink), clarified sources for 'USLECalcs' parameters, clarified citation for organic carbon fraction under 'Soil' tab.</t>
  </si>
  <si>
    <t>Built values for the C and P parameter for Deciduous vegetation type into the 'Land' tab. Also built lookup function into the C and P parameter columns of the 'USLECalcs' sheet that pull in values of C and P from the 'Land' tab based on the vegetation type of each parcel.</t>
  </si>
  <si>
    <t>LakeCadillac</t>
  </si>
  <si>
    <t>LakeMitchell</t>
  </si>
  <si>
    <t>N1</t>
  </si>
  <si>
    <t>N2</t>
  </si>
  <si>
    <t>NE1</t>
  </si>
  <si>
    <t>NE2</t>
  </si>
  <si>
    <t>NE3</t>
  </si>
  <si>
    <t>NW1</t>
  </si>
  <si>
    <t>NW2</t>
  </si>
  <si>
    <t>SE1</t>
  </si>
  <si>
    <t>SE2</t>
  </si>
  <si>
    <t>SW1</t>
  </si>
  <si>
    <t>SW2</t>
  </si>
  <si>
    <t>W1</t>
  </si>
  <si>
    <t>p29 p23 p14 p13 p12 p30</t>
  </si>
  <si>
    <t>p28 p29 p30 p31</t>
  </si>
  <si>
    <t>p33 p29 p28</t>
  </si>
  <si>
    <t>p9 p10 p11 p12 p13 p14</t>
  </si>
  <si>
    <t>p1 p2 p3 p4 p5 p6 p7 p8</t>
  </si>
  <si>
    <t>p22 p11 p10 p1 p8 p7 p18</t>
  </si>
  <si>
    <t>p26 p22 p18 p20 p25 p27</t>
  </si>
  <si>
    <t>p31 p30 p12 p11 p22 p26</t>
  </si>
  <si>
    <t>p32 p26 p27</t>
  </si>
  <si>
    <t>p28 p31 p26 p32</t>
  </si>
  <si>
    <t>p18 p7 p6 p5 p17 p19 p20</t>
  </si>
  <si>
    <t>p20 p19 p17 p24 p25</t>
  </si>
  <si>
    <t>p9 p2 p1 p10</t>
  </si>
  <si>
    <t>p23 p21 p9 p14</t>
  </si>
  <si>
    <t>p34 p21 p23 p35</t>
  </si>
  <si>
    <t>p33 p35 p23 p29</t>
  </si>
  <si>
    <t>p2 p9 p21 p15 p5 p4 p3</t>
  </si>
  <si>
    <t>p15 p21 p34 p36 p16</t>
  </si>
  <si>
    <t>p5 p15 p16 p17</t>
  </si>
  <si>
    <t>UTM Zone 16N, WGS1984 Ellipsoid</t>
  </si>
  <si>
    <t>Site-specific met, average of 2013-2017</t>
  </si>
  <si>
    <t>USGS 2012</t>
  </si>
  <si>
    <t>C:\RTR\Foundries\TRIM</t>
  </si>
  <si>
    <t>C:\RTR\Foundries\TRIM\Output</t>
  </si>
  <si>
    <t>Site-specific scenario for Int Iron Steel Foundries in Wexford County, MI</t>
  </si>
  <si>
    <t>Foundries_SS</t>
  </si>
  <si>
    <t>C:\RTR\Foundries\TRIM\ISF_met_MI_20181219.CSV</t>
  </si>
  <si>
    <t xml:space="preserve">C:\RTR\Foundries\TRIM\AllowExchange_Foundries.csv  </t>
  </si>
  <si>
    <t>C:\RTR\Foundries\TRIM\LitterFallRate_Foundries.csv</t>
  </si>
  <si>
    <t>Computed flush rate (time in yr for 1 flush)</t>
  </si>
  <si>
    <t>Taken as flush time (yr) multiplied by 365.25 days</t>
  </si>
  <si>
    <t>// LakeCadillac</t>
  </si>
  <si>
    <t>// Description: [[</t>
  </si>
  <si>
    <t>]]</t>
  </si>
  <si>
    <t xml:space="preserve">Compartment: </t>
  </si>
  <si>
    <t>MethylationRate</t>
  </si>
  <si>
    <t>{Divalent Mercury} 0.001</t>
  </si>
  <si>
    <t>See other documentation</t>
  </si>
  <si>
    <t>DemethylationRate</t>
  </si>
  <si>
    <t>{MethylMercury} 0.06</t>
  </si>
  <si>
    <t>ReductionRate</t>
  </si>
  <si>
    <t>{Divalent Mercury} 0.0000125</t>
  </si>
  <si>
    <t>{Divalent Mercury} 0.00000325</t>
  </si>
  <si>
    <t>{Divalent Mercury} 0.003</t>
  </si>
  <si>
    <t>{MethylMercury} 0.05</t>
  </si>
  <si>
    <t>{Divalent Mercury} 0.000004</t>
  </si>
  <si>
    <t>Soil - Surface in SurfSoil_E1</t>
  </si>
  <si>
    <t>Soil - Root Zone in RootSoil_E1</t>
  </si>
  <si>
    <t>Soil - Vadose Zone in VadoseSoil_E1</t>
  </si>
  <si>
    <t>Soil - Surface in SurfSoil_E2</t>
  </si>
  <si>
    <t>Soil - Root Zone in RootSoil_E2</t>
  </si>
  <si>
    <t>Soil - Vadose Zone in VadoseSoil_E2</t>
  </si>
  <si>
    <t>Soil - Surface in SurfSoil_E3</t>
  </si>
  <si>
    <t>Soil - Root Zone in RootSoil_E3</t>
  </si>
  <si>
    <t>Soil - Vadose Zone in VadoseSoil_E3</t>
  </si>
  <si>
    <t>Soil - Surface in SurfSoil_N1</t>
  </si>
  <si>
    <t>Soil - Root Zone in RootSoil_N1</t>
  </si>
  <si>
    <t>Soil - Vadose Zone in VadoseSoil_N1</t>
  </si>
  <si>
    <t>Soil - Surface in SurfSoil_N2</t>
  </si>
  <si>
    <t>Soil - Root Zone in RootSoil_N2</t>
  </si>
  <si>
    <t>Soil - Vadose Zone in VadoseSoil_N2</t>
  </si>
  <si>
    <t>Soil - Surface in SurfSoil_NE1</t>
  </si>
  <si>
    <t>Soil - Root Zone in RootSoil_NE1</t>
  </si>
  <si>
    <t>Soil - Vadose Zone in VadoseSoil_NE1</t>
  </si>
  <si>
    <t>Soil - Surface in SurfSoil_NE2</t>
  </si>
  <si>
    <t>Soil - Root Zone in RootSoil_NE2</t>
  </si>
  <si>
    <t>Soil - Vadose Zone in VadoseSoil_NE2</t>
  </si>
  <si>
    <t>Soil - Surface in SurfSoil_NE3</t>
  </si>
  <si>
    <t>Soil - Root Zone in RootSoil_NE3</t>
  </si>
  <si>
    <t>Soil - Vadose Zone in VadoseSoil_NE3</t>
  </si>
  <si>
    <t>Soil - Surface in SurfSoil_NW1</t>
  </si>
  <si>
    <t>Soil - Root Zone in RootSoil_NW1</t>
  </si>
  <si>
    <t>Soil - Vadose Zone in VadoseSoil_NW1</t>
  </si>
  <si>
    <t>Soil - Surface in SurfSoil_NW2</t>
  </si>
  <si>
    <t>Soil - Root Zone in RootSoil_NW2</t>
  </si>
  <si>
    <t>Soil - Vadose Zone in VadoseSoil_NW2</t>
  </si>
  <si>
    <t>Soil - Surface in SurfSoil_S1</t>
  </si>
  <si>
    <t>Soil - Root Zone in RootSoil_S1</t>
  </si>
  <si>
    <t>Soil - Vadose Zone in VadoseSoil_S1</t>
  </si>
  <si>
    <t>Soil - Surface in SurfSoil_S2</t>
  </si>
  <si>
    <t>Soil - Root Zone in RootSoil_S2</t>
  </si>
  <si>
    <t>Soil - Vadose Zone in VadoseSoil_S2</t>
  </si>
  <si>
    <t>Soil - Surface in SurfSoil_SE1</t>
  </si>
  <si>
    <t>Soil - Root Zone in RootSoil_SE1</t>
  </si>
  <si>
    <t>Soil - Vadose Zone in VadoseSoil_SE1</t>
  </si>
  <si>
    <t>Soil - Surface in SurfSoil_SE2</t>
  </si>
  <si>
    <t>Soil - Root Zone in RootSoil_SE2</t>
  </si>
  <si>
    <t>Soil - Vadose Zone in VadoseSoil_SE2</t>
  </si>
  <si>
    <t>Soil - Surface in SurfSoil_SW1</t>
  </si>
  <si>
    <t>Soil - Root Zone in RootSoil_SW1</t>
  </si>
  <si>
    <t>Soil - Vadose Zone in VadoseSoil_SW1</t>
  </si>
  <si>
    <t>Soil - Surface in SurfSoil_SW2</t>
  </si>
  <si>
    <t>Soil - Root Zone in RootSoil_SW2</t>
  </si>
  <si>
    <t>Soil - Vadose Zone in VadoseSoil_SW2</t>
  </si>
  <si>
    <t>Soil - Surface in SurfSoil_W1</t>
  </si>
  <si>
    <t>Soil - Root Zone in RootSoil_W1</t>
  </si>
  <si>
    <t>Soil - Vadose Zone in VadoseSoil_W1</t>
  </si>
  <si>
    <t>Edited by George</t>
  </si>
  <si>
    <t>* = Parameter directly used as TRIM.FaTE input</t>
  </si>
  <si>
    <t>~ = Parameter indirectly used (eventually affects a parameter directly used by TRIM.FaTE)</t>
  </si>
  <si>
    <t>*</t>
  </si>
  <si>
    <t>~</t>
  </si>
  <si>
    <t>Hard coded both in (literature values)</t>
  </si>
  <si>
    <t>Repeat of the hard-coded lit values from above</t>
  </si>
  <si>
    <t>Usurped the tool's usual calculation based on the inflow values above - instead, calculating discharge using lake volume and known flush rate</t>
  </si>
  <si>
    <t>For Foundries, we use this directly in the Annual Discharge calculation above</t>
  </si>
  <si>
    <t>// E3</t>
  </si>
  <si>
    <t>// E1 land use:</t>
  </si>
  <si>
    <t>Compartment: Soil Advection Sink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</si>
</sst>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0.00000"/>
    <numFmt numFmtId="165" formatCode="0.000"/>
    <numFmt numFmtId="166" formatCode="0.0"/>
    <numFmt numFmtId="167" formatCode="[$-409]d\-mmm\-yy;@"/>
    <numFmt numFmtId="168" formatCode="m/d/yyyy\ hh:mm;@"/>
    <numFmt numFmtId="169" formatCode="m/d/yyyy\ h:mm\ AM/PM;@"/>
    <numFmt numFmtId="170" formatCode="0.0000"/>
    <numFmt numFmtId="171" formatCode="_(* #,##0_);_(* \(#,##0\);_(* &quot;-&quot;??_);_(@_)"/>
  </numFmts>
  <fonts count="7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sz val="10"/>
      <name val="Arial"/>
      <family val="2"/>
    </font>
    <font>
      <u/>
      <sz val="10"/>
      <color indexed="12"/>
      <name val="Arial"/>
      <family val="2"/>
    </font>
    <font>
      <b/>
      <sz val="12"/>
      <name val="Arial"/>
      <family val="2"/>
    </font>
    <font>
      <sz val="10"/>
      <name val="Arial"/>
      <family val="2"/>
    </font>
    <font>
      <b/>
      <sz val="10"/>
      <name val="Arial"/>
      <family val="2"/>
    </font>
    <font>
      <sz val="10"/>
      <name val="Arial"/>
      <family val="2"/>
    </font>
    <font>
      <b/>
      <i/>
      <sz val="10"/>
      <name val="Arial"/>
      <family val="2"/>
    </font>
    <font>
      <sz val="10"/>
      <name val="Arial"/>
      <family val="2"/>
    </font>
    <font>
      <b/>
      <sz val="12"/>
      <name val="Arial"/>
      <family val="2"/>
    </font>
    <font>
      <b/>
      <vertAlign val="superscript"/>
      <sz val="10"/>
      <name val="Arial"/>
      <family val="2"/>
    </font>
    <font>
      <b/>
      <sz val="14"/>
      <name val="Arial"/>
      <family val="2"/>
    </font>
    <font>
      <i/>
      <sz val="11"/>
      <name val="Arial"/>
      <family val="2"/>
    </font>
    <font>
      <sz val="10"/>
      <color indexed="8"/>
      <name val="Times New Roman"/>
      <family val="2"/>
    </font>
    <font>
      <sz val="10"/>
      <color indexed="9"/>
      <name val="Times New Roman"/>
      <family val="2"/>
    </font>
    <font>
      <sz val="10"/>
      <color indexed="20"/>
      <name val="Times New Roman"/>
      <family val="2"/>
    </font>
    <font>
      <b/>
      <sz val="10"/>
      <color indexed="52"/>
      <name val="Times New Roman"/>
      <family val="2"/>
    </font>
    <font>
      <b/>
      <sz val="10"/>
      <color indexed="9"/>
      <name val="Times New Roman"/>
      <family val="2"/>
    </font>
    <font>
      <i/>
      <sz val="10"/>
      <color indexed="23"/>
      <name val="Times New Roman"/>
      <family val="2"/>
    </font>
    <font>
      <sz val="10"/>
      <color indexed="17"/>
      <name val="Times New Roman"/>
      <family val="2"/>
    </font>
    <font>
      <b/>
      <sz val="15"/>
      <color indexed="56"/>
      <name val="Times New Roman"/>
      <family val="2"/>
    </font>
    <font>
      <b/>
      <sz val="13"/>
      <color indexed="56"/>
      <name val="Times New Roman"/>
      <family val="2"/>
    </font>
    <font>
      <b/>
      <sz val="11"/>
      <color indexed="56"/>
      <name val="Times New Roman"/>
      <family val="2"/>
    </font>
    <font>
      <sz val="10"/>
      <color indexed="62"/>
      <name val="Times New Roman"/>
      <family val="2"/>
    </font>
    <font>
      <sz val="10"/>
      <color indexed="52"/>
      <name val="Times New Roman"/>
      <family val="2"/>
    </font>
    <font>
      <sz val="10"/>
      <color indexed="60"/>
      <name val="Times New Roman"/>
      <family val="2"/>
    </font>
    <font>
      <b/>
      <sz val="10"/>
      <color indexed="63"/>
      <name val="Times New Roman"/>
      <family val="2"/>
    </font>
    <font>
      <b/>
      <sz val="18"/>
      <color indexed="56"/>
      <name val="Cambria"/>
      <family val="2"/>
    </font>
    <font>
      <b/>
      <sz val="10"/>
      <color indexed="8"/>
      <name val="Times New Roman"/>
      <family val="2"/>
    </font>
    <font>
      <sz val="10"/>
      <color indexed="10"/>
      <name val="Times New Roman"/>
      <family val="2"/>
    </font>
    <font>
      <vertAlign val="superscript"/>
      <sz val="10"/>
      <name val="Arial"/>
      <family val="2"/>
    </font>
    <font>
      <vertAlign val="superscript"/>
      <sz val="8"/>
      <name val="Arial"/>
      <family val="2"/>
    </font>
    <font>
      <sz val="9"/>
      <name val="Arial"/>
      <family val="2"/>
    </font>
    <font>
      <vertAlign val="superscript"/>
      <sz val="9"/>
      <name val="Arial"/>
      <family val="2"/>
    </font>
    <font>
      <b/>
      <sz val="11"/>
      <name val="Arial"/>
      <family val="2"/>
    </font>
    <font>
      <sz val="8"/>
      <color indexed="81"/>
      <name val="Tahoma"/>
      <family val="2"/>
    </font>
    <font>
      <b/>
      <sz val="10"/>
      <color rgb="FFFF0000"/>
      <name val="Arial"/>
      <family val="2"/>
    </font>
    <font>
      <b/>
      <sz val="8"/>
      <color indexed="81"/>
      <name val="Tahoma"/>
      <family val="2"/>
    </font>
    <font>
      <b/>
      <sz val="18"/>
      <color rgb="FFFFFF99"/>
      <name val="Calibri"/>
      <family val="2"/>
      <scheme val="minor"/>
    </font>
    <font>
      <sz val="10"/>
      <name val="Calibri"/>
      <family val="2"/>
      <scheme val="minor"/>
    </font>
    <font>
      <sz val="10"/>
      <color rgb="FFFFFF99"/>
      <name val="Calibri"/>
      <family val="2"/>
      <scheme val="minor"/>
    </font>
    <font>
      <b/>
      <sz val="10"/>
      <name val="Calibri"/>
      <family val="2"/>
      <scheme val="minor"/>
    </font>
    <font>
      <b/>
      <sz val="10"/>
      <color rgb="FF000000"/>
      <name val="Arial"/>
      <family val="2"/>
    </font>
    <font>
      <sz val="10"/>
      <color rgb="FF000000"/>
      <name val="Arial"/>
      <family val="2"/>
    </font>
    <font>
      <sz val="10"/>
      <color theme="1"/>
      <name val="Arial"/>
      <family val="2"/>
    </font>
    <font>
      <b/>
      <sz val="10"/>
      <color theme="1"/>
      <name val="Arial"/>
      <family val="2"/>
    </font>
    <font>
      <u/>
      <sz val="11"/>
      <color theme="10"/>
      <name val="Calibri"/>
      <family val="2"/>
      <scheme val="minor"/>
    </font>
    <font>
      <sz val="11"/>
      <color theme="1"/>
      <name val="Arial"/>
      <family val="2"/>
    </font>
    <font>
      <sz val="11"/>
      <name val="Arial"/>
      <family val="2"/>
    </font>
    <font>
      <sz val="10"/>
      <name val="Arial"/>
      <family val="2"/>
    </font>
    <font>
      <sz val="10"/>
      <name val="Arial"/>
      <family val="2"/>
    </font>
    <font>
      <sz val="11"/>
      <color rgb="FF000000"/>
      <name val="Calibri"/>
      <family val="2"/>
      <scheme val="minor"/>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sz val="10"/>
      <color rgb="FF99CCFF"/>
      <name val="Calibri"/>
      <family val="2"/>
      <scheme val="minor"/>
    </font>
    <font>
      <sz val="10"/>
      <color rgb="FF000000"/>
      <name val="Calibri"/>
      <family val="2"/>
    </font>
    <font>
      <b/>
      <sz val="10"/>
      <color rgb="FFFF99CC"/>
      <name val="Calibri"/>
      <family val="2"/>
      <scheme val="minor"/>
    </font>
    <font>
      <b/>
      <sz val="20"/>
      <name val="Arial"/>
      <family val="2"/>
    </font>
  </fonts>
  <fills count="74">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22"/>
        <bgColor indexed="64"/>
      </patternFill>
    </fill>
    <fill>
      <patternFill patternType="solid">
        <fgColor indexed="44"/>
        <bgColor indexed="64"/>
      </patternFill>
    </fill>
    <fill>
      <patternFill patternType="solid">
        <fgColor indexed="42"/>
        <bgColor indexed="64"/>
      </patternFill>
    </fill>
    <fill>
      <patternFill patternType="solid">
        <fgColor indexed="46"/>
        <bgColor indexed="64"/>
      </patternFill>
    </fill>
    <fill>
      <patternFill patternType="solid">
        <fgColor indexed="17"/>
        <bgColor indexed="64"/>
      </patternFill>
    </fill>
    <fill>
      <patternFill patternType="solid">
        <fgColor indexed="1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8000"/>
        <bgColor indexed="64"/>
      </patternFill>
    </fill>
    <fill>
      <patternFill patternType="solid">
        <fgColor rgb="FFCC99FF"/>
        <bgColor indexed="64"/>
      </patternFill>
    </fill>
    <fill>
      <patternFill patternType="solid">
        <fgColor rgb="FFC0C0C0"/>
        <bgColor indexed="64"/>
      </patternFill>
    </fill>
    <fill>
      <patternFill patternType="solid">
        <fgColor theme="3"/>
        <bgColor indexed="64"/>
      </patternFill>
    </fill>
    <fill>
      <patternFill patternType="solid">
        <fgColor rgb="FFFFFF99"/>
        <bgColor indexed="64"/>
      </patternFill>
    </fill>
    <fill>
      <patternFill patternType="solid">
        <fgColor rgb="FFFF99CC"/>
        <bgColor indexed="64"/>
      </patternFill>
    </fill>
    <fill>
      <patternFill patternType="solid">
        <fgColor theme="0" tint="-0.149998474074526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bgColor indexed="64"/>
      </patternFill>
    </fill>
    <fill>
      <patternFill patternType="solid">
        <fgColor rgb="FFFFFF00"/>
        <bgColor indexed="64"/>
      </patternFill>
    </fill>
  </fills>
  <borders count="6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bottom style="medium">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style="thin">
        <color indexed="64"/>
      </right>
      <top style="medium">
        <color indexed="64"/>
      </top>
      <bottom style="thin">
        <color indexed="64"/>
      </bottom>
      <diagonal/>
    </border>
    <border>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thin">
        <color indexed="64"/>
      </top>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bottom/>
      <diagonal/>
    </border>
  </borders>
  <cellStyleXfs count="92">
    <xf numFmtId="0" fontId="0" fillId="0" borderId="0"/>
    <xf numFmtId="0" fontId="19" fillId="2" borderId="0" applyNumberFormat="0" applyBorder="0" applyAlignment="0" applyProtection="0"/>
    <xf numFmtId="0" fontId="19" fillId="3" borderId="0" applyNumberFormat="0" applyBorder="0" applyAlignment="0" applyProtection="0"/>
    <xf numFmtId="0" fontId="19" fillId="4" borderId="0" applyNumberFormat="0" applyBorder="0" applyAlignment="0" applyProtection="0"/>
    <xf numFmtId="0" fontId="19" fillId="5" borderId="0" applyNumberFormat="0" applyBorder="0" applyAlignment="0" applyProtection="0"/>
    <xf numFmtId="0" fontId="19" fillId="6" borderId="0" applyNumberFormat="0" applyBorder="0" applyAlignment="0" applyProtection="0"/>
    <xf numFmtId="0" fontId="19" fillId="7" borderId="0" applyNumberFormat="0" applyBorder="0" applyAlignment="0" applyProtection="0"/>
    <xf numFmtId="0" fontId="19" fillId="8" borderId="0" applyNumberFormat="0" applyBorder="0" applyAlignment="0" applyProtection="0"/>
    <xf numFmtId="0" fontId="19" fillId="9" borderId="0" applyNumberFormat="0" applyBorder="0" applyAlignment="0" applyProtection="0"/>
    <xf numFmtId="0" fontId="19" fillId="10" borderId="0" applyNumberFormat="0" applyBorder="0" applyAlignment="0" applyProtection="0"/>
    <xf numFmtId="0" fontId="19" fillId="5" borderId="0" applyNumberFormat="0" applyBorder="0" applyAlignment="0" applyProtection="0"/>
    <xf numFmtId="0" fontId="19" fillId="8" borderId="0" applyNumberFormat="0" applyBorder="0" applyAlignment="0" applyProtection="0"/>
    <xf numFmtId="0" fontId="19" fillId="11" borderId="0" applyNumberFormat="0" applyBorder="0" applyAlignment="0" applyProtection="0"/>
    <xf numFmtId="0" fontId="20" fillId="12" borderId="0" applyNumberFormat="0" applyBorder="0" applyAlignment="0" applyProtection="0"/>
    <xf numFmtId="0" fontId="20" fillId="9" borderId="0" applyNumberFormat="0" applyBorder="0" applyAlignment="0" applyProtection="0"/>
    <xf numFmtId="0" fontId="20" fillId="10" borderId="0" applyNumberFormat="0" applyBorder="0" applyAlignment="0" applyProtection="0"/>
    <xf numFmtId="0" fontId="20" fillId="13" borderId="0" applyNumberFormat="0" applyBorder="0" applyAlignment="0" applyProtection="0"/>
    <xf numFmtId="0" fontId="20" fillId="14" borderId="0" applyNumberFormat="0" applyBorder="0" applyAlignment="0" applyProtection="0"/>
    <xf numFmtId="0" fontId="20" fillId="15" borderId="0" applyNumberFormat="0" applyBorder="0" applyAlignment="0" applyProtection="0"/>
    <xf numFmtId="0" fontId="20" fillId="16" borderId="0" applyNumberFormat="0" applyBorder="0" applyAlignment="0" applyProtection="0"/>
    <xf numFmtId="0" fontId="20" fillId="17" borderId="0" applyNumberFormat="0" applyBorder="0" applyAlignment="0" applyProtection="0"/>
    <xf numFmtId="0" fontId="20" fillId="18" borderId="0" applyNumberFormat="0" applyBorder="0" applyAlignment="0" applyProtection="0"/>
    <xf numFmtId="0" fontId="20" fillId="13" borderId="0" applyNumberFormat="0" applyBorder="0" applyAlignment="0" applyProtection="0"/>
    <xf numFmtId="0" fontId="20" fillId="14" borderId="0" applyNumberFormat="0" applyBorder="0" applyAlignment="0" applyProtection="0"/>
    <xf numFmtId="0" fontId="20" fillId="19" borderId="0" applyNumberFormat="0" applyBorder="0" applyAlignment="0" applyProtection="0"/>
    <xf numFmtId="0" fontId="21" fillId="3" borderId="0" applyNumberFormat="0" applyBorder="0" applyAlignment="0" applyProtection="0"/>
    <xf numFmtId="0" fontId="22" fillId="20" borderId="1" applyNumberFormat="0" applyAlignment="0" applyProtection="0"/>
    <xf numFmtId="0" fontId="23" fillId="21" borderId="2" applyNumberFormat="0" applyAlignment="0" applyProtection="0"/>
    <xf numFmtId="0" fontId="24" fillId="0" borderId="0" applyNumberFormat="0" applyFill="0" applyBorder="0" applyAlignment="0" applyProtection="0"/>
    <xf numFmtId="0" fontId="25" fillId="4" borderId="0" applyNumberFormat="0" applyBorder="0" applyAlignment="0" applyProtection="0"/>
    <xf numFmtId="0" fontId="26" fillId="0" borderId="3" applyNumberFormat="0" applyFill="0" applyAlignment="0" applyProtection="0"/>
    <xf numFmtId="0" fontId="27" fillId="0" borderId="4" applyNumberFormat="0" applyFill="0" applyAlignment="0" applyProtection="0"/>
    <xf numFmtId="0" fontId="28" fillId="0" borderId="5" applyNumberFormat="0" applyFill="0" applyAlignment="0" applyProtection="0"/>
    <xf numFmtId="0" fontId="28" fillId="0" borderId="0" applyNumberFormat="0" applyFill="0" applyBorder="0" applyAlignment="0" applyProtection="0"/>
    <xf numFmtId="0" fontId="8" fillId="0" borderId="0" applyNumberFormat="0" applyFill="0" applyBorder="0" applyAlignment="0" applyProtection="0">
      <alignment vertical="top"/>
      <protection locked="0"/>
    </xf>
    <xf numFmtId="0" fontId="29" fillId="7" borderId="1" applyNumberFormat="0" applyAlignment="0" applyProtection="0"/>
    <xf numFmtId="0" fontId="30" fillId="0" borderId="6" applyNumberFormat="0" applyFill="0" applyAlignment="0" applyProtection="0"/>
    <xf numFmtId="0" fontId="31" fillId="22" borderId="0" applyNumberFormat="0" applyBorder="0" applyAlignment="0" applyProtection="0"/>
    <xf numFmtId="0" fontId="4" fillId="23" borderId="7" applyNumberFormat="0" applyFont="0" applyAlignment="0" applyProtection="0"/>
    <xf numFmtId="0" fontId="32" fillId="20" borderId="8" applyNumberFormat="0" applyAlignment="0" applyProtection="0"/>
    <xf numFmtId="0" fontId="33" fillId="0" borderId="0" applyNumberFormat="0" applyFill="0" applyBorder="0" applyAlignment="0" applyProtection="0"/>
    <xf numFmtId="0" fontId="34" fillId="0" borderId="9" applyNumberFormat="0" applyFill="0" applyAlignment="0" applyProtection="0"/>
    <xf numFmtId="0" fontId="35" fillId="0" borderId="0" applyNumberFormat="0" applyFill="0" applyBorder="0" applyAlignment="0" applyProtection="0"/>
    <xf numFmtId="0" fontId="4" fillId="0" borderId="0"/>
    <xf numFmtId="0" fontId="3" fillId="0" borderId="0"/>
    <xf numFmtId="0" fontId="4" fillId="0" borderId="0"/>
    <xf numFmtId="0" fontId="52" fillId="0" borderId="0" applyNumberFormat="0" applyFill="0" applyBorder="0" applyAlignment="0" applyProtection="0"/>
    <xf numFmtId="43" fontId="55" fillId="0" borderId="0" applyFont="0" applyFill="0" applyBorder="0" applyAlignment="0" applyProtection="0"/>
    <xf numFmtId="9" fontId="56" fillId="0" borderId="0" applyFont="0" applyFill="0" applyBorder="0" applyAlignment="0" applyProtection="0"/>
    <xf numFmtId="0" fontId="2" fillId="0" borderId="0"/>
    <xf numFmtId="0" fontId="1" fillId="0" borderId="0"/>
    <xf numFmtId="0" fontId="58" fillId="0" borderId="0" applyNumberFormat="0" applyFill="0" applyBorder="0" applyAlignment="0" applyProtection="0"/>
    <xf numFmtId="0" fontId="59" fillId="0" borderId="59" applyNumberFormat="0" applyFill="0" applyAlignment="0" applyProtection="0"/>
    <xf numFmtId="0" fontId="60" fillId="0" borderId="60" applyNumberFormat="0" applyFill="0" applyAlignment="0" applyProtection="0"/>
    <xf numFmtId="0" fontId="61" fillId="0" borderId="61" applyNumberFormat="0" applyFill="0" applyAlignment="0" applyProtection="0"/>
    <xf numFmtId="0" fontId="61" fillId="0" borderId="0" applyNumberFormat="0" applyFill="0" applyBorder="0" applyAlignment="0" applyProtection="0"/>
    <xf numFmtId="0" fontId="62" fillId="41" borderId="0" applyNumberFormat="0" applyBorder="0" applyAlignment="0" applyProtection="0"/>
    <xf numFmtId="0" fontId="63" fillId="42" borderId="0" applyNumberFormat="0" applyBorder="0" applyAlignment="0" applyProtection="0"/>
    <xf numFmtId="0" fontId="64" fillId="43" borderId="0" applyNumberFormat="0" applyBorder="0" applyAlignment="0" applyProtection="0"/>
    <xf numFmtId="0" fontId="65" fillId="44" borderId="62" applyNumberFormat="0" applyAlignment="0" applyProtection="0"/>
    <xf numFmtId="0" fontId="66" fillId="45" borderId="63" applyNumberFormat="0" applyAlignment="0" applyProtection="0"/>
    <xf numFmtId="0" fontId="67" fillId="45" borderId="62" applyNumberFormat="0" applyAlignment="0" applyProtection="0"/>
    <xf numFmtId="0" fontId="68" fillId="0" borderId="64" applyNumberFormat="0" applyFill="0" applyAlignment="0" applyProtection="0"/>
    <xf numFmtId="0" fontId="69" fillId="46" borderId="65" applyNumberFormat="0" applyAlignment="0" applyProtection="0"/>
    <xf numFmtId="0" fontId="70" fillId="0" borderId="0" applyNumberFormat="0" applyFill="0" applyBorder="0" applyAlignment="0" applyProtection="0"/>
    <xf numFmtId="0" fontId="1" fillId="47" borderId="66" applyNumberFormat="0" applyFont="0" applyAlignment="0" applyProtection="0"/>
    <xf numFmtId="0" fontId="71" fillId="0" borderId="0" applyNumberFormat="0" applyFill="0" applyBorder="0" applyAlignment="0" applyProtection="0"/>
    <xf numFmtId="0" fontId="72" fillId="0" borderId="67" applyNumberFormat="0" applyFill="0" applyAlignment="0" applyProtection="0"/>
    <xf numFmtId="0" fontId="73" fillId="48" borderId="0" applyNumberFormat="0" applyBorder="0" applyAlignment="0" applyProtection="0"/>
    <xf numFmtId="0" fontId="1" fillId="49" borderId="0" applyNumberFormat="0" applyBorder="0" applyAlignment="0" applyProtection="0"/>
    <xf numFmtId="0" fontId="1" fillId="50" borderId="0" applyNumberFormat="0" applyBorder="0" applyAlignment="0" applyProtection="0"/>
    <xf numFmtId="0" fontId="73" fillId="51" borderId="0" applyNumberFormat="0" applyBorder="0" applyAlignment="0" applyProtection="0"/>
    <xf numFmtId="0" fontId="73" fillId="52" borderId="0" applyNumberFormat="0" applyBorder="0" applyAlignment="0" applyProtection="0"/>
    <xf numFmtId="0" fontId="1" fillId="53" borderId="0" applyNumberFormat="0" applyBorder="0" applyAlignment="0" applyProtection="0"/>
    <xf numFmtId="0" fontId="1" fillId="54" borderId="0" applyNumberFormat="0" applyBorder="0" applyAlignment="0" applyProtection="0"/>
    <xf numFmtId="0" fontId="73" fillId="55" borderId="0" applyNumberFormat="0" applyBorder="0" applyAlignment="0" applyProtection="0"/>
    <xf numFmtId="0" fontId="73" fillId="56" borderId="0" applyNumberFormat="0" applyBorder="0" applyAlignment="0" applyProtection="0"/>
    <xf numFmtId="0" fontId="1" fillId="57" borderId="0" applyNumberFormat="0" applyBorder="0" applyAlignment="0" applyProtection="0"/>
    <xf numFmtId="0" fontId="1" fillId="58" borderId="0" applyNumberFormat="0" applyBorder="0" applyAlignment="0" applyProtection="0"/>
    <xf numFmtId="0" fontId="73" fillId="59" borderId="0" applyNumberFormat="0" applyBorder="0" applyAlignment="0" applyProtection="0"/>
    <xf numFmtId="0" fontId="73" fillId="60" borderId="0" applyNumberFormat="0" applyBorder="0" applyAlignment="0" applyProtection="0"/>
    <xf numFmtId="0" fontId="1" fillId="61" borderId="0" applyNumberFormat="0" applyBorder="0" applyAlignment="0" applyProtection="0"/>
    <xf numFmtId="0" fontId="1" fillId="62" borderId="0" applyNumberFormat="0" applyBorder="0" applyAlignment="0" applyProtection="0"/>
    <xf numFmtId="0" fontId="73" fillId="63" borderId="0" applyNumberFormat="0" applyBorder="0" applyAlignment="0" applyProtection="0"/>
    <xf numFmtId="0" fontId="73" fillId="64" borderId="0" applyNumberFormat="0" applyBorder="0" applyAlignment="0" applyProtection="0"/>
    <xf numFmtId="0" fontId="1" fillId="65" borderId="0" applyNumberFormat="0" applyBorder="0" applyAlignment="0" applyProtection="0"/>
    <xf numFmtId="0" fontId="1" fillId="66" borderId="0" applyNumberFormat="0" applyBorder="0" applyAlignment="0" applyProtection="0"/>
    <xf numFmtId="0" fontId="73" fillId="67" borderId="0" applyNumberFormat="0" applyBorder="0" applyAlignment="0" applyProtection="0"/>
    <xf numFmtId="0" fontId="73" fillId="68" borderId="0" applyNumberFormat="0" applyBorder="0" applyAlignment="0" applyProtection="0"/>
    <xf numFmtId="0" fontId="1" fillId="69" borderId="0" applyNumberFormat="0" applyBorder="0" applyAlignment="0" applyProtection="0"/>
    <xf numFmtId="0" fontId="1" fillId="70" borderId="0" applyNumberFormat="0" applyBorder="0" applyAlignment="0" applyProtection="0"/>
    <xf numFmtId="0" fontId="73" fillId="71" borderId="0" applyNumberFormat="0" applyBorder="0" applyAlignment="0" applyProtection="0"/>
  </cellStyleXfs>
  <cellXfs count="636">
    <xf numFmtId="0" fontId="0" fillId="0" borderId="0" xfId="0"/>
    <xf numFmtId="0" fontId="0" fillId="24" borderId="0" xfId="0" applyFill="1"/>
    <xf numFmtId="0" fontId="0" fillId="24" borderId="10" xfId="0" applyFill="1" applyBorder="1"/>
    <xf numFmtId="0" fontId="4" fillId="24" borderId="0" xfId="0" applyFont="1" applyFill="1"/>
    <xf numFmtId="0" fontId="9" fillId="24" borderId="0" xfId="0" applyFont="1" applyFill="1"/>
    <xf numFmtId="0" fontId="10" fillId="24" borderId="0" xfId="0" applyFont="1" applyFill="1"/>
    <xf numFmtId="0" fontId="11" fillId="25" borderId="10" xfId="0" applyFont="1" applyFill="1" applyBorder="1"/>
    <xf numFmtId="0" fontId="12" fillId="24" borderId="0" xfId="0" applyFont="1" applyFill="1"/>
    <xf numFmtId="0" fontId="14" fillId="24" borderId="0" xfId="0" applyFont="1" applyFill="1"/>
    <xf numFmtId="0" fontId="14" fillId="24" borderId="10" xfId="0" applyFont="1" applyFill="1" applyBorder="1"/>
    <xf numFmtId="164" fontId="11" fillId="24" borderId="0" xfId="0" applyNumberFormat="1" applyFont="1" applyFill="1" applyBorder="1"/>
    <xf numFmtId="0" fontId="4" fillId="24" borderId="10" xfId="0" applyFont="1" applyFill="1" applyBorder="1"/>
    <xf numFmtId="0" fontId="6" fillId="25" borderId="10" xfId="0" applyFont="1" applyFill="1" applyBorder="1" applyAlignment="1">
      <alignment horizontal="center" vertical="center" wrapText="1"/>
    </xf>
    <xf numFmtId="0" fontId="6" fillId="25" borderId="10" xfId="0" applyFont="1" applyFill="1" applyBorder="1"/>
    <xf numFmtId="0" fontId="6" fillId="24" borderId="0" xfId="0" applyFont="1" applyFill="1"/>
    <xf numFmtId="0" fontId="0" fillId="24" borderId="10" xfId="0" applyFill="1" applyBorder="1" applyAlignment="1">
      <alignment horizontal="right"/>
    </xf>
    <xf numFmtId="0" fontId="0" fillId="24" borderId="0" xfId="0" applyFill="1" applyBorder="1"/>
    <xf numFmtId="0" fontId="15" fillId="24" borderId="0" xfId="0" applyFont="1" applyFill="1"/>
    <xf numFmtId="0" fontId="0" fillId="27" borderId="10" xfId="0" applyFill="1" applyBorder="1" applyAlignment="1">
      <alignment horizontal="center" vertical="center" wrapText="1"/>
    </xf>
    <xf numFmtId="0" fontId="0" fillId="24" borderId="10" xfId="0" applyFill="1" applyBorder="1" applyAlignment="1">
      <alignment horizontal="left" vertical="center" wrapText="1"/>
    </xf>
    <xf numFmtId="2" fontId="6" fillId="25" borderId="10" xfId="0" applyNumberFormat="1" applyFont="1" applyFill="1" applyBorder="1" applyAlignment="1">
      <alignment horizontal="center" vertical="center" wrapText="1"/>
    </xf>
    <xf numFmtId="0" fontId="14" fillId="27" borderId="10" xfId="0" applyFont="1" applyFill="1" applyBorder="1"/>
    <xf numFmtId="0" fontId="6" fillId="24" borderId="10" xfId="0" applyFont="1" applyFill="1" applyBorder="1" applyAlignment="1">
      <alignment vertical="center" wrapText="1"/>
    </xf>
    <xf numFmtId="0" fontId="7" fillId="24" borderId="10" xfId="0" applyFont="1" applyFill="1" applyBorder="1" applyAlignment="1">
      <alignment vertical="center" wrapText="1"/>
    </xf>
    <xf numFmtId="11" fontId="7" fillId="27" borderId="10" xfId="0" applyNumberFormat="1" applyFont="1" applyFill="1" applyBorder="1" applyAlignment="1">
      <alignment horizontal="center" vertical="center" wrapText="1"/>
    </xf>
    <xf numFmtId="0" fontId="6" fillId="25" borderId="16" xfId="0" applyFont="1" applyFill="1" applyBorder="1" applyAlignment="1">
      <alignment horizontal="center" vertical="center"/>
    </xf>
    <xf numFmtId="0" fontId="0" fillId="26" borderId="0" xfId="0" applyFill="1"/>
    <xf numFmtId="0" fontId="0" fillId="26" borderId="17" xfId="0" applyFill="1" applyBorder="1"/>
    <xf numFmtId="0" fontId="17" fillId="26" borderId="0" xfId="0" applyFont="1" applyFill="1"/>
    <xf numFmtId="0" fontId="0" fillId="24" borderId="10" xfId="0" applyFill="1" applyBorder="1" applyAlignment="1">
      <alignment vertical="center" wrapText="1"/>
    </xf>
    <xf numFmtId="0" fontId="18" fillId="26" borderId="0" xfId="0" applyFont="1" applyFill="1" applyAlignment="1">
      <alignment horizontal="right"/>
    </xf>
    <xf numFmtId="0" fontId="7" fillId="0" borderId="10" xfId="0" applyFont="1" applyFill="1" applyBorder="1" applyAlignment="1">
      <alignment horizontal="center" vertical="center" wrapText="1"/>
    </xf>
    <xf numFmtId="0" fontId="7" fillId="0" borderId="10" xfId="0" applyFont="1" applyBorder="1" applyAlignment="1">
      <alignment horizontal="center" vertical="center" wrapText="1"/>
    </xf>
    <xf numFmtId="0" fontId="0" fillId="0" borderId="10" xfId="0" applyFill="1" applyBorder="1" applyAlignment="1">
      <alignment vertical="center" wrapText="1"/>
    </xf>
    <xf numFmtId="0" fontId="0" fillId="0" borderId="10" xfId="0" applyFill="1" applyBorder="1" applyAlignment="1">
      <alignment horizontal="center" vertical="center" wrapText="1"/>
    </xf>
    <xf numFmtId="0" fontId="4" fillId="0" borderId="10" xfId="0" applyFont="1" applyFill="1" applyBorder="1" applyAlignment="1">
      <alignment vertical="center" wrapText="1"/>
    </xf>
    <xf numFmtId="0" fontId="4" fillId="0" borderId="10" xfId="0" applyFont="1" applyFill="1" applyBorder="1" applyAlignment="1">
      <alignment horizontal="center" vertical="center" wrapText="1"/>
    </xf>
    <xf numFmtId="0" fontId="7" fillId="0" borderId="10" xfId="0" applyFont="1" applyFill="1" applyBorder="1" applyAlignment="1">
      <alignment vertical="center" wrapText="1"/>
    </xf>
    <xf numFmtId="0" fontId="7" fillId="0" borderId="15" xfId="0" applyFont="1" applyFill="1" applyBorder="1" applyAlignment="1">
      <alignment horizontal="center" vertical="center" wrapText="1"/>
    </xf>
    <xf numFmtId="0" fontId="7" fillId="0" borderId="15" xfId="0" applyFont="1" applyFill="1" applyBorder="1" applyAlignment="1">
      <alignment vertical="center" wrapText="1"/>
    </xf>
    <xf numFmtId="0" fontId="7" fillId="0" borderId="14" xfId="0" applyFont="1" applyFill="1" applyBorder="1" applyAlignment="1">
      <alignment horizontal="center" vertical="center" wrapText="1"/>
    </xf>
    <xf numFmtId="0" fontId="7" fillId="0" borderId="18" xfId="0" applyFont="1" applyFill="1" applyBorder="1" applyAlignment="1">
      <alignment vertical="center" wrapText="1"/>
    </xf>
    <xf numFmtId="0" fontId="7" fillId="0" borderId="10" xfId="0" applyFont="1" applyBorder="1" applyAlignment="1">
      <alignment vertical="center" wrapText="1"/>
    </xf>
    <xf numFmtId="0" fontId="7" fillId="0" borderId="10" xfId="0" applyFont="1" applyFill="1" applyBorder="1" applyAlignment="1">
      <alignment horizontal="left" vertical="center" wrapText="1"/>
    </xf>
    <xf numFmtId="0" fontId="0" fillId="24" borderId="0" xfId="0" applyFill="1" applyAlignment="1">
      <alignment vertical="center" wrapText="1"/>
    </xf>
    <xf numFmtId="0" fontId="0" fillId="24" borderId="0" xfId="0" applyFill="1" applyAlignment="1">
      <alignment vertical="center"/>
    </xf>
    <xf numFmtId="0" fontId="0" fillId="24" borderId="10" xfId="0" applyFill="1" applyBorder="1" applyAlignment="1">
      <alignment horizontal="left" vertical="center"/>
    </xf>
    <xf numFmtId="0" fontId="7" fillId="27" borderId="10" xfId="0" applyFont="1" applyFill="1" applyBorder="1" applyAlignment="1">
      <alignment horizontal="center" vertical="center"/>
    </xf>
    <xf numFmtId="11" fontId="0" fillId="24" borderId="10" xfId="0" applyNumberFormat="1" applyFill="1" applyBorder="1" applyAlignment="1">
      <alignment horizontal="left"/>
    </xf>
    <xf numFmtId="0" fontId="14" fillId="24" borderId="10" xfId="0" applyFont="1" applyFill="1" applyBorder="1" applyAlignment="1">
      <alignment horizontal="left"/>
    </xf>
    <xf numFmtId="0" fontId="0" fillId="0" borderId="10" xfId="0" applyFill="1" applyBorder="1" applyAlignment="1">
      <alignment horizontal="left" vertical="center" wrapText="1"/>
    </xf>
    <xf numFmtId="3" fontId="0" fillId="24" borderId="0" xfId="0" applyNumberFormat="1" applyFill="1"/>
    <xf numFmtId="167" fontId="18" fillId="26" borderId="0" xfId="0" applyNumberFormat="1" applyFont="1" applyFill="1"/>
    <xf numFmtId="0" fontId="6" fillId="24" borderId="22" xfId="0" applyFont="1" applyFill="1" applyBorder="1" applyAlignment="1">
      <alignment horizontal="center" vertical="center" wrapText="1"/>
    </xf>
    <xf numFmtId="0" fontId="8" fillId="24" borderId="0" xfId="34" applyFill="1" applyAlignment="1" applyProtection="1"/>
    <xf numFmtId="0" fontId="0" fillId="27" borderId="10" xfId="0" applyFill="1" applyBorder="1"/>
    <xf numFmtId="0" fontId="6" fillId="24" borderId="0" xfId="0" applyFont="1" applyFill="1" applyBorder="1" applyAlignment="1">
      <alignment vertical="center" wrapText="1"/>
    </xf>
    <xf numFmtId="0" fontId="0" fillId="24" borderId="23" xfId="0" applyFill="1" applyBorder="1"/>
    <xf numFmtId="0" fontId="0" fillId="24" borderId="24" xfId="0" applyFill="1" applyBorder="1"/>
    <xf numFmtId="0" fontId="0" fillId="29" borderId="0" xfId="0" applyFill="1" applyBorder="1"/>
    <xf numFmtId="0" fontId="0" fillId="29" borderId="0" xfId="0" applyFill="1" applyBorder="1" applyAlignment="1">
      <alignment vertical="center" wrapText="1"/>
    </xf>
    <xf numFmtId="0" fontId="6" fillId="24" borderId="29" xfId="0" applyFont="1" applyFill="1" applyBorder="1" applyAlignment="1">
      <alignment horizontal="center" vertical="center" wrapText="1"/>
    </xf>
    <xf numFmtId="0" fontId="0" fillId="29" borderId="30" xfId="0" applyFill="1" applyBorder="1"/>
    <xf numFmtId="0" fontId="6" fillId="27" borderId="10" xfId="0" applyFont="1" applyFill="1" applyBorder="1" applyAlignment="1">
      <alignment horizontal="center" vertical="center" wrapText="1"/>
    </xf>
    <xf numFmtId="0" fontId="6" fillId="26" borderId="10" xfId="0" applyFont="1" applyFill="1" applyBorder="1" applyAlignment="1">
      <alignment horizontal="center" vertical="center" wrapText="1"/>
    </xf>
    <xf numFmtId="0" fontId="0" fillId="28" borderId="23" xfId="0" applyFill="1" applyBorder="1"/>
    <xf numFmtId="0" fontId="0" fillId="28" borderId="0" xfId="0" applyFill="1" applyBorder="1"/>
    <xf numFmtId="0" fontId="0" fillId="28" borderId="24" xfId="0" applyFill="1" applyBorder="1"/>
    <xf numFmtId="0" fontId="0" fillId="28" borderId="25" xfId="0" applyFill="1" applyBorder="1"/>
    <xf numFmtId="0" fontId="0" fillId="28" borderId="17" xfId="0" applyFill="1" applyBorder="1"/>
    <xf numFmtId="0" fontId="0" fillId="28" borderId="26" xfId="0" applyFill="1" applyBorder="1"/>
    <xf numFmtId="0" fontId="40" fillId="24" borderId="0" xfId="0" applyFont="1" applyFill="1" applyAlignment="1">
      <alignment horizontal="right"/>
    </xf>
    <xf numFmtId="0" fontId="0" fillId="27" borderId="16" xfId="0" applyFill="1" applyBorder="1"/>
    <xf numFmtId="0" fontId="0" fillId="27" borderId="12" xfId="0" applyFill="1" applyBorder="1"/>
    <xf numFmtId="0" fontId="0" fillId="27" borderId="11" xfId="0" applyFill="1" applyBorder="1"/>
    <xf numFmtId="0" fontId="0" fillId="26" borderId="16" xfId="0" applyFill="1" applyBorder="1"/>
    <xf numFmtId="0" fontId="0" fillId="26" borderId="12" xfId="0" applyFill="1" applyBorder="1"/>
    <xf numFmtId="0" fontId="0" fillId="26" borderId="11" xfId="0" applyFill="1" applyBorder="1"/>
    <xf numFmtId="0" fontId="0" fillId="24" borderId="0" xfId="0" applyFill="1" applyAlignment="1"/>
    <xf numFmtId="0" fontId="6" fillId="25" borderId="10" xfId="0" applyFont="1" applyFill="1" applyBorder="1" applyAlignment="1">
      <alignment horizontal="center" vertical="center" wrapText="1"/>
    </xf>
    <xf numFmtId="0" fontId="7" fillId="27" borderId="10" xfId="0" applyFont="1" applyFill="1" applyBorder="1" applyAlignment="1">
      <alignment horizontal="center" vertical="center" wrapText="1"/>
    </xf>
    <xf numFmtId="166" fontId="0" fillId="27" borderId="10" xfId="0" applyNumberFormat="1" applyFill="1" applyBorder="1" applyAlignment="1">
      <alignment horizontal="center" vertical="center" wrapText="1"/>
    </xf>
    <xf numFmtId="0" fontId="4" fillId="27" borderId="10" xfId="0" applyFont="1" applyFill="1" applyBorder="1" applyAlignment="1">
      <alignment horizontal="center" vertical="center" wrapText="1"/>
    </xf>
    <xf numFmtId="0" fontId="4" fillId="27" borderId="10" xfId="0" quotePrefix="1" applyFont="1" applyFill="1" applyBorder="1" applyAlignment="1">
      <alignment horizontal="center" vertical="center" wrapText="1"/>
    </xf>
    <xf numFmtId="3" fontId="7" fillId="27" borderId="10" xfId="0" applyNumberFormat="1" applyFont="1" applyFill="1" applyBorder="1" applyAlignment="1">
      <alignment horizontal="center" vertical="center" wrapText="1"/>
    </xf>
    <xf numFmtId="0" fontId="7" fillId="27" borderId="15" xfId="0" applyFont="1" applyFill="1" applyBorder="1" applyAlignment="1">
      <alignment horizontal="center" vertical="center"/>
    </xf>
    <xf numFmtId="2" fontId="7" fillId="27" borderId="10" xfId="0" applyNumberFormat="1" applyFont="1" applyFill="1" applyBorder="1" applyAlignment="1">
      <alignment horizontal="center" vertical="center"/>
    </xf>
    <xf numFmtId="3" fontId="7" fillId="27" borderId="10" xfId="0" applyNumberFormat="1" applyFont="1" applyFill="1" applyBorder="1" applyAlignment="1">
      <alignment horizontal="center" vertical="center"/>
    </xf>
    <xf numFmtId="0" fontId="7" fillId="27" borderId="10" xfId="0" quotePrefix="1" applyFont="1" applyFill="1" applyBorder="1" applyAlignment="1">
      <alignment horizontal="center" vertical="center" wrapText="1"/>
    </xf>
    <xf numFmtId="0" fontId="0" fillId="27" borderId="10" xfId="0" applyFill="1" applyBorder="1" applyAlignment="1">
      <alignment horizontal="center" vertical="center"/>
    </xf>
    <xf numFmtId="0" fontId="0" fillId="31" borderId="0" xfId="0" applyFill="1"/>
    <xf numFmtId="0" fontId="0" fillId="24" borderId="0" xfId="0" applyFill="1" applyAlignment="1">
      <alignment horizontal="center"/>
    </xf>
    <xf numFmtId="2" fontId="0" fillId="26" borderId="10" xfId="0" applyNumberFormat="1" applyFill="1" applyBorder="1" applyAlignment="1">
      <alignment horizontal="center"/>
    </xf>
    <xf numFmtId="0" fontId="9" fillId="24" borderId="0" xfId="0" applyFont="1" applyFill="1" applyAlignment="1">
      <alignment horizontal="left"/>
    </xf>
    <xf numFmtId="0" fontId="4" fillId="31" borderId="0" xfId="0" applyFont="1" applyFill="1"/>
    <xf numFmtId="1" fontId="0" fillId="26" borderId="10" xfId="0" applyNumberFormat="1" applyFill="1" applyBorder="1" applyAlignment="1">
      <alignment horizontal="center"/>
    </xf>
    <xf numFmtId="0" fontId="4" fillId="31" borderId="0" xfId="0" applyFont="1" applyFill="1" applyAlignment="1"/>
    <xf numFmtId="0" fontId="6" fillId="25" borderId="10" xfId="0" applyFont="1" applyFill="1" applyBorder="1" applyAlignment="1">
      <alignment horizontal="center" vertical="center" wrapText="1"/>
    </xf>
    <xf numFmtId="0" fontId="4" fillId="31" borderId="10" xfId="0" applyFont="1" applyFill="1" applyBorder="1"/>
    <xf numFmtId="0" fontId="6" fillId="0" borderId="0" xfId="0" applyFont="1"/>
    <xf numFmtId="0" fontId="6" fillId="31" borderId="0" xfId="0" applyFont="1" applyFill="1"/>
    <xf numFmtId="0" fontId="0" fillId="31" borderId="10" xfId="0" applyFill="1" applyBorder="1" applyAlignment="1">
      <alignment horizontal="center" vertical="center" wrapText="1"/>
    </xf>
    <xf numFmtId="165" fontId="0" fillId="31" borderId="0" xfId="0" applyNumberFormat="1" applyFill="1"/>
    <xf numFmtId="9" fontId="0" fillId="31" borderId="0" xfId="0" applyNumberFormat="1" applyFill="1"/>
    <xf numFmtId="3" fontId="0" fillId="31" borderId="0" xfId="0" applyNumberFormat="1" applyFill="1"/>
    <xf numFmtId="3" fontId="0" fillId="31" borderId="10" xfId="0" applyNumberFormat="1" applyFill="1" applyBorder="1" applyAlignment="1">
      <alignment horizontal="right" vertical="center" wrapText="1"/>
    </xf>
    <xf numFmtId="0" fontId="0" fillId="27" borderId="10" xfId="0" applyNumberFormat="1" applyFill="1" applyBorder="1" applyAlignment="1">
      <alignment horizontal="right" vertical="center" wrapText="1"/>
    </xf>
    <xf numFmtId="0" fontId="0" fillId="31" borderId="0" xfId="0" applyNumberFormat="1" applyFill="1"/>
    <xf numFmtId="0" fontId="4" fillId="31" borderId="0" xfId="0" applyFont="1" applyFill="1" applyBorder="1" applyAlignment="1">
      <alignment horizontal="center" vertical="center" wrapText="1"/>
    </xf>
    <xf numFmtId="3" fontId="4" fillId="31" borderId="10" xfId="0" applyNumberFormat="1" applyFont="1" applyFill="1" applyBorder="1" applyAlignment="1">
      <alignment vertical="center" wrapText="1"/>
    </xf>
    <xf numFmtId="0" fontId="6" fillId="31" borderId="10" xfId="0" applyFont="1" applyFill="1" applyBorder="1"/>
    <xf numFmtId="3" fontId="4" fillId="26" borderId="10" xfId="0" applyNumberFormat="1" applyFont="1" applyFill="1" applyBorder="1" applyAlignment="1">
      <alignment vertical="center" wrapText="1"/>
    </xf>
    <xf numFmtId="0" fontId="0" fillId="31" borderId="10" xfId="0" applyNumberFormat="1" applyFill="1" applyBorder="1" applyAlignment="1">
      <alignment horizontal="right" vertical="center" wrapText="1"/>
    </xf>
    <xf numFmtId="0" fontId="4" fillId="26" borderId="10" xfId="0" applyFont="1" applyFill="1" applyBorder="1" applyAlignment="1">
      <alignment vertical="center" wrapText="1"/>
    </xf>
    <xf numFmtId="2" fontId="0" fillId="31" borderId="10" xfId="0" applyNumberFormat="1" applyFill="1" applyBorder="1" applyAlignment="1">
      <alignment horizontal="right" vertical="center" wrapText="1"/>
    </xf>
    <xf numFmtId="3" fontId="0" fillId="31" borderId="10" xfId="0" applyNumberFormat="1" applyFill="1" applyBorder="1"/>
    <xf numFmtId="0" fontId="6" fillId="25" borderId="10" xfId="0" applyFont="1" applyFill="1" applyBorder="1" applyAlignment="1">
      <alignment horizontal="center" vertical="center" wrapText="1"/>
    </xf>
    <xf numFmtId="0" fontId="42" fillId="31" borderId="0" xfId="0" applyFont="1" applyFill="1" applyAlignment="1">
      <alignment horizontal="center"/>
    </xf>
    <xf numFmtId="0" fontId="6" fillId="25" borderId="14" xfId="0" applyFont="1" applyFill="1" applyBorder="1" applyAlignment="1">
      <alignment horizontal="center" vertical="center" wrapText="1"/>
    </xf>
    <xf numFmtId="0" fontId="6" fillId="25" borderId="15" xfId="0" applyFont="1" applyFill="1" applyBorder="1" applyAlignment="1">
      <alignment horizontal="center" vertical="center" wrapText="1"/>
    </xf>
    <xf numFmtId="0" fontId="6" fillId="25" borderId="48" xfId="0" applyFont="1" applyFill="1" applyBorder="1" applyAlignment="1">
      <alignment horizontal="center" vertical="center" wrapText="1"/>
    </xf>
    <xf numFmtId="0" fontId="6" fillId="25" borderId="18" xfId="0" applyFont="1" applyFill="1" applyBorder="1" applyAlignment="1">
      <alignment horizontal="center" vertical="center" wrapText="1"/>
    </xf>
    <xf numFmtId="0" fontId="0" fillId="31" borderId="10" xfId="0" applyFill="1" applyBorder="1"/>
    <xf numFmtId="0" fontId="4" fillId="32" borderId="10" xfId="0" applyFont="1" applyFill="1" applyBorder="1"/>
    <xf numFmtId="11" fontId="4" fillId="31" borderId="10" xfId="0" applyNumberFormat="1" applyFont="1" applyFill="1" applyBorder="1"/>
    <xf numFmtId="0" fontId="42" fillId="31" borderId="0" xfId="0" applyFont="1" applyFill="1"/>
    <xf numFmtId="164" fontId="12" fillId="31" borderId="10" xfId="0" applyNumberFormat="1" applyFont="1" applyFill="1" applyBorder="1" applyAlignment="1">
      <alignment horizontal="right"/>
    </xf>
    <xf numFmtId="0" fontId="0" fillId="24" borderId="14" xfId="0" applyFill="1" applyBorder="1" applyAlignment="1">
      <alignment horizontal="left" vertical="center" wrapText="1"/>
    </xf>
    <xf numFmtId="0" fontId="0" fillId="24" borderId="13" xfId="0" applyFill="1" applyBorder="1" applyAlignment="1">
      <alignment horizontal="left" vertical="center" wrapText="1"/>
    </xf>
    <xf numFmtId="0" fontId="0" fillId="24" borderId="15" xfId="0" applyFill="1" applyBorder="1" applyAlignment="1">
      <alignment horizontal="left" vertical="center" wrapText="1"/>
    </xf>
    <xf numFmtId="0" fontId="6" fillId="25" borderId="10" xfId="0" applyFont="1" applyFill="1" applyBorder="1" applyAlignment="1">
      <alignment horizontal="center" vertical="center" wrapText="1"/>
    </xf>
    <xf numFmtId="0" fontId="42" fillId="31" borderId="0" xfId="0" applyFont="1" applyFill="1" applyAlignment="1">
      <alignment horizontal="center"/>
    </xf>
    <xf numFmtId="0" fontId="6" fillId="25" borderId="14" xfId="0" applyFont="1" applyFill="1" applyBorder="1" applyAlignment="1">
      <alignment horizontal="center" vertical="center" wrapText="1"/>
    </xf>
    <xf numFmtId="0" fontId="4" fillId="31" borderId="10" xfId="0" applyNumberFormat="1" applyFont="1" applyFill="1" applyBorder="1" applyAlignment="1">
      <alignment vertical="center" wrapText="1"/>
    </xf>
    <xf numFmtId="1" fontId="4" fillId="31" borderId="10" xfId="0" applyNumberFormat="1" applyFont="1" applyFill="1" applyBorder="1"/>
    <xf numFmtId="0" fontId="4" fillId="31" borderId="10" xfId="0" applyFont="1" applyFill="1" applyBorder="1" applyAlignment="1">
      <alignment horizontal="left" vertical="center" wrapText="1"/>
    </xf>
    <xf numFmtId="0" fontId="4" fillId="31" borderId="0" xfId="0" applyFont="1" applyFill="1" applyAlignment="1">
      <alignment horizontal="left" wrapText="1"/>
    </xf>
    <xf numFmtId="9" fontId="4" fillId="31" borderId="0" xfId="0" applyNumberFormat="1" applyFont="1" applyFill="1" applyAlignment="1">
      <alignment horizontal="left" wrapText="1"/>
    </xf>
    <xf numFmtId="0" fontId="6" fillId="31" borderId="0" xfId="0" applyFont="1" applyFill="1" applyBorder="1" applyAlignment="1">
      <alignment vertical="center" wrapText="1"/>
    </xf>
    <xf numFmtId="0" fontId="4" fillId="24" borderId="10" xfId="0" applyFont="1" applyFill="1" applyBorder="1" applyAlignment="1">
      <alignment vertical="center" wrapText="1"/>
    </xf>
    <xf numFmtId="0" fontId="0" fillId="31" borderId="0" xfId="0" applyFill="1" applyAlignment="1">
      <alignment vertical="center"/>
    </xf>
    <xf numFmtId="0" fontId="6" fillId="25" borderId="14" xfId="0" applyFont="1" applyFill="1" applyBorder="1" applyAlignment="1">
      <alignment horizontal="center" vertical="center" textRotation="90" wrapText="1"/>
    </xf>
    <xf numFmtId="0" fontId="6" fillId="24" borderId="20" xfId="0" applyFont="1" applyFill="1" applyBorder="1" applyAlignment="1">
      <alignment vertical="center" wrapText="1"/>
    </xf>
    <xf numFmtId="0" fontId="4" fillId="24" borderId="20" xfId="0" applyFont="1" applyFill="1" applyBorder="1" applyAlignment="1">
      <alignment vertical="center" wrapText="1"/>
    </xf>
    <xf numFmtId="0" fontId="7" fillId="24" borderId="20" xfId="0" applyFont="1" applyFill="1" applyBorder="1" applyAlignment="1">
      <alignment vertical="center" wrapText="1"/>
    </xf>
    <xf numFmtId="0" fontId="6" fillId="24" borderId="19" xfId="0" applyFont="1" applyFill="1" applyBorder="1" applyAlignment="1">
      <alignment vertical="center" wrapText="1"/>
    </xf>
    <xf numFmtId="0" fontId="4" fillId="24" borderId="19" xfId="0" applyFont="1" applyFill="1" applyBorder="1" applyAlignment="1">
      <alignment vertical="center" wrapText="1"/>
    </xf>
    <xf numFmtId="0" fontId="7" fillId="24" borderId="19" xfId="0" applyFont="1" applyFill="1" applyBorder="1" applyAlignment="1">
      <alignment vertical="center" wrapText="1"/>
    </xf>
    <xf numFmtId="0" fontId="42" fillId="31" borderId="0" xfId="0" applyFont="1" applyFill="1" applyAlignment="1"/>
    <xf numFmtId="0" fontId="4" fillId="24" borderId="10" xfId="0" applyFont="1" applyFill="1" applyBorder="1" applyAlignment="1">
      <alignment horizontal="left" vertical="center" wrapText="1"/>
    </xf>
    <xf numFmtId="0" fontId="4" fillId="31" borderId="10" xfId="0" applyFont="1" applyFill="1" applyBorder="1" applyAlignment="1">
      <alignment vertical="center"/>
    </xf>
    <xf numFmtId="0" fontId="12" fillId="24" borderId="10" xfId="0" applyFont="1" applyFill="1" applyBorder="1" applyAlignment="1">
      <alignment vertical="center"/>
    </xf>
    <xf numFmtId="0" fontId="14" fillId="24" borderId="10" xfId="0" applyFont="1" applyFill="1" applyBorder="1" applyAlignment="1">
      <alignment vertical="center"/>
    </xf>
    <xf numFmtId="0" fontId="14" fillId="24" borderId="11" xfId="0" applyFont="1" applyFill="1" applyBorder="1" applyAlignment="1">
      <alignment vertical="center"/>
    </xf>
    <xf numFmtId="0" fontId="14" fillId="27" borderId="10" xfId="0" applyFont="1" applyFill="1" applyBorder="1" applyAlignment="1">
      <alignment horizontal="left" vertical="center"/>
    </xf>
    <xf numFmtId="0" fontId="14" fillId="27" borderId="10" xfId="0" applyFont="1" applyFill="1" applyBorder="1" applyAlignment="1">
      <alignment horizontal="right" vertical="center"/>
    </xf>
    <xf numFmtId="0" fontId="12" fillId="24" borderId="11" xfId="0" applyFont="1" applyFill="1" applyBorder="1" applyAlignment="1">
      <alignment vertical="center"/>
    </xf>
    <xf numFmtId="0" fontId="12" fillId="27" borderId="16" xfId="0" applyFont="1" applyFill="1" applyBorder="1" applyAlignment="1">
      <alignment horizontal="left" vertical="center"/>
    </xf>
    <xf numFmtId="0" fontId="4" fillId="27" borderId="44" xfId="0" applyFont="1" applyFill="1" applyBorder="1" applyAlignment="1">
      <alignment horizontal="right" vertical="center"/>
    </xf>
    <xf numFmtId="0" fontId="7" fillId="27" borderId="10" xfId="0" applyFont="1" applyFill="1" applyBorder="1" applyAlignment="1">
      <alignment horizontal="left" vertical="center"/>
    </xf>
    <xf numFmtId="0" fontId="14" fillId="27" borderId="15" xfId="0" applyFont="1" applyFill="1" applyBorder="1" applyAlignment="1">
      <alignment horizontal="right" vertical="center"/>
    </xf>
    <xf numFmtId="0" fontId="12" fillId="27" borderId="10" xfId="0" applyFont="1" applyFill="1" applyBorder="1" applyAlignment="1">
      <alignment horizontal="left" vertical="center"/>
    </xf>
    <xf numFmtId="0" fontId="12" fillId="27" borderId="10" xfId="0" applyFont="1" applyFill="1" applyBorder="1" applyAlignment="1">
      <alignment horizontal="right" vertical="center"/>
    </xf>
    <xf numFmtId="0" fontId="4" fillId="26" borderId="10" xfId="0" applyFont="1" applyFill="1" applyBorder="1" applyAlignment="1">
      <alignment horizontal="left" vertical="center"/>
    </xf>
    <xf numFmtId="0" fontId="12" fillId="26" borderId="10" xfId="0" applyFont="1" applyFill="1" applyBorder="1" applyAlignment="1">
      <alignment horizontal="right" vertical="center"/>
    </xf>
    <xf numFmtId="164" fontId="4" fillId="26" borderId="10" xfId="0" applyNumberFormat="1" applyFont="1" applyFill="1" applyBorder="1" applyAlignment="1">
      <alignment horizontal="left" vertical="center"/>
    </xf>
    <xf numFmtId="164" fontId="12" fillId="26" borderId="10" xfId="0" applyNumberFormat="1" applyFont="1" applyFill="1" applyBorder="1" applyAlignment="1">
      <alignment horizontal="right" vertical="center"/>
    </xf>
    <xf numFmtId="164" fontId="4" fillId="24" borderId="10" xfId="0" applyNumberFormat="1" applyFont="1" applyFill="1" applyBorder="1" applyAlignment="1">
      <alignment horizontal="left" vertical="center"/>
    </xf>
    <xf numFmtId="164" fontId="12" fillId="24" borderId="10" xfId="0" applyNumberFormat="1" applyFont="1" applyFill="1" applyBorder="1" applyAlignment="1">
      <alignment horizontal="right" vertical="center"/>
    </xf>
    <xf numFmtId="0" fontId="6" fillId="25" borderId="10" xfId="0" applyFont="1" applyFill="1" applyBorder="1" applyAlignment="1">
      <alignment horizontal="left" vertical="center"/>
    </xf>
    <xf numFmtId="0" fontId="4" fillId="27" borderId="10" xfId="0" applyFont="1" applyFill="1" applyBorder="1" applyAlignment="1">
      <alignment horizontal="right" vertical="center"/>
    </xf>
    <xf numFmtId="0" fontId="0" fillId="34" borderId="28" xfId="0" applyFill="1" applyBorder="1"/>
    <xf numFmtId="0" fontId="0" fillId="34" borderId="23" xfId="0" applyFill="1" applyBorder="1"/>
    <xf numFmtId="0" fontId="0" fillId="34" borderId="30" xfId="0" applyFill="1" applyBorder="1"/>
    <xf numFmtId="0" fontId="0" fillId="34" borderId="0" xfId="0" applyFill="1" applyBorder="1"/>
    <xf numFmtId="0" fontId="0" fillId="34" borderId="27" xfId="0" applyFill="1" applyBorder="1"/>
    <xf numFmtId="0" fontId="0" fillId="34" borderId="24" xfId="0" applyFill="1" applyBorder="1"/>
    <xf numFmtId="0" fontId="0" fillId="35" borderId="32" xfId="0" applyFill="1" applyBorder="1"/>
    <xf numFmtId="0" fontId="0" fillId="35" borderId="31" xfId="0" applyFill="1" applyBorder="1"/>
    <xf numFmtId="2" fontId="0" fillId="26" borderId="0" xfId="0" applyNumberFormat="1" applyFill="1"/>
    <xf numFmtId="1" fontId="0" fillId="26" borderId="0" xfId="0" applyNumberFormat="1" applyFill="1"/>
    <xf numFmtId="0" fontId="6" fillId="24" borderId="22" xfId="0" applyFont="1" applyFill="1" applyBorder="1" applyAlignment="1">
      <alignment horizontal="center" vertical="center" wrapText="1"/>
    </xf>
    <xf numFmtId="0" fontId="6" fillId="24" borderId="29" xfId="0" applyFont="1" applyFill="1" applyBorder="1" applyAlignment="1">
      <alignment horizontal="center" vertical="center" wrapText="1"/>
    </xf>
    <xf numFmtId="0" fontId="6" fillId="24" borderId="22" xfId="0" applyFont="1" applyFill="1" applyBorder="1" applyAlignment="1">
      <alignment horizontal="center" vertical="center" wrapText="1"/>
    </xf>
    <xf numFmtId="0" fontId="6" fillId="24" borderId="29" xfId="0" applyFont="1" applyFill="1" applyBorder="1" applyAlignment="1">
      <alignment horizontal="center" vertical="center" wrapText="1"/>
    </xf>
    <xf numFmtId="22" fontId="0" fillId="26" borderId="0" xfId="0" applyNumberFormat="1" applyFill="1"/>
    <xf numFmtId="0" fontId="4" fillId="24" borderId="0" xfId="0" applyFont="1" applyFill="1" applyBorder="1"/>
    <xf numFmtId="0" fontId="6" fillId="25" borderId="10" xfId="0" applyFont="1" applyFill="1" applyBorder="1" applyAlignment="1">
      <alignment horizontal="center" vertical="center" wrapText="1"/>
    </xf>
    <xf numFmtId="0" fontId="0" fillId="24" borderId="10" xfId="0" applyFill="1" applyBorder="1" applyAlignment="1">
      <alignment horizontal="center" vertical="center" wrapText="1"/>
    </xf>
    <xf numFmtId="0" fontId="0" fillId="31" borderId="50" xfId="0" applyFill="1" applyBorder="1" applyAlignment="1">
      <alignment horizontal="center" vertical="center"/>
    </xf>
    <xf numFmtId="0" fontId="0" fillId="31" borderId="11" xfId="0" applyFill="1" applyBorder="1" applyAlignment="1">
      <alignment horizontal="center" vertical="center"/>
    </xf>
    <xf numFmtId="0" fontId="0" fillId="31" borderId="51" xfId="0" applyFill="1" applyBorder="1" applyAlignment="1">
      <alignment horizontal="center" vertical="center"/>
    </xf>
    <xf numFmtId="0" fontId="6" fillId="25" borderId="10" xfId="0" applyFont="1" applyFill="1" applyBorder="1" applyAlignment="1">
      <alignment horizontal="center" vertical="center" wrapText="1"/>
    </xf>
    <xf numFmtId="0" fontId="6" fillId="25" borderId="16" xfId="0" applyFont="1" applyFill="1" applyBorder="1" applyAlignment="1">
      <alignment horizontal="center" vertical="center"/>
    </xf>
    <xf numFmtId="0" fontId="4" fillId="24" borderId="10" xfId="0" applyFont="1" applyFill="1" applyBorder="1" applyAlignment="1">
      <alignment horizontal="center" vertical="center" wrapText="1"/>
    </xf>
    <xf numFmtId="0" fontId="4" fillId="31" borderId="10" xfId="0" applyFont="1" applyFill="1" applyBorder="1" applyAlignment="1">
      <alignment horizontal="center" vertical="center" wrapText="1"/>
    </xf>
    <xf numFmtId="0" fontId="6" fillId="31" borderId="0" xfId="0" applyFont="1" applyFill="1" applyBorder="1" applyAlignment="1">
      <alignment horizontal="center" vertical="center" wrapText="1"/>
    </xf>
    <xf numFmtId="0" fontId="0" fillId="31" borderId="0" xfId="0" applyNumberFormat="1" applyFill="1" applyAlignment="1">
      <alignment horizontal="left" vertical="center"/>
    </xf>
    <xf numFmtId="169" fontId="0" fillId="32" borderId="10" xfId="0" applyNumberFormat="1" applyFill="1" applyBorder="1" applyAlignment="1">
      <alignment horizontal="center" vertical="center"/>
    </xf>
    <xf numFmtId="0" fontId="6" fillId="31" borderId="0" xfId="0" applyFont="1" applyFill="1" applyAlignment="1">
      <alignment horizontal="center" vertical="center" wrapText="1"/>
    </xf>
    <xf numFmtId="0" fontId="6" fillId="31" borderId="0" xfId="0" applyFont="1" applyFill="1" applyAlignment="1">
      <alignment horizontal="center" vertical="center"/>
    </xf>
    <xf numFmtId="0" fontId="37" fillId="24" borderId="42" xfId="0" applyFont="1" applyFill="1" applyBorder="1" applyAlignment="1">
      <alignment vertical="center" wrapText="1"/>
    </xf>
    <xf numFmtId="0" fontId="37" fillId="24" borderId="42" xfId="0" applyFont="1" applyFill="1" applyBorder="1" applyAlignment="1">
      <alignment vertical="center"/>
    </xf>
    <xf numFmtId="0" fontId="0" fillId="27" borderId="10" xfId="0" applyNumberFormat="1" applyFill="1" applyBorder="1" applyAlignment="1">
      <alignment horizontal="center" vertical="center"/>
    </xf>
    <xf numFmtId="2" fontId="0" fillId="27" borderId="10" xfId="0" applyNumberFormat="1" applyFill="1" applyBorder="1" applyAlignment="1">
      <alignment horizontal="center" vertical="center"/>
    </xf>
    <xf numFmtId="0" fontId="4" fillId="31" borderId="10" xfId="0" applyFont="1" applyFill="1" applyBorder="1" applyAlignment="1">
      <alignment wrapText="1"/>
    </xf>
    <xf numFmtId="0" fontId="4" fillId="24" borderId="10" xfId="0" applyFont="1" applyFill="1" applyBorder="1" applyAlignment="1">
      <alignment wrapText="1"/>
    </xf>
    <xf numFmtId="0" fontId="0" fillId="31" borderId="10" xfId="0" applyFill="1" applyBorder="1" applyAlignment="1">
      <alignment vertical="center"/>
    </xf>
    <xf numFmtId="0" fontId="6" fillId="0" borderId="16" xfId="0" applyFont="1" applyFill="1" applyBorder="1" applyAlignment="1">
      <alignment vertical="center" wrapText="1"/>
    </xf>
    <xf numFmtId="0" fontId="6" fillId="0" borderId="12" xfId="0" applyFont="1" applyFill="1" applyBorder="1" applyAlignment="1">
      <alignment vertical="center" wrapText="1"/>
    </xf>
    <xf numFmtId="0" fontId="6" fillId="0" borderId="11" xfId="0" applyFont="1" applyFill="1" applyBorder="1" applyAlignment="1">
      <alignment vertical="center" wrapText="1"/>
    </xf>
    <xf numFmtId="0" fontId="6" fillId="0" borderId="16" xfId="0" applyFont="1" applyFill="1" applyBorder="1" applyAlignment="1">
      <alignment vertical="center"/>
    </xf>
    <xf numFmtId="0" fontId="6" fillId="0" borderId="12" xfId="0" applyFont="1" applyFill="1" applyBorder="1" applyAlignment="1">
      <alignment vertical="center"/>
    </xf>
    <xf numFmtId="0" fontId="6" fillId="0" borderId="11" xfId="0" applyFont="1" applyFill="1" applyBorder="1" applyAlignment="1">
      <alignment vertical="center"/>
    </xf>
    <xf numFmtId="0" fontId="4" fillId="31" borderId="10" xfId="0" applyFont="1" applyFill="1" applyBorder="1" applyAlignment="1">
      <alignment vertical="center" wrapText="1"/>
    </xf>
    <xf numFmtId="0" fontId="4" fillId="27" borderId="16" xfId="0" applyFont="1" applyFill="1" applyBorder="1" applyAlignment="1">
      <alignment horizontal="center" vertical="center" wrapText="1"/>
    </xf>
    <xf numFmtId="0" fontId="4" fillId="32" borderId="10" xfId="0" applyFont="1" applyFill="1" applyBorder="1" applyAlignment="1">
      <alignment horizontal="center" vertical="center"/>
    </xf>
    <xf numFmtId="0" fontId="0" fillId="24" borderId="10" xfId="0" applyFill="1" applyBorder="1" applyAlignment="1">
      <alignment vertical="center"/>
    </xf>
    <xf numFmtId="0" fontId="4" fillId="24" borderId="10" xfId="0" applyFont="1" applyFill="1" applyBorder="1" applyAlignment="1">
      <alignment vertical="center"/>
    </xf>
    <xf numFmtId="0" fontId="39" fillId="31" borderId="0" xfId="0" applyFont="1" applyFill="1" applyAlignment="1">
      <alignment vertical="center"/>
    </xf>
    <xf numFmtId="0" fontId="38" fillId="31" borderId="0" xfId="0" applyFont="1" applyFill="1" applyAlignment="1">
      <alignment horizontal="center" vertical="center" wrapText="1"/>
    </xf>
    <xf numFmtId="0" fontId="38" fillId="31" borderId="0" xfId="0" applyFont="1" applyFill="1" applyAlignment="1">
      <alignment vertical="center"/>
    </xf>
    <xf numFmtId="0" fontId="38" fillId="31" borderId="0" xfId="0" applyFont="1" applyFill="1" applyAlignment="1">
      <alignment vertical="center" wrapText="1"/>
    </xf>
    <xf numFmtId="0" fontId="0" fillId="33" borderId="10" xfId="0" applyNumberFormat="1" applyFill="1" applyBorder="1" applyAlignment="1">
      <alignment horizontal="left" vertical="center"/>
    </xf>
    <xf numFmtId="0" fontId="6" fillId="24" borderId="0" xfId="0" applyNumberFormat="1" applyFont="1" applyFill="1" applyBorder="1" applyAlignment="1">
      <alignment vertical="center" wrapText="1"/>
    </xf>
    <xf numFmtId="0" fontId="0" fillId="31" borderId="0" xfId="0" applyNumberFormat="1" applyFill="1" applyBorder="1" applyAlignment="1"/>
    <xf numFmtId="0" fontId="4" fillId="27" borderId="16" xfId="0" quotePrefix="1" applyNumberFormat="1" applyFont="1" applyFill="1" applyBorder="1" applyAlignment="1">
      <alignment horizontal="center" vertical="center" wrapText="1"/>
    </xf>
    <xf numFmtId="0" fontId="0" fillId="31" borderId="0" xfId="0" applyFill="1" applyAlignment="1">
      <alignment horizontal="left"/>
    </xf>
    <xf numFmtId="9" fontId="0" fillId="31" borderId="0" xfId="0" applyNumberFormat="1" applyFill="1" applyAlignment="1">
      <alignment horizontal="left"/>
    </xf>
    <xf numFmtId="0" fontId="6" fillId="25" borderId="10" xfId="0" applyFont="1" applyFill="1" applyBorder="1" applyAlignment="1">
      <alignment horizontal="left" vertical="center" wrapText="1"/>
    </xf>
    <xf numFmtId="0" fontId="6" fillId="25" borderId="10" xfId="0" applyFont="1" applyFill="1" applyBorder="1" applyAlignment="1">
      <alignment horizontal="left" vertical="center" wrapText="1"/>
    </xf>
    <xf numFmtId="0" fontId="6" fillId="31" borderId="0" xfId="0" applyFont="1" applyFill="1" applyAlignment="1">
      <alignment horizontal="left"/>
    </xf>
    <xf numFmtId="0" fontId="6" fillId="25" borderId="10" xfId="0" applyFont="1" applyFill="1" applyBorder="1" applyAlignment="1">
      <alignment horizontal="center" vertical="center" wrapText="1"/>
    </xf>
    <xf numFmtId="0" fontId="6" fillId="25" borderId="16" xfId="0" applyFont="1" applyFill="1" applyBorder="1" applyAlignment="1">
      <alignment horizontal="center" vertical="center"/>
    </xf>
    <xf numFmtId="0" fontId="4" fillId="33" borderId="10" xfId="0" applyNumberFormat="1" applyFont="1" applyFill="1" applyBorder="1" applyAlignment="1">
      <alignment horizontal="left" vertical="center"/>
    </xf>
    <xf numFmtId="0" fontId="6" fillId="31" borderId="0" xfId="0" applyNumberFormat="1" applyFont="1" applyFill="1" applyAlignment="1">
      <alignment horizontal="center"/>
    </xf>
    <xf numFmtId="0" fontId="4" fillId="32" borderId="14" xfId="0" applyFont="1" applyFill="1" applyBorder="1"/>
    <xf numFmtId="0" fontId="4" fillId="32" borderId="13" xfId="0" applyFont="1" applyFill="1" applyBorder="1"/>
    <xf numFmtId="0" fontId="0" fillId="32" borderId="13" xfId="0" applyFill="1" applyBorder="1"/>
    <xf numFmtId="0" fontId="0" fillId="32" borderId="15" xfId="0" applyFill="1" applyBorder="1"/>
    <xf numFmtId="0" fontId="0" fillId="32" borderId="14" xfId="0" applyFill="1" applyBorder="1"/>
    <xf numFmtId="0" fontId="4" fillId="31" borderId="0" xfId="0" applyFont="1" applyFill="1" applyBorder="1" applyAlignment="1">
      <alignment vertical="center"/>
    </xf>
    <xf numFmtId="0" fontId="4" fillId="0" borderId="10" xfId="0" applyFont="1" applyBorder="1" applyAlignment="1">
      <alignment vertical="center" wrapText="1"/>
    </xf>
    <xf numFmtId="0" fontId="4" fillId="0" borderId="10" xfId="0" applyFont="1" applyBorder="1" applyAlignment="1">
      <alignment horizontal="center" vertical="center" wrapText="1"/>
    </xf>
    <xf numFmtId="0" fontId="0" fillId="34" borderId="0" xfId="0" applyFill="1"/>
    <xf numFmtId="0" fontId="0" fillId="34" borderId="0" xfId="0" applyFill="1" applyBorder="1" applyAlignment="1">
      <alignment vertical="center" wrapText="1"/>
    </xf>
    <xf numFmtId="0" fontId="4" fillId="31" borderId="0" xfId="0" applyFont="1" applyFill="1" applyAlignment="1">
      <alignment textRotation="45"/>
    </xf>
    <xf numFmtId="0" fontId="0" fillId="36" borderId="0" xfId="0" applyFill="1"/>
    <xf numFmtId="11" fontId="0" fillId="26" borderId="0" xfId="0" applyNumberFormat="1" applyFill="1"/>
    <xf numFmtId="0" fontId="0" fillId="34" borderId="26" xfId="0" applyFill="1" applyBorder="1"/>
    <xf numFmtId="0" fontId="0" fillId="34" borderId="17" xfId="0" applyFill="1" applyBorder="1"/>
    <xf numFmtId="0" fontId="0" fillId="34" borderId="25" xfId="0" applyFill="1" applyBorder="1"/>
    <xf numFmtId="0" fontId="6" fillId="25" borderId="10" xfId="0" applyFont="1" applyFill="1" applyBorder="1" applyAlignment="1">
      <alignment horizontal="left" vertical="center" wrapText="1"/>
    </xf>
    <xf numFmtId="0" fontId="6" fillId="25" borderId="10" xfId="0" applyFont="1" applyFill="1" applyBorder="1" applyAlignment="1">
      <alignment horizontal="left" vertical="center" wrapText="1"/>
    </xf>
    <xf numFmtId="0" fontId="6" fillId="24" borderId="22" xfId="0" applyFont="1" applyFill="1" applyBorder="1" applyAlignment="1">
      <alignment horizontal="center" vertical="center" wrapText="1"/>
    </xf>
    <xf numFmtId="0" fontId="6" fillId="25" borderId="48" xfId="0" applyFont="1" applyFill="1" applyBorder="1" applyAlignment="1">
      <alignment vertical="center"/>
    </xf>
    <xf numFmtId="0" fontId="6" fillId="25" borderId="42" xfId="0" applyFont="1" applyFill="1" applyBorder="1" applyAlignment="1">
      <alignment vertical="center"/>
    </xf>
    <xf numFmtId="0" fontId="6" fillId="25" borderId="49" xfId="0" applyFont="1" applyFill="1" applyBorder="1" applyAlignment="1">
      <alignment vertical="center"/>
    </xf>
    <xf numFmtId="0" fontId="6" fillId="25" borderId="18" xfId="0" applyFont="1" applyFill="1" applyBorder="1" applyAlignment="1">
      <alignment vertical="center"/>
    </xf>
    <xf numFmtId="0" fontId="6" fillId="25" borderId="21" xfId="0" applyFont="1" applyFill="1" applyBorder="1" applyAlignment="1">
      <alignment vertical="center"/>
    </xf>
    <xf numFmtId="0" fontId="6" fillId="25" borderId="43" xfId="0" applyFont="1" applyFill="1" applyBorder="1" applyAlignment="1">
      <alignment vertical="center"/>
    </xf>
    <xf numFmtId="0" fontId="6" fillId="25" borderId="10" xfId="0" applyFont="1" applyFill="1" applyBorder="1" applyAlignment="1">
      <alignment horizontal="left" vertical="center" wrapText="1"/>
    </xf>
    <xf numFmtId="0" fontId="44" fillId="37" borderId="0" xfId="0" applyFont="1" applyFill="1"/>
    <xf numFmtId="0" fontId="46" fillId="37" borderId="0" xfId="0" applyFont="1" applyFill="1"/>
    <xf numFmtId="0" fontId="45" fillId="31" borderId="0" xfId="0" applyFont="1" applyFill="1"/>
    <xf numFmtId="14" fontId="45" fillId="31" borderId="0" xfId="0" applyNumberFormat="1" applyFont="1" applyFill="1" applyBorder="1" applyAlignment="1">
      <alignment horizontal="left" vertical="top"/>
    </xf>
    <xf numFmtId="0" fontId="45" fillId="31" borderId="0" xfId="0" applyFont="1" applyFill="1" applyAlignment="1">
      <alignment horizontal="left" vertical="top"/>
    </xf>
    <xf numFmtId="0" fontId="45" fillId="31" borderId="0" xfId="0" applyFont="1" applyFill="1" applyBorder="1" applyAlignment="1">
      <alignment horizontal="left" vertical="top" wrapText="1"/>
    </xf>
    <xf numFmtId="164" fontId="12" fillId="24" borderId="14" xfId="0" applyNumberFormat="1" applyFont="1" applyFill="1" applyBorder="1" applyAlignment="1">
      <alignment horizontal="right" vertical="center"/>
    </xf>
    <xf numFmtId="0" fontId="4" fillId="0" borderId="0" xfId="0" applyFont="1" applyFill="1" applyBorder="1" applyAlignment="1">
      <alignment vertical="center" wrapText="1"/>
    </xf>
    <xf numFmtId="0" fontId="6" fillId="25" borderId="10" xfId="0" applyFont="1" applyFill="1" applyBorder="1" applyAlignment="1">
      <alignment horizontal="left" vertical="center" wrapText="1"/>
    </xf>
    <xf numFmtId="0" fontId="45" fillId="31" borderId="0" xfId="0" applyFont="1" applyFill="1" applyAlignment="1">
      <alignment horizontal="left" vertical="top" wrapText="1"/>
    </xf>
    <xf numFmtId="14" fontId="45" fillId="31" borderId="0" xfId="0" applyNumberFormat="1" applyFont="1" applyFill="1" applyAlignment="1">
      <alignment horizontal="left" vertical="top"/>
    </xf>
    <xf numFmtId="0" fontId="6" fillId="25" borderId="10" xfId="0" applyFont="1" applyFill="1" applyBorder="1" applyAlignment="1">
      <alignment horizontal="center" vertical="center" wrapText="1"/>
    </xf>
    <xf numFmtId="0" fontId="6" fillId="25" borderId="16" xfId="0" applyFont="1" applyFill="1" applyBorder="1" applyAlignment="1">
      <alignment horizontal="center" vertical="center"/>
    </xf>
    <xf numFmtId="0" fontId="6" fillId="25" borderId="10" xfId="0" applyFont="1" applyFill="1" applyBorder="1" applyAlignment="1">
      <alignment horizontal="left" vertical="center" wrapText="1"/>
    </xf>
    <xf numFmtId="0" fontId="7" fillId="31" borderId="0" xfId="0" applyFont="1" applyFill="1" applyBorder="1" applyAlignment="1">
      <alignment vertical="center" wrapText="1"/>
    </xf>
    <xf numFmtId="0" fontId="7" fillId="31" borderId="0" xfId="0" applyFont="1" applyFill="1" applyBorder="1" applyAlignment="1">
      <alignment horizontal="center" vertical="center" wrapText="1"/>
    </xf>
    <xf numFmtId="0" fontId="6" fillId="25" borderId="14" xfId="0" applyFont="1" applyFill="1" applyBorder="1" applyAlignment="1">
      <alignment vertical="center" wrapText="1"/>
    </xf>
    <xf numFmtId="0" fontId="6" fillId="25" borderId="15" xfId="0" applyFont="1" applyFill="1" applyBorder="1" applyAlignment="1">
      <alignment vertical="center" wrapText="1"/>
    </xf>
    <xf numFmtId="0" fontId="0" fillId="24" borderId="15" xfId="0" applyFill="1" applyBorder="1" applyAlignment="1">
      <alignment vertical="center"/>
    </xf>
    <xf numFmtId="0" fontId="4" fillId="24" borderId="14" xfId="0" applyFont="1" applyFill="1" applyBorder="1" applyAlignment="1">
      <alignment vertical="center"/>
    </xf>
    <xf numFmtId="0" fontId="47" fillId="31" borderId="0" xfId="0" applyFont="1" applyFill="1" applyAlignment="1">
      <alignment horizontal="left" vertical="top"/>
    </xf>
    <xf numFmtId="0" fontId="45" fillId="37" borderId="0" xfId="0" applyFont="1" applyFill="1"/>
    <xf numFmtId="0" fontId="45" fillId="0" borderId="0" xfId="0" applyFont="1"/>
    <xf numFmtId="0" fontId="45" fillId="0" borderId="0" xfId="0" applyFont="1" applyAlignment="1">
      <alignment horizontal="left" vertical="top" wrapText="1"/>
    </xf>
    <xf numFmtId="14" fontId="46" fillId="37" borderId="0" xfId="0" applyNumberFormat="1" applyFont="1" applyFill="1" applyAlignment="1">
      <alignment horizontal="left"/>
    </xf>
    <xf numFmtId="0" fontId="4" fillId="33" borderId="10" xfId="0" applyFont="1" applyFill="1" applyBorder="1" applyAlignment="1">
      <alignment vertical="center"/>
    </xf>
    <xf numFmtId="9" fontId="4" fillId="27" borderId="20" xfId="0" applyNumberFormat="1" applyFont="1" applyFill="1" applyBorder="1" applyAlignment="1">
      <alignment horizontal="center" vertical="center" wrapText="1"/>
    </xf>
    <xf numFmtId="0" fontId="4" fillId="27" borderId="20" xfId="0" applyNumberFormat="1" applyFont="1" applyFill="1" applyBorder="1" applyAlignment="1">
      <alignment horizontal="center" vertical="center" wrapText="1"/>
    </xf>
    <xf numFmtId="0" fontId="4" fillId="33" borderId="20" xfId="0" applyNumberFormat="1" applyFont="1" applyFill="1" applyBorder="1" applyAlignment="1">
      <alignment horizontal="center" vertical="center" wrapText="1"/>
    </xf>
    <xf numFmtId="11" fontId="4" fillId="27" borderId="37" xfId="0" applyNumberFormat="1" applyFont="1" applyFill="1" applyBorder="1" applyAlignment="1">
      <alignment horizontal="center" vertical="center" wrapText="1"/>
    </xf>
    <xf numFmtId="9" fontId="4" fillId="27" borderId="10" xfId="0" applyNumberFormat="1" applyFont="1" applyFill="1" applyBorder="1" applyAlignment="1">
      <alignment horizontal="center" vertical="center" wrapText="1"/>
    </xf>
    <xf numFmtId="11" fontId="4" fillId="27" borderId="35" xfId="0" applyNumberFormat="1" applyFont="1" applyFill="1" applyBorder="1" applyAlignment="1">
      <alignment horizontal="center" vertical="center" wrapText="1"/>
    </xf>
    <xf numFmtId="9" fontId="4" fillId="27" borderId="10" xfId="0" quotePrefix="1" applyNumberFormat="1" applyFont="1" applyFill="1" applyBorder="1" applyAlignment="1">
      <alignment horizontal="center" vertical="center" wrapText="1"/>
    </xf>
    <xf numFmtId="9" fontId="4" fillId="27" borderId="19" xfId="0" applyNumberFormat="1" applyFont="1" applyFill="1" applyBorder="1" applyAlignment="1">
      <alignment horizontal="center" vertical="center" wrapText="1"/>
    </xf>
    <xf numFmtId="0" fontId="4" fillId="34" borderId="28" xfId="43" applyFill="1" applyBorder="1"/>
    <xf numFmtId="0" fontId="4" fillId="29" borderId="30" xfId="43" applyFill="1" applyBorder="1"/>
    <xf numFmtId="0" fontId="4" fillId="34" borderId="30" xfId="43" applyFill="1" applyBorder="1"/>
    <xf numFmtId="0" fontId="4" fillId="34" borderId="27" xfId="43" applyFill="1" applyBorder="1"/>
    <xf numFmtId="0" fontId="4" fillId="24" borderId="0" xfId="43" applyFill="1"/>
    <xf numFmtId="0" fontId="4" fillId="34" borderId="23" xfId="43" applyFill="1" applyBorder="1"/>
    <xf numFmtId="0" fontId="6" fillId="24" borderId="29" xfId="43" applyFont="1" applyFill="1" applyBorder="1" applyAlignment="1">
      <alignment horizontal="center" vertical="center" wrapText="1"/>
    </xf>
    <xf numFmtId="0" fontId="4" fillId="34" borderId="0" xfId="43" applyFill="1"/>
    <xf numFmtId="0" fontId="4" fillId="34" borderId="0" xfId="43" applyFill="1" applyBorder="1"/>
    <xf numFmtId="0" fontId="4" fillId="34" borderId="24" xfId="43" applyFill="1" applyBorder="1"/>
    <xf numFmtId="0" fontId="6" fillId="24" borderId="22" xfId="43" applyFont="1" applyFill="1" applyBorder="1" applyAlignment="1">
      <alignment horizontal="center" vertical="center" wrapText="1"/>
    </xf>
    <xf numFmtId="0" fontId="4" fillId="34" borderId="0" xfId="43" applyFill="1" applyBorder="1" applyAlignment="1">
      <alignment vertical="center" wrapText="1"/>
    </xf>
    <xf numFmtId="0" fontId="4" fillId="29" borderId="0" xfId="43" applyFill="1" applyBorder="1"/>
    <xf numFmtId="0" fontId="4" fillId="24" borderId="28" xfId="43" applyFont="1" applyFill="1" applyBorder="1"/>
    <xf numFmtId="0" fontId="4" fillId="24" borderId="30" xfId="43" applyFill="1" applyBorder="1"/>
    <xf numFmtId="0" fontId="4" fillId="24" borderId="27" xfId="43" applyFill="1" applyBorder="1"/>
    <xf numFmtId="0" fontId="4" fillId="35" borderId="0" xfId="43" applyFill="1" applyBorder="1"/>
    <xf numFmtId="0" fontId="4" fillId="24" borderId="23" xfId="43" applyFill="1" applyBorder="1"/>
    <xf numFmtId="0" fontId="4" fillId="24" borderId="0" xfId="43" applyFill="1" applyBorder="1"/>
    <xf numFmtId="0" fontId="4" fillId="24" borderId="24" xfId="43" applyFill="1" applyBorder="1"/>
    <xf numFmtId="0" fontId="4" fillId="26" borderId="23" xfId="43" applyFill="1" applyBorder="1"/>
    <xf numFmtId="22" fontId="4" fillId="26" borderId="0" xfId="43" applyNumberFormat="1" applyFill="1" applyBorder="1"/>
    <xf numFmtId="0" fontId="4" fillId="26" borderId="0" xfId="43" applyFill="1" applyBorder="1"/>
    <xf numFmtId="0" fontId="4" fillId="31" borderId="25" xfId="43" applyFont="1" applyFill="1" applyBorder="1"/>
    <xf numFmtId="0" fontId="4" fillId="31" borderId="17" xfId="43" applyFill="1" applyBorder="1"/>
    <xf numFmtId="0" fontId="4" fillId="31" borderId="26" xfId="43" applyFill="1" applyBorder="1"/>
    <xf numFmtId="0" fontId="4" fillId="0" borderId="0" xfId="43"/>
    <xf numFmtId="0" fontId="4" fillId="34" borderId="25" xfId="43" applyFill="1" applyBorder="1"/>
    <xf numFmtId="0" fontId="4" fillId="34" borderId="17" xfId="43" applyFill="1" applyBorder="1"/>
    <xf numFmtId="0" fontId="4" fillId="34" borderId="26" xfId="43" applyFill="1" applyBorder="1"/>
    <xf numFmtId="0" fontId="4" fillId="35" borderId="32" xfId="43" applyFill="1" applyBorder="1"/>
    <xf numFmtId="0" fontId="0" fillId="27" borderId="10" xfId="0" applyNumberFormat="1" applyFill="1" applyBorder="1"/>
    <xf numFmtId="0" fontId="0" fillId="35" borderId="0" xfId="0" applyFill="1" applyBorder="1"/>
    <xf numFmtId="1" fontId="0" fillId="26" borderId="10" xfId="0" applyNumberFormat="1" applyFill="1" applyBorder="1"/>
    <xf numFmtId="2" fontId="4" fillId="33" borderId="10" xfId="43" applyNumberFormat="1" applyFill="1" applyBorder="1" applyAlignment="1">
      <alignment horizontal="center"/>
    </xf>
    <xf numFmtId="3" fontId="0" fillId="26" borderId="10" xfId="0" applyNumberFormat="1" applyFill="1" applyBorder="1" applyAlignment="1">
      <alignment horizontal="center"/>
    </xf>
    <xf numFmtId="165" fontId="0" fillId="24" borderId="10" xfId="0" applyNumberFormat="1" applyFill="1" applyBorder="1" applyAlignment="1">
      <alignment horizontal="center"/>
    </xf>
    <xf numFmtId="2" fontId="0" fillId="24" borderId="10" xfId="0" applyNumberFormat="1" applyFill="1" applyBorder="1" applyAlignment="1">
      <alignment horizontal="center"/>
    </xf>
    <xf numFmtId="3" fontId="0" fillId="24" borderId="10" xfId="0" applyNumberFormat="1" applyFill="1" applyBorder="1" applyAlignment="1">
      <alignment horizontal="center"/>
    </xf>
    <xf numFmtId="14" fontId="45" fillId="31" borderId="0" xfId="0" applyNumberFormat="1" applyFont="1" applyFill="1" applyAlignment="1">
      <alignment horizontal="left" vertical="top" wrapText="1"/>
    </xf>
    <xf numFmtId="0" fontId="4" fillId="31" borderId="10" xfId="0" applyFont="1" applyFill="1" applyBorder="1" applyAlignment="1">
      <alignment horizontal="left" vertical="center"/>
    </xf>
    <xf numFmtId="2" fontId="0" fillId="0" borderId="10" xfId="0" applyNumberFormat="1" applyFill="1" applyBorder="1" applyAlignment="1">
      <alignment horizontal="center"/>
    </xf>
    <xf numFmtId="0" fontId="0" fillId="39" borderId="10" xfId="0" applyNumberFormat="1" applyFill="1" applyBorder="1" applyAlignment="1">
      <alignment horizontal="right" vertical="center" wrapText="1"/>
    </xf>
    <xf numFmtId="170" fontId="4" fillId="39" borderId="10" xfId="0" applyNumberFormat="1" applyFont="1" applyFill="1" applyBorder="1" applyAlignment="1">
      <alignment horizontal="center" vertical="center" wrapText="1"/>
    </xf>
    <xf numFmtId="170" fontId="4" fillId="39" borderId="19" xfId="0" quotePrefix="1" applyNumberFormat="1" applyFont="1" applyFill="1" applyBorder="1" applyAlignment="1">
      <alignment horizontal="center" vertical="center" wrapText="1"/>
    </xf>
    <xf numFmtId="0" fontId="6" fillId="31" borderId="0" xfId="0" applyNumberFormat="1" applyFont="1" applyFill="1" applyBorder="1" applyAlignment="1">
      <alignment horizontal="center" vertical="center" wrapText="1"/>
    </xf>
    <xf numFmtId="0" fontId="6" fillId="31" borderId="0" xfId="0" applyNumberFormat="1" applyFont="1" applyFill="1" applyBorder="1" applyAlignment="1">
      <alignment vertical="center" wrapText="1"/>
    </xf>
    <xf numFmtId="0" fontId="6" fillId="0" borderId="10" xfId="43" applyFont="1" applyFill="1" applyBorder="1" applyAlignment="1">
      <alignment horizontal="center" vertical="center" wrapText="1"/>
    </xf>
    <xf numFmtId="0" fontId="38" fillId="0" borderId="10" xfId="43" applyFont="1" applyFill="1" applyBorder="1" applyAlignment="1">
      <alignment horizontal="center" vertical="center"/>
    </xf>
    <xf numFmtId="0" fontId="38" fillId="0" borderId="10" xfId="43" applyFont="1" applyFill="1" applyBorder="1" applyAlignment="1">
      <alignment horizontal="center" vertical="center" wrapText="1"/>
    </xf>
    <xf numFmtId="0" fontId="6" fillId="36" borderId="10" xfId="45" applyFont="1" applyFill="1" applyBorder="1" applyAlignment="1">
      <alignment horizontal="left" vertical="center" wrapText="1"/>
    </xf>
    <xf numFmtId="0" fontId="51" fillId="36" borderId="10" xfId="44" applyFont="1" applyFill="1" applyBorder="1" applyAlignment="1">
      <alignment horizontal="left" vertical="center"/>
    </xf>
    <xf numFmtId="0" fontId="4" fillId="0" borderId="10" xfId="0" applyFont="1" applyBorder="1"/>
    <xf numFmtId="0" fontId="0" fillId="0" borderId="16" xfId="0" applyBorder="1"/>
    <xf numFmtId="0" fontId="51" fillId="36" borderId="14" xfId="44" applyFont="1" applyFill="1" applyBorder="1" applyAlignment="1">
      <alignment horizontal="left" vertical="center"/>
    </xf>
    <xf numFmtId="0" fontId="0" fillId="40" borderId="14" xfId="0" applyFill="1" applyBorder="1"/>
    <xf numFmtId="0" fontId="0" fillId="40" borderId="13" xfId="0" applyFill="1" applyBorder="1"/>
    <xf numFmtId="2" fontId="0" fillId="0" borderId="10" xfId="0" applyNumberFormat="1" applyBorder="1"/>
    <xf numFmtId="10" fontId="4" fillId="26" borderId="10" xfId="0" applyNumberFormat="1" applyFont="1" applyFill="1" applyBorder="1" applyAlignment="1">
      <alignment vertical="center" wrapText="1"/>
    </xf>
    <xf numFmtId="0" fontId="4" fillId="31" borderId="10" xfId="0" applyFont="1" applyFill="1" applyBorder="1" applyAlignment="1">
      <alignment horizontal="left" vertical="center"/>
    </xf>
    <xf numFmtId="0" fontId="4" fillId="39" borderId="16" xfId="0" quotePrefix="1" applyFont="1" applyFill="1" applyBorder="1" applyAlignment="1">
      <alignment horizontal="center" vertical="center" wrapText="1"/>
    </xf>
    <xf numFmtId="0" fontId="54" fillId="0" borderId="10" xfId="46" applyFont="1" applyFill="1" applyBorder="1" applyAlignment="1">
      <alignment vertical="center" wrapText="1"/>
    </xf>
    <xf numFmtId="0" fontId="4" fillId="31" borderId="0" xfId="43" applyFont="1" applyFill="1" applyBorder="1"/>
    <xf numFmtId="171" fontId="0" fillId="0" borderId="11" xfId="47" applyNumberFormat="1" applyFont="1" applyBorder="1"/>
    <xf numFmtId="164" fontId="0" fillId="33" borderId="10" xfId="0" applyNumberFormat="1" applyFill="1" applyBorder="1"/>
    <xf numFmtId="170" fontId="12" fillId="26" borderId="10" xfId="0" applyNumberFormat="1" applyFont="1" applyFill="1" applyBorder="1" applyAlignment="1">
      <alignment horizontal="right"/>
    </xf>
    <xf numFmtId="11" fontId="12" fillId="26" borderId="10" xfId="0" applyNumberFormat="1" applyFont="1" applyFill="1" applyBorder="1" applyAlignment="1">
      <alignment horizontal="right"/>
    </xf>
    <xf numFmtId="0" fontId="0" fillId="0" borderId="0" xfId="0" applyFill="1"/>
    <xf numFmtId="0" fontId="4" fillId="0" borderId="10" xfId="43" applyFont="1" applyFill="1" applyBorder="1" applyAlignment="1">
      <alignment horizontal="center" vertical="center" wrapText="1"/>
    </xf>
    <xf numFmtId="10" fontId="4" fillId="26" borderId="10" xfId="48" applyNumberFormat="1" applyFont="1" applyFill="1" applyBorder="1" applyAlignment="1">
      <alignment vertical="center" wrapText="1"/>
    </xf>
    <xf numFmtId="0" fontId="42" fillId="31" borderId="0" xfId="43" applyFont="1" applyFill="1" applyAlignment="1">
      <alignment horizontal="left"/>
    </xf>
    <xf numFmtId="0" fontId="4" fillId="33" borderId="10" xfId="43" applyFill="1" applyBorder="1"/>
    <xf numFmtId="0" fontId="4" fillId="0" borderId="0" xfId="43" applyFont="1" applyFill="1"/>
    <xf numFmtId="0" fontId="4" fillId="0" borderId="0" xfId="43" applyFill="1"/>
    <xf numFmtId="0" fontId="4" fillId="32" borderId="10" xfId="43" applyFill="1" applyBorder="1"/>
    <xf numFmtId="0" fontId="9" fillId="0" borderId="0" xfId="43" applyFont="1" applyFill="1"/>
    <xf numFmtId="0" fontId="4" fillId="31" borderId="0" xfId="43" applyFill="1"/>
    <xf numFmtId="0" fontId="4" fillId="31" borderId="0" xfId="43" applyFont="1" applyFill="1"/>
    <xf numFmtId="0" fontId="6" fillId="31" borderId="10" xfId="43" applyFont="1" applyFill="1" applyBorder="1"/>
    <xf numFmtId="0" fontId="4" fillId="0" borderId="10" xfId="43" applyFill="1" applyBorder="1" applyAlignment="1">
      <alignment horizontal="left" vertical="center" wrapText="1"/>
    </xf>
    <xf numFmtId="0" fontId="4" fillId="0" borderId="10" xfId="43" applyFill="1" applyBorder="1" applyAlignment="1">
      <alignment horizontal="center" vertical="center" wrapText="1"/>
    </xf>
    <xf numFmtId="0" fontId="6" fillId="0" borderId="0" xfId="43" applyFont="1" applyFill="1" applyBorder="1" applyAlignment="1">
      <alignment vertical="center" wrapText="1"/>
    </xf>
    <xf numFmtId="0" fontId="4" fillId="31" borderId="10" xfId="43" applyFont="1" applyFill="1" applyBorder="1" applyAlignment="1">
      <alignment vertical="center"/>
    </xf>
    <xf numFmtId="0" fontId="4" fillId="0" borderId="10" xfId="43" applyNumberFormat="1" applyFont="1" applyFill="1" applyBorder="1" applyAlignment="1">
      <alignment vertical="center" wrapText="1"/>
    </xf>
    <xf numFmtId="0" fontId="4" fillId="0" borderId="10" xfId="43" applyFont="1" applyFill="1" applyBorder="1" applyAlignment="1">
      <alignment vertical="center" wrapText="1"/>
    </xf>
    <xf numFmtId="0" fontId="4" fillId="0" borderId="15" xfId="43" applyFont="1" applyFill="1" applyBorder="1" applyAlignment="1">
      <alignment vertical="center" wrapText="1"/>
    </xf>
    <xf numFmtId="11" fontId="4" fillId="33" borderId="10" xfId="43" applyNumberFormat="1" applyFont="1" applyFill="1" applyBorder="1" applyAlignment="1">
      <alignment horizontal="center" vertical="center"/>
    </xf>
    <xf numFmtId="0" fontId="4" fillId="32" borderId="10" xfId="43" applyFont="1" applyFill="1" applyBorder="1" applyAlignment="1">
      <alignment horizontal="center" vertical="center"/>
    </xf>
    <xf numFmtId="0" fontId="4" fillId="0" borderId="15" xfId="43" applyFont="1" applyFill="1" applyBorder="1" applyAlignment="1">
      <alignment horizontal="center" vertical="center" wrapText="1"/>
    </xf>
    <xf numFmtId="0" fontId="4" fillId="31" borderId="10" xfId="43" applyFont="1" applyFill="1" applyBorder="1" applyAlignment="1">
      <alignment vertical="center" wrapText="1"/>
    </xf>
    <xf numFmtId="0" fontId="6" fillId="0" borderId="16" xfId="43" applyFont="1" applyFill="1" applyBorder="1" applyAlignment="1">
      <alignment vertical="center"/>
    </xf>
    <xf numFmtId="0" fontId="6" fillId="0" borderId="12" xfId="43" applyFont="1" applyFill="1" applyBorder="1" applyAlignment="1">
      <alignment vertical="center"/>
    </xf>
    <xf numFmtId="0" fontId="6" fillId="0" borderId="11" xfId="43" applyFont="1" applyFill="1" applyBorder="1" applyAlignment="1">
      <alignment vertical="center"/>
    </xf>
    <xf numFmtId="0" fontId="4" fillId="31" borderId="15" xfId="43" applyFont="1" applyFill="1" applyBorder="1" applyAlignment="1">
      <alignment vertical="center"/>
    </xf>
    <xf numFmtId="3" fontId="4" fillId="32" borderId="10" xfId="43" applyNumberFormat="1" applyFont="1" applyFill="1" applyBorder="1" applyAlignment="1">
      <alignment horizontal="center" vertical="center"/>
    </xf>
    <xf numFmtId="0" fontId="4" fillId="0" borderId="13" xfId="43" applyFont="1" applyFill="1" applyBorder="1" applyAlignment="1">
      <alignment vertical="center" wrapText="1"/>
    </xf>
    <xf numFmtId="0" fontId="4" fillId="0" borderId="14" xfId="43" applyFont="1" applyFill="1" applyBorder="1" applyAlignment="1">
      <alignment vertical="center" wrapText="1"/>
    </xf>
    <xf numFmtId="0" fontId="4" fillId="0" borderId="14" xfId="43" applyFont="1" applyFill="1" applyBorder="1" applyAlignment="1">
      <alignment horizontal="center" vertical="center" wrapText="1"/>
    </xf>
    <xf numFmtId="0" fontId="4" fillId="0" borderId="0" xfId="43" applyNumberFormat="1" applyFill="1"/>
    <xf numFmtId="0" fontId="39" fillId="31" borderId="0" xfId="43" applyFont="1" applyFill="1" applyAlignment="1">
      <alignment vertical="center"/>
    </xf>
    <xf numFmtId="0" fontId="38" fillId="31" borderId="0" xfId="43" applyFont="1" applyFill="1" applyAlignment="1">
      <alignment horizontal="center" vertical="center" wrapText="1"/>
    </xf>
    <xf numFmtId="0" fontId="38" fillId="31" borderId="0" xfId="43" applyFont="1" applyFill="1" applyAlignment="1">
      <alignment vertical="center" wrapText="1"/>
    </xf>
    <xf numFmtId="0" fontId="38" fillId="0" borderId="0" xfId="43" applyFont="1" applyFill="1" applyAlignment="1">
      <alignment vertical="center"/>
    </xf>
    <xf numFmtId="0" fontId="38" fillId="0" borderId="0" xfId="43" applyFont="1" applyFill="1" applyAlignment="1">
      <alignment vertical="center" wrapText="1"/>
    </xf>
    <xf numFmtId="0" fontId="38" fillId="31" borderId="0" xfId="43" applyFont="1" applyFill="1" applyAlignment="1">
      <alignment vertical="center"/>
    </xf>
    <xf numFmtId="0" fontId="4" fillId="39" borderId="10" xfId="43" applyFill="1" applyBorder="1"/>
    <xf numFmtId="0" fontId="4" fillId="39" borderId="10" xfId="43" applyFont="1" applyFill="1" applyBorder="1" applyAlignment="1">
      <alignment horizontal="center" vertical="center"/>
    </xf>
    <xf numFmtId="0" fontId="4" fillId="32" borderId="16" xfId="0" quotePrefix="1" applyNumberFormat="1" applyFont="1" applyFill="1" applyBorder="1" applyAlignment="1">
      <alignment horizontal="center" vertical="center" wrapText="1"/>
    </xf>
    <xf numFmtId="0" fontId="4" fillId="27" borderId="10" xfId="0" applyFont="1" applyFill="1" applyBorder="1" applyAlignment="1">
      <alignment horizontal="center" vertical="center"/>
    </xf>
    <xf numFmtId="0" fontId="0" fillId="39" borderId="10" xfId="0" applyFont="1" applyFill="1" applyBorder="1" applyAlignment="1">
      <alignment horizontal="center" vertical="center" wrapText="1"/>
    </xf>
    <xf numFmtId="0" fontId="0" fillId="39" borderId="10" xfId="0" applyFont="1" applyFill="1" applyBorder="1" applyAlignment="1">
      <alignment vertical="center"/>
    </xf>
    <xf numFmtId="0" fontId="0" fillId="39" borderId="0" xfId="0" applyFill="1" applyAlignment="1"/>
    <xf numFmtId="0" fontId="0" fillId="39" borderId="10" xfId="0" applyFill="1" applyBorder="1"/>
    <xf numFmtId="165" fontId="57" fillId="39" borderId="10" xfId="0" applyNumberFormat="1" applyFont="1" applyFill="1" applyBorder="1" applyAlignment="1">
      <alignment vertical="center"/>
    </xf>
    <xf numFmtId="165" fontId="0" fillId="39" borderId="10" xfId="0" applyNumberFormat="1" applyFill="1" applyBorder="1"/>
    <xf numFmtId="165" fontId="6" fillId="0" borderId="12" xfId="43" applyNumberFormat="1" applyFont="1" applyFill="1" applyBorder="1" applyAlignment="1">
      <alignment vertical="center"/>
    </xf>
    <xf numFmtId="0" fontId="1" fillId="0" borderId="0" xfId="50" applyFill="1"/>
    <xf numFmtId="0" fontId="4" fillId="32" borderId="10" xfId="0" applyFont="1" applyFill="1" applyBorder="1" applyAlignment="1">
      <alignment horizontal="center" vertical="center" wrapText="1"/>
    </xf>
    <xf numFmtId="0" fontId="45" fillId="31" borderId="0" xfId="0" applyFont="1" applyFill="1" applyBorder="1" applyAlignment="1">
      <alignment horizontal="left" vertical="top"/>
    </xf>
    <xf numFmtId="165" fontId="0" fillId="39" borderId="10" xfId="0" applyNumberFormat="1" applyFont="1" applyFill="1" applyBorder="1" applyAlignment="1">
      <alignment horizontal="center" vertical="center"/>
    </xf>
    <xf numFmtId="165" fontId="4" fillId="39" borderId="10" xfId="43" applyNumberFormat="1" applyFont="1" applyFill="1" applyBorder="1" applyAlignment="1">
      <alignment horizontal="center" vertical="center"/>
    </xf>
    <xf numFmtId="165" fontId="4" fillId="39" borderId="10" xfId="43" applyNumberFormat="1" applyFont="1" applyFill="1" applyBorder="1" applyAlignment="1">
      <alignment horizontal="center" vertical="center" wrapText="1"/>
    </xf>
    <xf numFmtId="165" fontId="0" fillId="39" borderId="10" xfId="0" applyNumberFormat="1" applyFont="1" applyFill="1" applyBorder="1" applyAlignment="1">
      <alignment horizontal="center" vertical="center" wrapText="1"/>
    </xf>
    <xf numFmtId="165" fontId="0" fillId="39" borderId="10" xfId="0" applyNumberFormat="1" applyFont="1" applyFill="1" applyBorder="1" applyAlignment="1">
      <alignment horizontal="center"/>
    </xf>
    <xf numFmtId="165" fontId="4" fillId="39" borderId="10" xfId="43" applyNumberFormat="1" applyFont="1" applyFill="1" applyBorder="1" applyAlignment="1">
      <alignment horizontal="center"/>
    </xf>
    <xf numFmtId="165" fontId="4" fillId="39" borderId="10" xfId="43" applyNumberFormat="1" applyFont="1" applyFill="1" applyBorder="1" applyAlignment="1">
      <alignment horizontal="center" wrapText="1"/>
    </xf>
    <xf numFmtId="165" fontId="2" fillId="39" borderId="0" xfId="49" applyNumberFormat="1" applyFill="1" applyAlignment="1">
      <alignment horizontal="center"/>
    </xf>
    <xf numFmtId="165" fontId="0" fillId="39" borderId="10" xfId="0" applyNumberFormat="1" applyFont="1" applyFill="1" applyBorder="1" applyAlignment="1">
      <alignment horizontal="center" wrapText="1"/>
    </xf>
    <xf numFmtId="0" fontId="4" fillId="39" borderId="10" xfId="0" applyFont="1" applyFill="1" applyBorder="1" applyAlignment="1">
      <alignment horizontal="center" vertical="center" wrapText="1"/>
    </xf>
    <xf numFmtId="0" fontId="4" fillId="39" borderId="10" xfId="0" applyFont="1" applyFill="1" applyBorder="1" applyAlignment="1">
      <alignment vertical="center"/>
    </xf>
    <xf numFmtId="169" fontId="4" fillId="39" borderId="10" xfId="0" applyNumberFormat="1" applyFont="1" applyFill="1" applyBorder="1" applyAlignment="1">
      <alignment horizontal="center" vertical="center" wrapText="1"/>
    </xf>
    <xf numFmtId="0" fontId="4" fillId="39" borderId="10" xfId="0" applyFont="1" applyFill="1" applyBorder="1" applyAlignment="1">
      <alignment vertical="center" wrapText="1"/>
    </xf>
    <xf numFmtId="0" fontId="4" fillId="39" borderId="16" xfId="0" applyFont="1" applyFill="1" applyBorder="1" applyAlignment="1">
      <alignment horizontal="center" vertical="center" wrapText="1"/>
    </xf>
    <xf numFmtId="0" fontId="47" fillId="31" borderId="0" xfId="0" applyFont="1" applyFill="1"/>
    <xf numFmtId="14" fontId="45" fillId="31" borderId="0" xfId="0" applyNumberFormat="1" applyFont="1" applyFill="1" applyAlignment="1">
      <alignment horizontal="left"/>
    </xf>
    <xf numFmtId="14" fontId="47" fillId="31" borderId="0" xfId="0" applyNumberFormat="1" applyFont="1" applyFill="1" applyAlignment="1">
      <alignment horizontal="left"/>
    </xf>
    <xf numFmtId="0" fontId="47" fillId="32" borderId="0" xfId="0" applyFont="1" applyFill="1"/>
    <xf numFmtId="0" fontId="47" fillId="39" borderId="0" xfId="0" applyFont="1" applyFill="1"/>
    <xf numFmtId="0" fontId="47" fillId="33" borderId="0" xfId="0" applyFont="1" applyFill="1"/>
    <xf numFmtId="0" fontId="45" fillId="32" borderId="0" xfId="0" applyFont="1" applyFill="1"/>
    <xf numFmtId="0" fontId="45" fillId="38" borderId="0" xfId="0" applyFont="1" applyFill="1"/>
    <xf numFmtId="0" fontId="45" fillId="35" borderId="0" xfId="0" applyFont="1" applyFill="1"/>
    <xf numFmtId="0" fontId="45" fillId="31" borderId="0" xfId="0" quotePrefix="1" applyFont="1" applyFill="1"/>
    <xf numFmtId="0" fontId="45" fillId="31" borderId="0" xfId="0" quotePrefix="1" applyFont="1" applyFill="1" applyAlignment="1">
      <alignment horizontal="left" vertical="top"/>
    </xf>
    <xf numFmtId="2" fontId="0" fillId="33" borderId="10" xfId="0" applyNumberFormat="1" applyFill="1" applyBorder="1" applyAlignment="1">
      <alignment horizontal="left"/>
    </xf>
    <xf numFmtId="0" fontId="74" fillId="39" borderId="10" xfId="50" applyFont="1" applyFill="1" applyBorder="1"/>
    <xf numFmtId="0" fontId="4" fillId="39" borderId="10" xfId="0" applyFont="1" applyFill="1" applyBorder="1" applyAlignment="1">
      <alignment horizontal="left"/>
    </xf>
    <xf numFmtId="2" fontId="4" fillId="39" borderId="10" xfId="43" applyNumberFormat="1" applyFont="1" applyFill="1" applyBorder="1"/>
    <xf numFmtId="0" fontId="4" fillId="39" borderId="10" xfId="43" applyFont="1" applyFill="1" applyBorder="1"/>
    <xf numFmtId="0" fontId="45" fillId="31" borderId="0" xfId="0" quotePrefix="1" applyFont="1" applyFill="1" applyAlignment="1">
      <alignment wrapText="1"/>
    </xf>
    <xf numFmtId="0" fontId="47" fillId="31" borderId="10" xfId="0" applyFont="1" applyFill="1" applyBorder="1"/>
    <xf numFmtId="0" fontId="45" fillId="31" borderId="0" xfId="0" applyFont="1" applyFill="1" applyAlignment="1">
      <alignment wrapText="1"/>
    </xf>
    <xf numFmtId="10" fontId="4" fillId="72" borderId="10" xfId="48" applyNumberFormat="1" applyFont="1" applyFill="1" applyBorder="1" applyAlignment="1">
      <alignment horizontal="right" vertical="center" wrapText="1"/>
    </xf>
    <xf numFmtId="10" fontId="0" fillId="72" borderId="10" xfId="48" applyNumberFormat="1" applyFont="1" applyFill="1" applyBorder="1" applyAlignment="1">
      <alignment horizontal="left" vertical="top"/>
    </xf>
    <xf numFmtId="168" fontId="4" fillId="39" borderId="10" xfId="0" applyNumberFormat="1" applyFont="1" applyFill="1" applyBorder="1" applyAlignment="1">
      <alignment horizontal="center" vertical="center"/>
    </xf>
    <xf numFmtId="0" fontId="4" fillId="27" borderId="10" xfId="0" applyFont="1" applyFill="1" applyBorder="1" applyAlignment="1">
      <alignment horizontal="left" vertical="center"/>
    </xf>
    <xf numFmtId="0" fontId="0" fillId="33" borderId="10" xfId="0" applyFill="1" applyBorder="1"/>
    <xf numFmtId="0" fontId="4" fillId="33" borderId="10" xfId="0" applyFont="1" applyFill="1" applyBorder="1"/>
    <xf numFmtId="10" fontId="4" fillId="72" borderId="10" xfId="48" applyNumberFormat="1" applyFont="1" applyFill="1" applyBorder="1" applyAlignment="1">
      <alignment vertical="center" wrapText="1"/>
    </xf>
    <xf numFmtId="165" fontId="4" fillId="39" borderId="10" xfId="0" applyNumberFormat="1" applyFont="1" applyFill="1" applyBorder="1" applyAlignment="1">
      <alignment horizontal="center" vertical="center"/>
    </xf>
    <xf numFmtId="165" fontId="4" fillId="39" borderId="35" xfId="0" applyNumberFormat="1" applyFont="1" applyFill="1" applyBorder="1" applyAlignment="1">
      <alignment horizontal="center" vertical="center" wrapText="1"/>
    </xf>
    <xf numFmtId="2" fontId="4" fillId="39" borderId="35" xfId="0" applyNumberFormat="1" applyFont="1" applyFill="1" applyBorder="1" applyAlignment="1">
      <alignment horizontal="center" vertical="center" wrapText="1"/>
    </xf>
    <xf numFmtId="166" fontId="4" fillId="39" borderId="35" xfId="0" applyNumberFormat="1" applyFont="1" applyFill="1" applyBorder="1" applyAlignment="1">
      <alignment horizontal="center" vertical="center" wrapText="1"/>
    </xf>
    <xf numFmtId="166" fontId="4" fillId="39" borderId="34" xfId="0" applyNumberFormat="1" applyFont="1" applyFill="1" applyBorder="1" applyAlignment="1">
      <alignment horizontal="center" vertical="center" wrapText="1"/>
    </xf>
    <xf numFmtId="11" fontId="4" fillId="33" borderId="10" xfId="0" applyNumberFormat="1" applyFont="1" applyFill="1" applyBorder="1" applyAlignment="1">
      <alignment horizontal="center" vertical="center" wrapText="1"/>
    </xf>
    <xf numFmtId="11" fontId="4" fillId="33" borderId="19" xfId="0" applyNumberFormat="1" applyFont="1" applyFill="1" applyBorder="1" applyAlignment="1">
      <alignment horizontal="center" vertical="center" wrapText="1"/>
    </xf>
    <xf numFmtId="11" fontId="4" fillId="33" borderId="20" xfId="0" applyNumberFormat="1" applyFont="1" applyFill="1" applyBorder="1" applyAlignment="1">
      <alignment horizontal="center" vertical="center" wrapText="1"/>
    </xf>
    <xf numFmtId="3" fontId="0" fillId="39" borderId="10" xfId="0" applyNumberFormat="1" applyFill="1" applyBorder="1" applyAlignment="1">
      <alignment horizontal="right" vertical="center" wrapText="1"/>
    </xf>
    <xf numFmtId="165" fontId="4" fillId="33" borderId="10" xfId="0" applyNumberFormat="1" applyFont="1" applyFill="1" applyBorder="1" applyAlignment="1">
      <alignment vertical="center" wrapText="1"/>
    </xf>
    <xf numFmtId="0" fontId="4" fillId="73" borderId="10" xfId="43" applyFont="1" applyFill="1" applyBorder="1" applyAlignment="1">
      <alignment vertical="center"/>
    </xf>
    <xf numFmtId="0" fontId="4" fillId="73" borderId="10" xfId="43" applyFont="1" applyFill="1" applyBorder="1" applyAlignment="1">
      <alignment vertical="center" wrapText="1"/>
    </xf>
    <xf numFmtId="0" fontId="42" fillId="73" borderId="10" xfId="43" applyFont="1" applyFill="1" applyBorder="1" applyAlignment="1">
      <alignment horizontal="left"/>
    </xf>
    <xf numFmtId="0" fontId="4" fillId="73" borderId="15" xfId="43" applyFont="1" applyFill="1" applyBorder="1" applyAlignment="1">
      <alignment vertical="center"/>
    </xf>
    <xf numFmtId="0" fontId="4" fillId="73" borderId="15" xfId="43" applyFont="1" applyFill="1" applyBorder="1" applyAlignment="1">
      <alignment vertical="center" wrapText="1"/>
    </xf>
    <xf numFmtId="0" fontId="4" fillId="73" borderId="10" xfId="0" applyFont="1" applyFill="1" applyBorder="1" applyAlignment="1">
      <alignment vertical="center" wrapText="1"/>
    </xf>
    <xf numFmtId="0" fontId="4" fillId="0" borderId="0" xfId="43" applyNumberFormat="1"/>
    <xf numFmtId="165" fontId="4" fillId="0" borderId="0" xfId="43" applyNumberFormat="1"/>
    <xf numFmtId="0" fontId="4" fillId="31" borderId="0" xfId="0" applyFont="1" applyFill="1" applyAlignment="1">
      <alignment vertical="center"/>
    </xf>
    <xf numFmtId="0" fontId="0" fillId="31" borderId="0" xfId="0" applyNumberFormat="1" applyFill="1" applyAlignment="1">
      <alignment vertical="center"/>
    </xf>
    <xf numFmtId="0" fontId="78" fillId="31" borderId="0" xfId="0" applyNumberFormat="1" applyFont="1" applyFill="1" applyAlignment="1">
      <alignment horizontal="left" vertical="center"/>
    </xf>
    <xf numFmtId="0" fontId="78" fillId="31" borderId="0" xfId="0" applyFont="1" applyFill="1" applyAlignment="1">
      <alignment horizontal="left" vertical="center"/>
    </xf>
    <xf numFmtId="0" fontId="4" fillId="31" borderId="68" xfId="0" applyFont="1" applyFill="1" applyBorder="1" applyAlignment="1">
      <alignment horizontal="left" vertical="center"/>
    </xf>
    <xf numFmtId="0" fontId="4" fillId="31" borderId="18" xfId="0" applyFont="1" applyFill="1" applyBorder="1" applyAlignment="1">
      <alignment horizontal="left" vertical="center"/>
    </xf>
    <xf numFmtId="9" fontId="0" fillId="31" borderId="0" xfId="0" applyNumberFormat="1" applyFill="1" applyAlignment="1">
      <alignment vertical="center"/>
    </xf>
    <xf numFmtId="0" fontId="4" fillId="31" borderId="0" xfId="0" quotePrefix="1" applyFont="1" applyFill="1" applyAlignment="1">
      <alignment vertical="center"/>
    </xf>
    <xf numFmtId="3" fontId="0" fillId="31" borderId="10" xfId="0" applyNumberFormat="1" applyFill="1" applyBorder="1" applyAlignment="1">
      <alignment vertical="center"/>
    </xf>
    <xf numFmtId="0" fontId="6" fillId="30" borderId="28" xfId="0" applyFont="1" applyFill="1" applyBorder="1" applyAlignment="1">
      <alignment horizontal="center" vertical="center" wrapText="1"/>
    </xf>
    <xf numFmtId="0" fontId="6" fillId="30" borderId="27" xfId="0" applyFont="1" applyFill="1" applyBorder="1" applyAlignment="1">
      <alignment horizontal="center" vertical="center" wrapText="1"/>
    </xf>
    <xf numFmtId="0" fontId="6" fillId="30" borderId="23" xfId="0" applyFont="1" applyFill="1" applyBorder="1" applyAlignment="1">
      <alignment horizontal="center" vertical="center" wrapText="1"/>
    </xf>
    <xf numFmtId="0" fontId="6" fillId="30" borderId="24" xfId="0" applyFont="1" applyFill="1" applyBorder="1" applyAlignment="1">
      <alignment horizontal="center" vertical="center" wrapText="1"/>
    </xf>
    <xf numFmtId="0" fontId="6" fillId="30" borderId="25" xfId="0" applyFont="1" applyFill="1" applyBorder="1" applyAlignment="1">
      <alignment horizontal="center" vertical="center" wrapText="1"/>
    </xf>
    <xf numFmtId="0" fontId="6" fillId="30" borderId="26" xfId="0" applyFont="1" applyFill="1" applyBorder="1" applyAlignment="1">
      <alignment horizontal="center" vertical="center" wrapText="1"/>
    </xf>
    <xf numFmtId="0" fontId="15" fillId="28" borderId="28" xfId="0" applyFont="1" applyFill="1" applyBorder="1" applyAlignment="1">
      <alignment horizontal="center" vertical="center" wrapText="1"/>
    </xf>
    <xf numFmtId="0" fontId="15" fillId="28" borderId="30" xfId="0" applyFont="1" applyFill="1" applyBorder="1" applyAlignment="1">
      <alignment horizontal="center" vertical="center" wrapText="1"/>
    </xf>
    <xf numFmtId="0" fontId="15" fillId="28" borderId="27" xfId="0" applyFont="1" applyFill="1" applyBorder="1" applyAlignment="1">
      <alignment horizontal="center" vertical="center" wrapText="1"/>
    </xf>
    <xf numFmtId="0" fontId="15" fillId="27" borderId="31" xfId="0" applyFont="1" applyFill="1" applyBorder="1" applyAlignment="1">
      <alignment horizontal="center" vertical="center" wrapText="1"/>
    </xf>
    <xf numFmtId="0" fontId="15" fillId="27" borderId="33" xfId="0" applyFont="1" applyFill="1" applyBorder="1" applyAlignment="1">
      <alignment horizontal="center" vertical="center" wrapText="1"/>
    </xf>
    <xf numFmtId="0" fontId="15" fillId="26" borderId="31" xfId="0" applyFont="1" applyFill="1" applyBorder="1" applyAlignment="1">
      <alignment horizontal="center" vertical="center" wrapText="1"/>
    </xf>
    <xf numFmtId="0" fontId="15" fillId="26" borderId="33" xfId="0" applyFont="1" applyFill="1" applyBorder="1" applyAlignment="1">
      <alignment horizontal="center" vertical="center" wrapText="1"/>
    </xf>
    <xf numFmtId="0" fontId="39" fillId="31" borderId="42" xfId="0" applyFont="1" applyFill="1" applyBorder="1" applyAlignment="1">
      <alignment horizontal="left" vertical="center" wrapText="1"/>
    </xf>
    <xf numFmtId="0" fontId="6" fillId="27" borderId="45" xfId="0" applyFont="1" applyFill="1" applyBorder="1" applyAlignment="1">
      <alignment horizontal="center" vertical="center" wrapText="1"/>
    </xf>
    <xf numFmtId="0" fontId="6" fillId="27" borderId="46" xfId="0" applyFont="1" applyFill="1" applyBorder="1" applyAlignment="1">
      <alignment horizontal="center" vertical="center" wrapText="1"/>
    </xf>
    <xf numFmtId="0" fontId="6" fillId="27" borderId="47" xfId="0" applyFont="1" applyFill="1" applyBorder="1" applyAlignment="1">
      <alignment horizontal="center" vertical="center" wrapText="1"/>
    </xf>
    <xf numFmtId="0" fontId="6" fillId="24" borderId="45" xfId="0" applyNumberFormat="1" applyFont="1" applyFill="1" applyBorder="1" applyAlignment="1">
      <alignment horizontal="center" vertical="center" wrapText="1"/>
    </xf>
    <xf numFmtId="0" fontId="6" fillId="24" borderId="46" xfId="0" applyNumberFormat="1" applyFont="1" applyFill="1" applyBorder="1" applyAlignment="1">
      <alignment horizontal="center" vertical="center" wrapText="1"/>
    </xf>
    <xf numFmtId="0" fontId="6" fillId="24" borderId="47" xfId="0" applyNumberFormat="1" applyFont="1" applyFill="1" applyBorder="1" applyAlignment="1">
      <alignment horizontal="center" vertical="center" wrapText="1"/>
    </xf>
    <xf numFmtId="0" fontId="6" fillId="26" borderId="46" xfId="0" applyFont="1" applyFill="1" applyBorder="1" applyAlignment="1">
      <alignment horizontal="center" vertical="center" wrapText="1"/>
    </xf>
    <xf numFmtId="0" fontId="6" fillId="26" borderId="47" xfId="0" applyFont="1" applyFill="1" applyBorder="1" applyAlignment="1">
      <alignment horizontal="center" vertical="center" wrapText="1"/>
    </xf>
    <xf numFmtId="0" fontId="6" fillId="39" borderId="45" xfId="0" applyFont="1" applyFill="1" applyBorder="1" applyAlignment="1">
      <alignment horizontal="center" vertical="center" wrapText="1"/>
    </xf>
    <xf numFmtId="0" fontId="6" fillId="39" borderId="46" xfId="0" applyFont="1" applyFill="1" applyBorder="1" applyAlignment="1">
      <alignment horizontal="center" vertical="center" wrapText="1"/>
    </xf>
    <xf numFmtId="0" fontId="6" fillId="39" borderId="47" xfId="0" applyFont="1" applyFill="1" applyBorder="1" applyAlignment="1">
      <alignment horizontal="center" vertical="center" wrapText="1"/>
    </xf>
    <xf numFmtId="0" fontId="6" fillId="25" borderId="14" xfId="0" applyFont="1" applyFill="1" applyBorder="1" applyAlignment="1">
      <alignment horizontal="center" vertical="center" textRotation="90" wrapText="1"/>
    </xf>
    <xf numFmtId="0" fontId="6" fillId="25" borderId="13" xfId="0" applyFont="1" applyFill="1" applyBorder="1" applyAlignment="1">
      <alignment horizontal="center" vertical="center" textRotation="90" wrapText="1"/>
    </xf>
    <xf numFmtId="0" fontId="6" fillId="25" borderId="15" xfId="0" applyFont="1" applyFill="1" applyBorder="1" applyAlignment="1">
      <alignment horizontal="center" vertical="center" textRotation="90" wrapText="1"/>
    </xf>
    <xf numFmtId="0" fontId="6" fillId="24" borderId="45" xfId="0" applyFont="1" applyFill="1" applyBorder="1" applyAlignment="1">
      <alignment horizontal="center" vertical="center" wrapText="1"/>
    </xf>
    <xf numFmtId="0" fontId="6" fillId="24" borderId="46" xfId="0" applyFont="1" applyFill="1" applyBorder="1" applyAlignment="1">
      <alignment horizontal="center" vertical="center" wrapText="1"/>
    </xf>
    <xf numFmtId="0" fontId="6" fillId="24" borderId="47" xfId="0" applyFont="1" applyFill="1" applyBorder="1" applyAlignment="1">
      <alignment horizontal="center" vertical="center" wrapText="1"/>
    </xf>
    <xf numFmtId="0" fontId="6" fillId="25" borderId="10" xfId="0" applyFont="1" applyFill="1" applyBorder="1" applyAlignment="1">
      <alignment horizontal="center" vertical="center" wrapText="1"/>
    </xf>
    <xf numFmtId="0" fontId="6" fillId="26" borderId="45" xfId="0" applyFont="1" applyFill="1" applyBorder="1" applyAlignment="1">
      <alignment horizontal="center" vertical="center" wrapText="1"/>
    </xf>
    <xf numFmtId="0" fontId="6" fillId="25" borderId="16" xfId="0" applyFont="1" applyFill="1" applyBorder="1" applyAlignment="1">
      <alignment horizontal="left" vertical="center" wrapText="1"/>
    </xf>
    <xf numFmtId="0" fontId="6" fillId="25" borderId="11" xfId="0" applyFont="1" applyFill="1" applyBorder="1" applyAlignment="1">
      <alignment horizontal="left" vertical="center" wrapText="1"/>
    </xf>
    <xf numFmtId="0" fontId="4" fillId="32" borderId="10" xfId="0" applyFont="1" applyFill="1" applyBorder="1" applyAlignment="1">
      <alignment horizontal="left"/>
    </xf>
    <xf numFmtId="0" fontId="6" fillId="26" borderId="29" xfId="0" applyFont="1" applyFill="1" applyBorder="1" applyAlignment="1">
      <alignment horizontal="center" vertical="center" wrapText="1"/>
    </xf>
    <xf numFmtId="0" fontId="6" fillId="26" borderId="20" xfId="0" applyFont="1" applyFill="1" applyBorder="1" applyAlignment="1">
      <alignment horizontal="center" vertical="center" wrapText="1"/>
    </xf>
    <xf numFmtId="0" fontId="6" fillId="26" borderId="37" xfId="0" applyFont="1" applyFill="1" applyBorder="1" applyAlignment="1">
      <alignment horizontal="center" vertical="center" wrapText="1"/>
    </xf>
    <xf numFmtId="0" fontId="6" fillId="26" borderId="39" xfId="0" applyFont="1" applyFill="1" applyBorder="1" applyAlignment="1">
      <alignment horizontal="center" vertical="center" wrapText="1"/>
    </xf>
    <xf numFmtId="0" fontId="6" fillId="26" borderId="14" xfId="0" applyFont="1" applyFill="1" applyBorder="1" applyAlignment="1">
      <alignment horizontal="center" vertical="center" wrapText="1"/>
    </xf>
    <xf numFmtId="0" fontId="6" fillId="26" borderId="36" xfId="0" applyFont="1" applyFill="1" applyBorder="1" applyAlignment="1">
      <alignment horizontal="center" vertical="center" wrapText="1"/>
    </xf>
    <xf numFmtId="0" fontId="6" fillId="24" borderId="28" xfId="0" applyFont="1" applyFill="1" applyBorder="1" applyAlignment="1">
      <alignment horizontal="center" vertical="center" wrapText="1"/>
    </xf>
    <xf numFmtId="0" fontId="6" fillId="24" borderId="30" xfId="0" applyFont="1" applyFill="1" applyBorder="1" applyAlignment="1">
      <alignment horizontal="center" vertical="center" wrapText="1"/>
    </xf>
    <xf numFmtId="0" fontId="6" fillId="24" borderId="27" xfId="0" applyFont="1" applyFill="1" applyBorder="1" applyAlignment="1">
      <alignment horizontal="center" vertical="center" wrapText="1"/>
    </xf>
    <xf numFmtId="0" fontId="6" fillId="24" borderId="25" xfId="0" applyFont="1" applyFill="1" applyBorder="1" applyAlignment="1">
      <alignment horizontal="center" vertical="center" wrapText="1"/>
    </xf>
    <xf numFmtId="0" fontId="6" fillId="24" borderId="17" xfId="0" applyFont="1" applyFill="1" applyBorder="1" applyAlignment="1">
      <alignment horizontal="center" vertical="center" wrapText="1"/>
    </xf>
    <xf numFmtId="0" fontId="6" fillId="24" borderId="26" xfId="0" applyFont="1" applyFill="1" applyBorder="1" applyAlignment="1">
      <alignment horizontal="center" vertical="center" wrapText="1"/>
    </xf>
    <xf numFmtId="0" fontId="6" fillId="36" borderId="10" xfId="43" applyFont="1" applyFill="1" applyBorder="1" applyAlignment="1">
      <alignment horizontal="left" vertical="center" wrapText="1"/>
    </xf>
    <xf numFmtId="0" fontId="50" fillId="36" borderId="10" xfId="44" applyFont="1" applyFill="1" applyBorder="1" applyAlignment="1">
      <alignment horizontal="left" vertical="center"/>
    </xf>
    <xf numFmtId="0" fontId="51" fillId="36" borderId="10" xfId="44" applyFont="1" applyFill="1" applyBorder="1" applyAlignment="1">
      <alignment horizontal="left" vertical="center" wrapText="1"/>
    </xf>
    <xf numFmtId="0" fontId="6" fillId="0" borderId="10" xfId="43" applyFont="1" applyFill="1" applyBorder="1" applyAlignment="1">
      <alignment horizontal="center" vertical="center" wrapText="1"/>
    </xf>
    <xf numFmtId="0" fontId="4" fillId="0" borderId="10" xfId="43" applyFont="1" applyFill="1" applyBorder="1" applyAlignment="1">
      <alignment horizontal="center" vertical="center" wrapText="1"/>
    </xf>
    <xf numFmtId="0" fontId="38" fillId="0" borderId="10" xfId="43" quotePrefix="1" applyFont="1" applyFill="1" applyBorder="1" applyAlignment="1">
      <alignment horizontal="center" vertical="center" wrapText="1"/>
    </xf>
    <xf numFmtId="0" fontId="53" fillId="0" borderId="10" xfId="44" applyFont="1" applyFill="1" applyBorder="1" applyAlignment="1">
      <alignment horizontal="center" vertical="center" wrapText="1"/>
    </xf>
    <xf numFmtId="0" fontId="6" fillId="27" borderId="28" xfId="0" applyFont="1" applyFill="1" applyBorder="1" applyAlignment="1">
      <alignment horizontal="center" vertical="center" wrapText="1"/>
    </xf>
    <xf numFmtId="0" fontId="6" fillId="27" borderId="30" xfId="0" applyFont="1" applyFill="1" applyBorder="1" applyAlignment="1">
      <alignment horizontal="center" vertical="center" wrapText="1"/>
    </xf>
    <xf numFmtId="0" fontId="6" fillId="27" borderId="27" xfId="0" applyFont="1" applyFill="1" applyBorder="1" applyAlignment="1">
      <alignment horizontal="center" vertical="center" wrapText="1"/>
    </xf>
    <xf numFmtId="0" fontId="6" fillId="27" borderId="53" xfId="0" applyFont="1" applyFill="1" applyBorder="1" applyAlignment="1">
      <alignment horizontal="center" vertical="center" wrapText="1"/>
    </xf>
    <xf numFmtId="0" fontId="6" fillId="27" borderId="21" xfId="0" applyFont="1" applyFill="1" applyBorder="1" applyAlignment="1">
      <alignment horizontal="center" vertical="center" wrapText="1"/>
    </xf>
    <xf numFmtId="0" fontId="6" fillId="27" borderId="54" xfId="0" applyFont="1" applyFill="1" applyBorder="1" applyAlignment="1">
      <alignment horizontal="center" vertical="center" wrapText="1"/>
    </xf>
    <xf numFmtId="0" fontId="6" fillId="39" borderId="55" xfId="0" applyFont="1" applyFill="1" applyBorder="1" applyAlignment="1">
      <alignment horizontal="center" vertical="center" wrapText="1"/>
    </xf>
    <xf numFmtId="0" fontId="6" fillId="39" borderId="56" xfId="0" applyFont="1" applyFill="1" applyBorder="1" applyAlignment="1">
      <alignment horizontal="center" vertical="center" wrapText="1"/>
    </xf>
    <xf numFmtId="0" fontId="6" fillId="39" borderId="57" xfId="0" applyFont="1" applyFill="1" applyBorder="1" applyAlignment="1">
      <alignment horizontal="center" vertical="center" wrapText="1"/>
    </xf>
    <xf numFmtId="0" fontId="6" fillId="27" borderId="31" xfId="0" applyFont="1" applyFill="1" applyBorder="1" applyAlignment="1">
      <alignment horizontal="center" vertical="center" wrapText="1"/>
    </xf>
    <xf numFmtId="0" fontId="6" fillId="27" borderId="33" xfId="0" applyFont="1" applyFill="1" applyBorder="1" applyAlignment="1">
      <alignment horizontal="center" vertical="center" wrapText="1"/>
    </xf>
    <xf numFmtId="0" fontId="6" fillId="26" borderId="31" xfId="0" applyFont="1" applyFill="1" applyBorder="1" applyAlignment="1">
      <alignment horizontal="center" vertical="center" wrapText="1"/>
    </xf>
    <xf numFmtId="0" fontId="6" fillId="26" borderId="33" xfId="0" applyFont="1" applyFill="1" applyBorder="1" applyAlignment="1">
      <alignment horizontal="center" vertical="center" wrapText="1"/>
    </xf>
    <xf numFmtId="0" fontId="6" fillId="24" borderId="31" xfId="0" applyFont="1" applyFill="1" applyBorder="1" applyAlignment="1">
      <alignment horizontal="center" vertical="center" wrapText="1"/>
    </xf>
    <xf numFmtId="0" fontId="6" fillId="24" borderId="33" xfId="0" applyFont="1" applyFill="1" applyBorder="1" applyAlignment="1">
      <alignment horizontal="center" vertical="center" wrapText="1"/>
    </xf>
    <xf numFmtId="0" fontId="4" fillId="31" borderId="16" xfId="0" applyFont="1" applyFill="1" applyBorder="1" applyAlignment="1">
      <alignment horizontal="left" vertical="center"/>
    </xf>
    <xf numFmtId="0" fontId="4" fillId="31" borderId="11" xfId="0" applyFont="1" applyFill="1" applyBorder="1" applyAlignment="1">
      <alignment horizontal="left" vertical="center"/>
    </xf>
    <xf numFmtId="0" fontId="6" fillId="25" borderId="14" xfId="0" applyFont="1" applyFill="1" applyBorder="1" applyAlignment="1">
      <alignment horizontal="center" vertical="center" wrapText="1"/>
    </xf>
    <xf numFmtId="0" fontId="6" fillId="25" borderId="15" xfId="0" applyFont="1" applyFill="1" applyBorder="1" applyAlignment="1">
      <alignment horizontal="center" vertical="center" wrapText="1"/>
    </xf>
    <xf numFmtId="0" fontId="4" fillId="31" borderId="10" xfId="0" applyFont="1" applyFill="1" applyBorder="1" applyAlignment="1">
      <alignment horizontal="left" vertical="center"/>
    </xf>
    <xf numFmtId="0" fontId="0" fillId="31" borderId="10" xfId="0" applyFill="1" applyBorder="1" applyAlignment="1">
      <alignment horizontal="left" vertical="center"/>
    </xf>
    <xf numFmtId="0" fontId="13" fillId="25" borderId="16" xfId="0" applyFont="1" applyFill="1" applyBorder="1" applyAlignment="1">
      <alignment horizontal="center" vertical="center" wrapText="1"/>
    </xf>
    <xf numFmtId="0" fontId="13" fillId="25" borderId="12" xfId="0" applyFont="1" applyFill="1" applyBorder="1" applyAlignment="1">
      <alignment horizontal="center" vertical="center" wrapText="1"/>
    </xf>
    <xf numFmtId="0" fontId="13" fillId="25" borderId="11" xfId="0" applyFont="1" applyFill="1" applyBorder="1" applyAlignment="1">
      <alignment horizontal="center" vertical="center" wrapText="1"/>
    </xf>
    <xf numFmtId="0" fontId="13" fillId="25" borderId="14" xfId="0" applyFont="1" applyFill="1" applyBorder="1" applyAlignment="1">
      <alignment horizontal="center" vertical="center" wrapText="1"/>
    </xf>
    <xf numFmtId="0" fontId="6" fillId="25" borderId="10" xfId="0" applyFont="1" applyFill="1" applyBorder="1" applyAlignment="1">
      <alignment horizontal="center" vertical="center"/>
    </xf>
    <xf numFmtId="0" fontId="6" fillId="25" borderId="16" xfId="0" applyFont="1" applyFill="1" applyBorder="1" applyAlignment="1">
      <alignment horizontal="center" vertical="center"/>
    </xf>
    <xf numFmtId="0" fontId="6" fillId="25" borderId="16" xfId="0" applyFont="1" applyFill="1" applyBorder="1" applyAlignment="1">
      <alignment horizontal="left" vertical="center"/>
    </xf>
    <xf numFmtId="0" fontId="6" fillId="25" borderId="12" xfId="0" applyFont="1" applyFill="1" applyBorder="1" applyAlignment="1">
      <alignment horizontal="left" vertical="center"/>
    </xf>
    <xf numFmtId="0" fontId="4" fillId="31" borderId="16" xfId="0" applyFont="1" applyFill="1" applyBorder="1" applyAlignment="1">
      <alignment horizontal="left" vertical="center" wrapText="1"/>
    </xf>
    <xf numFmtId="0" fontId="0" fillId="31" borderId="11" xfId="0" applyFill="1" applyBorder="1" applyAlignment="1">
      <alignment horizontal="left" vertical="center" wrapText="1"/>
    </xf>
    <xf numFmtId="0" fontId="42" fillId="31" borderId="0" xfId="43" applyFont="1" applyFill="1" applyAlignment="1">
      <alignment horizontal="left"/>
    </xf>
    <xf numFmtId="0" fontId="39" fillId="31" borderId="42" xfId="43" applyFont="1" applyFill="1" applyBorder="1" applyAlignment="1">
      <alignment horizontal="left" vertical="center" wrapText="1"/>
    </xf>
    <xf numFmtId="0" fontId="6" fillId="31" borderId="0" xfId="0" applyFont="1" applyFill="1" applyAlignment="1">
      <alignment horizontal="right" vertical="top" textRotation="90"/>
    </xf>
    <xf numFmtId="0" fontId="42" fillId="31" borderId="0" xfId="0" applyFont="1" applyFill="1" applyAlignment="1">
      <alignment horizontal="left"/>
    </xf>
    <xf numFmtId="0" fontId="6" fillId="25" borderId="13" xfId="0" applyFont="1" applyFill="1" applyBorder="1" applyAlignment="1">
      <alignment horizontal="center" vertical="center" wrapText="1"/>
    </xf>
    <xf numFmtId="0" fontId="4" fillId="31" borderId="14" xfId="0" applyFont="1" applyFill="1" applyBorder="1" applyAlignment="1">
      <alignment horizontal="center" vertical="center"/>
    </xf>
    <xf numFmtId="0" fontId="4" fillId="31" borderId="15" xfId="0" applyFont="1" applyFill="1" applyBorder="1" applyAlignment="1">
      <alignment horizontal="center" vertical="center"/>
    </xf>
    <xf numFmtId="0" fontId="78" fillId="31" borderId="68" xfId="0" applyFont="1" applyFill="1" applyBorder="1" applyAlignment="1">
      <alignment horizontal="left" vertical="center"/>
    </xf>
    <xf numFmtId="0" fontId="78" fillId="0" borderId="68" xfId="0" applyFont="1" applyBorder="1" applyAlignment="1">
      <alignment horizontal="left" vertical="center"/>
    </xf>
    <xf numFmtId="0" fontId="4" fillId="31" borderId="14" xfId="0" applyNumberFormat="1" applyFont="1" applyFill="1" applyBorder="1" applyAlignment="1">
      <alignment horizontal="left" wrapText="1"/>
    </xf>
    <xf numFmtId="0" fontId="0" fillId="0" borderId="15" xfId="0" applyBorder="1" applyAlignment="1">
      <alignment horizontal="left" wrapText="1"/>
    </xf>
    <xf numFmtId="0" fontId="4" fillId="26" borderId="10" xfId="0" applyFont="1" applyFill="1" applyBorder="1" applyAlignment="1">
      <alignment horizontal="center" vertical="center" wrapText="1"/>
    </xf>
    <xf numFmtId="0" fontId="6" fillId="25" borderId="10" xfId="0" applyFont="1" applyFill="1" applyBorder="1" applyAlignment="1">
      <alignment horizontal="left" vertical="center" wrapText="1"/>
    </xf>
    <xf numFmtId="0" fontId="0" fillId="32" borderId="29" xfId="0" applyFill="1" applyBorder="1" applyAlignment="1">
      <alignment horizontal="center" vertical="center" wrapText="1"/>
    </xf>
    <xf numFmtId="0" fontId="0" fillId="32" borderId="38" xfId="0" applyFill="1" applyBorder="1" applyAlignment="1">
      <alignment horizontal="center" vertical="center" wrapText="1"/>
    </xf>
    <xf numFmtId="0" fontId="0" fillId="32" borderId="22" xfId="0" applyFill="1" applyBorder="1" applyAlignment="1">
      <alignment horizontal="center" vertical="center" wrapText="1"/>
    </xf>
    <xf numFmtId="0" fontId="6" fillId="25" borderId="52" xfId="0" applyFont="1" applyFill="1" applyBorder="1" applyAlignment="1">
      <alignment horizontal="center" vertical="center" wrapText="1"/>
    </xf>
    <xf numFmtId="0" fontId="6" fillId="39" borderId="58" xfId="0" applyFont="1" applyFill="1" applyBorder="1" applyAlignment="1">
      <alignment horizontal="center" vertical="center" wrapText="1"/>
    </xf>
    <xf numFmtId="0" fontId="6" fillId="24" borderId="38" xfId="0" applyFont="1" applyFill="1" applyBorder="1" applyAlignment="1">
      <alignment horizontal="center" vertical="center" wrapText="1"/>
    </xf>
    <xf numFmtId="0" fontId="6" fillId="24" borderId="10" xfId="0" applyFont="1" applyFill="1" applyBorder="1" applyAlignment="1">
      <alignment horizontal="center" vertical="center" wrapText="1"/>
    </xf>
    <xf numFmtId="0" fontId="6" fillId="24" borderId="35" xfId="0" applyFont="1" applyFill="1" applyBorder="1" applyAlignment="1">
      <alignment horizontal="center" vertical="center" wrapText="1"/>
    </xf>
    <xf numFmtId="0" fontId="6" fillId="24" borderId="22" xfId="0" applyFont="1" applyFill="1" applyBorder="1" applyAlignment="1">
      <alignment horizontal="center" vertical="center" wrapText="1"/>
    </xf>
    <xf numFmtId="0" fontId="6" fillId="24" borderId="19" xfId="0" applyFont="1" applyFill="1" applyBorder="1" applyAlignment="1">
      <alignment horizontal="center" vertical="center" wrapText="1"/>
    </xf>
    <xf numFmtId="0" fontId="6" fillId="24" borderId="34" xfId="0" applyFont="1" applyFill="1" applyBorder="1" applyAlignment="1">
      <alignment horizontal="center" vertical="center" wrapText="1"/>
    </xf>
    <xf numFmtId="0" fontId="4"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0" fillId="33" borderId="37" xfId="0" applyFill="1" applyBorder="1" applyAlignment="1">
      <alignment horizontal="center" vertical="center" wrapText="1"/>
    </xf>
    <xf numFmtId="0" fontId="0" fillId="24" borderId="40" xfId="0" applyFill="1" applyBorder="1" applyAlignment="1">
      <alignment horizontal="center" vertical="center" wrapText="1"/>
    </xf>
    <xf numFmtId="0" fontId="0" fillId="24" borderId="41" xfId="0" applyFill="1" applyBorder="1" applyAlignment="1">
      <alignment horizontal="center" vertical="center" wrapText="1"/>
    </xf>
    <xf numFmtId="0" fontId="4" fillId="33" borderId="19" xfId="0" applyFont="1" applyFill="1" applyBorder="1" applyAlignment="1">
      <alignment horizontal="center" vertical="center" wrapText="1"/>
    </xf>
    <xf numFmtId="0" fontId="0" fillId="33" borderId="19" xfId="0" applyFill="1" applyBorder="1" applyAlignment="1">
      <alignment horizontal="center" vertical="center" wrapText="1"/>
    </xf>
    <xf numFmtId="0" fontId="0" fillId="33" borderId="34" xfId="0" applyFill="1" applyBorder="1" applyAlignment="1">
      <alignment horizontal="center" vertical="center" wrapText="1"/>
    </xf>
    <xf numFmtId="0" fontId="6" fillId="27" borderId="29" xfId="0" applyFont="1" applyFill="1" applyBorder="1" applyAlignment="1">
      <alignment horizontal="center" vertical="center" wrapText="1"/>
    </xf>
    <xf numFmtId="0" fontId="6" fillId="27" borderId="20" xfId="0" applyFont="1" applyFill="1" applyBorder="1" applyAlignment="1">
      <alignment horizontal="center" vertical="center" wrapText="1"/>
    </xf>
    <xf numFmtId="0" fontId="6" fillId="27" borderId="37" xfId="0" applyFont="1" applyFill="1" applyBorder="1" applyAlignment="1">
      <alignment horizontal="center" vertical="center" wrapText="1"/>
    </xf>
    <xf numFmtId="0" fontId="6" fillId="27" borderId="39" xfId="0" applyFont="1" applyFill="1" applyBorder="1" applyAlignment="1">
      <alignment horizontal="center" vertical="center" wrapText="1"/>
    </xf>
    <xf numFmtId="0" fontId="6" fillId="27" borderId="14" xfId="0" applyFont="1" applyFill="1" applyBorder="1" applyAlignment="1">
      <alignment horizontal="center" vertical="center" wrapText="1"/>
    </xf>
    <xf numFmtId="0" fontId="6" fillId="27" borderId="36" xfId="0" applyFont="1" applyFill="1" applyBorder="1" applyAlignment="1">
      <alignment horizontal="center" vertical="center" wrapText="1"/>
    </xf>
    <xf numFmtId="0" fontId="6" fillId="26" borderId="22" xfId="0" applyFont="1" applyFill="1" applyBorder="1" applyAlignment="1">
      <alignment horizontal="center" vertical="center" wrapText="1"/>
    </xf>
    <xf numFmtId="0" fontId="6" fillId="26" borderId="19" xfId="0" applyFont="1" applyFill="1" applyBorder="1" applyAlignment="1">
      <alignment horizontal="center" vertical="center" wrapText="1"/>
    </xf>
    <xf numFmtId="0" fontId="6" fillId="26" borderId="34" xfId="0" applyFont="1" applyFill="1" applyBorder="1" applyAlignment="1">
      <alignment horizontal="center" vertical="center" wrapText="1"/>
    </xf>
    <xf numFmtId="0" fontId="4" fillId="24" borderId="40" xfId="0" applyFont="1" applyFill="1" applyBorder="1" applyAlignment="1">
      <alignment horizontal="center" vertical="center" wrapText="1"/>
    </xf>
    <xf numFmtId="0" fontId="6" fillId="24" borderId="38" xfId="43" applyFont="1" applyFill="1" applyBorder="1" applyAlignment="1">
      <alignment horizontal="center" vertical="center" wrapText="1"/>
    </xf>
    <xf numFmtId="0" fontId="6" fillId="24" borderId="10" xfId="43" applyFont="1" applyFill="1" applyBorder="1" applyAlignment="1">
      <alignment horizontal="center" vertical="center" wrapText="1"/>
    </xf>
    <xf numFmtId="0" fontId="6" fillId="24" borderId="35" xfId="43" applyFont="1" applyFill="1" applyBorder="1" applyAlignment="1">
      <alignment horizontal="center" vertical="center" wrapText="1"/>
    </xf>
    <xf numFmtId="0" fontId="6" fillId="24" borderId="22" xfId="43" applyFont="1" applyFill="1" applyBorder="1" applyAlignment="1">
      <alignment horizontal="center" vertical="center" wrapText="1"/>
    </xf>
    <xf numFmtId="0" fontId="6" fillId="24" borderId="19" xfId="43" applyFont="1" applyFill="1" applyBorder="1" applyAlignment="1">
      <alignment horizontal="center" vertical="center" wrapText="1"/>
    </xf>
    <xf numFmtId="0" fontId="6" fillId="24" borderId="34" xfId="43" applyFont="1" applyFill="1" applyBorder="1" applyAlignment="1">
      <alignment horizontal="center" vertical="center" wrapText="1"/>
    </xf>
    <xf numFmtId="0" fontId="4" fillId="33" borderId="20" xfId="43" applyFont="1" applyFill="1" applyBorder="1" applyAlignment="1">
      <alignment horizontal="center" vertical="center" wrapText="1"/>
    </xf>
    <xf numFmtId="0" fontId="4" fillId="33" borderId="20" xfId="43" applyFill="1" applyBorder="1" applyAlignment="1">
      <alignment horizontal="center" vertical="center" wrapText="1"/>
    </xf>
    <xf numFmtId="0" fontId="4" fillId="33" borderId="37" xfId="43" applyFill="1" applyBorder="1" applyAlignment="1">
      <alignment horizontal="center" vertical="center" wrapText="1"/>
    </xf>
    <xf numFmtId="0" fontId="4" fillId="24" borderId="40" xfId="43" applyFill="1" applyBorder="1" applyAlignment="1">
      <alignment horizontal="center" vertical="center" wrapText="1"/>
    </xf>
    <xf numFmtId="0" fontId="4" fillId="24" borderId="41" xfId="43" applyFill="1" applyBorder="1" applyAlignment="1">
      <alignment horizontal="center" vertical="center" wrapText="1"/>
    </xf>
    <xf numFmtId="0" fontId="4" fillId="33" borderId="19" xfId="43" applyFont="1" applyFill="1" applyBorder="1" applyAlignment="1">
      <alignment horizontal="center" vertical="center" wrapText="1"/>
    </xf>
    <xf numFmtId="0" fontId="4" fillId="33" borderId="19" xfId="43" applyFill="1" applyBorder="1" applyAlignment="1">
      <alignment horizontal="center" vertical="center" wrapText="1"/>
    </xf>
    <xf numFmtId="0" fontId="4" fillId="33" borderId="34" xfId="43" applyFill="1" applyBorder="1" applyAlignment="1">
      <alignment horizontal="center" vertical="center" wrapText="1"/>
    </xf>
    <xf numFmtId="0" fontId="6" fillId="27" borderId="29" xfId="43" applyFont="1" applyFill="1" applyBorder="1" applyAlignment="1">
      <alignment horizontal="center" vertical="center" wrapText="1"/>
    </xf>
    <xf numFmtId="0" fontId="6" fillId="27" borderId="20" xfId="43" applyFont="1" applyFill="1" applyBorder="1" applyAlignment="1">
      <alignment horizontal="center" vertical="center" wrapText="1"/>
    </xf>
    <xf numFmtId="0" fontId="6" fillId="27" borderId="37" xfId="43" applyFont="1" applyFill="1" applyBorder="1" applyAlignment="1">
      <alignment horizontal="center" vertical="center" wrapText="1"/>
    </xf>
    <xf numFmtId="0" fontId="6" fillId="27" borderId="39" xfId="43" applyFont="1" applyFill="1" applyBorder="1" applyAlignment="1">
      <alignment horizontal="center" vertical="center" wrapText="1"/>
    </xf>
    <xf numFmtId="0" fontId="6" fillId="27" borderId="14" xfId="43" applyFont="1" applyFill="1" applyBorder="1" applyAlignment="1">
      <alignment horizontal="center" vertical="center" wrapText="1"/>
    </xf>
    <xf numFmtId="0" fontId="6" fillId="27" borderId="36" xfId="43" applyFont="1" applyFill="1" applyBorder="1" applyAlignment="1">
      <alignment horizontal="center" vertical="center" wrapText="1"/>
    </xf>
    <xf numFmtId="0" fontId="6" fillId="26" borderId="29" xfId="43" applyFont="1" applyFill="1" applyBorder="1" applyAlignment="1">
      <alignment horizontal="center" vertical="center" wrapText="1"/>
    </xf>
    <xf numFmtId="0" fontId="6" fillId="26" borderId="20" xfId="43" applyFont="1" applyFill="1" applyBorder="1" applyAlignment="1">
      <alignment horizontal="center" vertical="center" wrapText="1"/>
    </xf>
    <xf numFmtId="0" fontId="6" fillId="26" borderId="37" xfId="43" applyFont="1" applyFill="1" applyBorder="1" applyAlignment="1">
      <alignment horizontal="center" vertical="center" wrapText="1"/>
    </xf>
    <xf numFmtId="0" fontId="6" fillId="26" borderId="22" xfId="43" applyFont="1" applyFill="1" applyBorder="1" applyAlignment="1">
      <alignment horizontal="center" vertical="center" wrapText="1"/>
    </xf>
    <xf numFmtId="0" fontId="6" fillId="26" borderId="19" xfId="43" applyFont="1" applyFill="1" applyBorder="1" applyAlignment="1">
      <alignment horizontal="center" vertical="center" wrapText="1"/>
    </xf>
    <xf numFmtId="0" fontId="6" fillId="26" borderId="34" xfId="43" applyFont="1" applyFill="1" applyBorder="1" applyAlignment="1">
      <alignment horizontal="center" vertical="center" wrapText="1"/>
    </xf>
  </cellXfs>
  <cellStyles count="92">
    <cellStyle name="20% - Accent1" xfId="1" builtinId="30" customBuiltin="1"/>
    <cellStyle name="20% - Accent1 2" xfId="69" xr:uid="{00000000-0005-0000-0000-000001000000}"/>
    <cellStyle name="20% - Accent2" xfId="2" builtinId="34" customBuiltin="1"/>
    <cellStyle name="20% - Accent2 2" xfId="73" xr:uid="{00000000-0005-0000-0000-000003000000}"/>
    <cellStyle name="20% - Accent3" xfId="3" builtinId="38" customBuiltin="1"/>
    <cellStyle name="20% - Accent3 2" xfId="77" xr:uid="{00000000-0005-0000-0000-000005000000}"/>
    <cellStyle name="20% - Accent4" xfId="4" builtinId="42" customBuiltin="1"/>
    <cellStyle name="20% - Accent4 2" xfId="81" xr:uid="{00000000-0005-0000-0000-000007000000}"/>
    <cellStyle name="20% - Accent5" xfId="5" builtinId="46" customBuiltin="1"/>
    <cellStyle name="20% - Accent5 2" xfId="85" xr:uid="{00000000-0005-0000-0000-000009000000}"/>
    <cellStyle name="20% - Accent6" xfId="6" builtinId="50" customBuiltin="1"/>
    <cellStyle name="20% - Accent6 2" xfId="89" xr:uid="{00000000-0005-0000-0000-00000B000000}"/>
    <cellStyle name="40% - Accent1" xfId="7" builtinId="31" customBuiltin="1"/>
    <cellStyle name="40% - Accent1 2" xfId="70" xr:uid="{00000000-0005-0000-0000-00000D000000}"/>
    <cellStyle name="40% - Accent2" xfId="8" builtinId="35" customBuiltin="1"/>
    <cellStyle name="40% - Accent2 2" xfId="74" xr:uid="{00000000-0005-0000-0000-00000F000000}"/>
    <cellStyle name="40% - Accent3" xfId="9" builtinId="39" customBuiltin="1"/>
    <cellStyle name="40% - Accent3 2" xfId="78" xr:uid="{00000000-0005-0000-0000-000011000000}"/>
    <cellStyle name="40% - Accent4" xfId="10" builtinId="43" customBuiltin="1"/>
    <cellStyle name="40% - Accent4 2" xfId="82" xr:uid="{00000000-0005-0000-0000-000013000000}"/>
    <cellStyle name="40% - Accent5" xfId="11" builtinId="47" customBuiltin="1"/>
    <cellStyle name="40% - Accent5 2" xfId="86" xr:uid="{00000000-0005-0000-0000-000015000000}"/>
    <cellStyle name="40% - Accent6" xfId="12" builtinId="51" customBuiltin="1"/>
    <cellStyle name="40% - Accent6 2" xfId="90" xr:uid="{00000000-0005-0000-0000-000017000000}"/>
    <cellStyle name="60% - Accent1" xfId="13" builtinId="32" customBuiltin="1"/>
    <cellStyle name="60% - Accent1 2" xfId="71" xr:uid="{00000000-0005-0000-0000-000019000000}"/>
    <cellStyle name="60% - Accent2" xfId="14" builtinId="36" customBuiltin="1"/>
    <cellStyle name="60% - Accent2 2" xfId="75" xr:uid="{00000000-0005-0000-0000-00001B000000}"/>
    <cellStyle name="60% - Accent3" xfId="15" builtinId="40" customBuiltin="1"/>
    <cellStyle name="60% - Accent3 2" xfId="79" xr:uid="{00000000-0005-0000-0000-00001D000000}"/>
    <cellStyle name="60% - Accent4" xfId="16" builtinId="44" customBuiltin="1"/>
    <cellStyle name="60% - Accent4 2" xfId="83" xr:uid="{00000000-0005-0000-0000-00001F000000}"/>
    <cellStyle name="60% - Accent5" xfId="17" builtinId="48" customBuiltin="1"/>
    <cellStyle name="60% - Accent5 2" xfId="87" xr:uid="{00000000-0005-0000-0000-000021000000}"/>
    <cellStyle name="60% - Accent6" xfId="18" builtinId="52" customBuiltin="1"/>
    <cellStyle name="60% - Accent6 2" xfId="91" xr:uid="{00000000-0005-0000-0000-000023000000}"/>
    <cellStyle name="Accent1" xfId="19" builtinId="29" customBuiltin="1"/>
    <cellStyle name="Accent1 2" xfId="68" xr:uid="{00000000-0005-0000-0000-000025000000}"/>
    <cellStyle name="Accent2" xfId="20" builtinId="33" customBuiltin="1"/>
    <cellStyle name="Accent2 2" xfId="72" xr:uid="{00000000-0005-0000-0000-000027000000}"/>
    <cellStyle name="Accent3" xfId="21" builtinId="37" customBuiltin="1"/>
    <cellStyle name="Accent3 2" xfId="76" xr:uid="{00000000-0005-0000-0000-000029000000}"/>
    <cellStyle name="Accent4" xfId="22" builtinId="41" customBuiltin="1"/>
    <cellStyle name="Accent4 2" xfId="80" xr:uid="{00000000-0005-0000-0000-00002B000000}"/>
    <cellStyle name="Accent5" xfId="23" builtinId="45" customBuiltin="1"/>
    <cellStyle name="Accent5 2" xfId="84" xr:uid="{00000000-0005-0000-0000-00002D000000}"/>
    <cellStyle name="Accent6" xfId="24" builtinId="49" customBuiltin="1"/>
    <cellStyle name="Accent6 2" xfId="88" xr:uid="{00000000-0005-0000-0000-00002F000000}"/>
    <cellStyle name="Bad" xfId="25" builtinId="27" customBuiltin="1"/>
    <cellStyle name="Bad 2" xfId="57" xr:uid="{00000000-0005-0000-0000-000031000000}"/>
    <cellStyle name="Calculation" xfId="26" builtinId="22" customBuiltin="1"/>
    <cellStyle name="Calculation 2" xfId="61" xr:uid="{00000000-0005-0000-0000-000033000000}"/>
    <cellStyle name="Check Cell" xfId="27" builtinId="23" customBuiltin="1"/>
    <cellStyle name="Check Cell 2" xfId="63" xr:uid="{00000000-0005-0000-0000-000035000000}"/>
    <cellStyle name="Comma" xfId="47" builtinId="3"/>
    <cellStyle name="Explanatory Text" xfId="28" builtinId="53" customBuiltin="1"/>
    <cellStyle name="Explanatory Text 2" xfId="66" xr:uid="{00000000-0005-0000-0000-000038000000}"/>
    <cellStyle name="Good" xfId="29" builtinId="26" customBuiltin="1"/>
    <cellStyle name="Good 2" xfId="56" xr:uid="{00000000-0005-0000-0000-00003A000000}"/>
    <cellStyle name="Heading 1" xfId="30" builtinId="16" customBuiltin="1"/>
    <cellStyle name="Heading 1 2" xfId="52" xr:uid="{00000000-0005-0000-0000-00003C000000}"/>
    <cellStyle name="Heading 2" xfId="31" builtinId="17" customBuiltin="1"/>
    <cellStyle name="Heading 2 2" xfId="53" xr:uid="{00000000-0005-0000-0000-00003E000000}"/>
    <cellStyle name="Heading 3" xfId="32" builtinId="18" customBuiltin="1"/>
    <cellStyle name="Heading 3 2" xfId="54" xr:uid="{00000000-0005-0000-0000-000040000000}"/>
    <cellStyle name="Heading 4" xfId="33" builtinId="19" customBuiltin="1"/>
    <cellStyle name="Heading 4 2" xfId="55" xr:uid="{00000000-0005-0000-0000-000042000000}"/>
    <cellStyle name="Hyperlink" xfId="34" builtinId="8"/>
    <cellStyle name="Hyperlink 2 2" xfId="46" xr:uid="{00000000-0005-0000-0000-000044000000}"/>
    <cellStyle name="Input" xfId="35" builtinId="20" customBuiltin="1"/>
    <cellStyle name="Input 2" xfId="59" xr:uid="{00000000-0005-0000-0000-000046000000}"/>
    <cellStyle name="Linked Cell" xfId="36" builtinId="24" customBuiltin="1"/>
    <cellStyle name="Linked Cell 2" xfId="62" xr:uid="{00000000-0005-0000-0000-000048000000}"/>
    <cellStyle name="Neutral" xfId="37" builtinId="28" customBuiltin="1"/>
    <cellStyle name="Neutral 2" xfId="58" xr:uid="{00000000-0005-0000-0000-00004A000000}"/>
    <cellStyle name="Normal" xfId="0" builtinId="0"/>
    <cellStyle name="Normal 15" xfId="44" xr:uid="{00000000-0005-0000-0000-00004C000000}"/>
    <cellStyle name="Normal 19" xfId="49" xr:uid="{00000000-0005-0000-0000-00004D000000}"/>
    <cellStyle name="Normal 2" xfId="43" xr:uid="{00000000-0005-0000-0000-00004E000000}"/>
    <cellStyle name="Normal 3" xfId="45" xr:uid="{00000000-0005-0000-0000-00004F000000}"/>
    <cellStyle name="Normal 4" xfId="50" xr:uid="{00000000-0005-0000-0000-000050000000}"/>
    <cellStyle name="Note" xfId="38" builtinId="10" customBuiltin="1"/>
    <cellStyle name="Note 2" xfId="65" xr:uid="{00000000-0005-0000-0000-000052000000}"/>
    <cellStyle name="Output" xfId="39" builtinId="21" customBuiltin="1"/>
    <cellStyle name="Output 2" xfId="60" xr:uid="{00000000-0005-0000-0000-000054000000}"/>
    <cellStyle name="Percent" xfId="48" builtinId="5"/>
    <cellStyle name="Title" xfId="40" builtinId="15" customBuiltin="1"/>
    <cellStyle name="Title 2" xfId="51" xr:uid="{00000000-0005-0000-0000-000057000000}"/>
    <cellStyle name="Total" xfId="41" builtinId="25" customBuiltin="1"/>
    <cellStyle name="Total 2" xfId="67" xr:uid="{00000000-0005-0000-0000-000059000000}"/>
    <cellStyle name="Warning Text" xfId="42" builtinId="11" customBuiltin="1"/>
    <cellStyle name="Warning Text 2" xfId="64" xr:uid="{00000000-0005-0000-0000-00005B000000}"/>
  </cellStyles>
  <dxfs count="1">
    <dxf>
      <font>
        <b/>
        <i val="0"/>
        <color rgb="FF0070C0"/>
      </font>
    </dxf>
  </dxfs>
  <tableStyles count="0" defaultTableStyle="TableStyleMedium9" defaultPivotStyle="PivotStyleLight16"/>
  <colors>
    <mruColors>
      <color rgb="FFFF99CC"/>
      <color rgb="FF99CCFF"/>
      <color rgb="FFCCFFCC"/>
      <color rgb="FFFFFF99"/>
      <color rgb="FFC0C0C0"/>
      <color rgb="FF99FF99"/>
      <color rgb="FF99FFCC"/>
      <color rgb="FF008000"/>
      <color rgb="FFCC99FF"/>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7</xdr:row>
          <xdr:rowOff>19050</xdr:rowOff>
        </xdr:from>
        <xdr:to>
          <xdr:col>2</xdr:col>
          <xdr:colOff>666750</xdr:colOff>
          <xdr:row>9</xdr:row>
          <xdr:rowOff>57150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Export Sensitivity Properties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704850</xdr:colOff>
          <xdr:row>7</xdr:row>
          <xdr:rowOff>28575</xdr:rowOff>
        </xdr:from>
        <xdr:to>
          <xdr:col>3</xdr:col>
          <xdr:colOff>590550</xdr:colOff>
          <xdr:row>9</xdr:row>
          <xdr:rowOff>66675</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5391150</xdr:colOff>
          <xdr:row>10</xdr:row>
          <xdr:rowOff>38100</xdr:rowOff>
        </xdr:from>
        <xdr:to>
          <xdr:col>1</xdr:col>
          <xdr:colOff>7067550</xdr:colOff>
          <xdr:row>12</xdr:row>
          <xdr:rowOff>28575</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100-000001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Clear All Site-specific Values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171450</xdr:colOff>
          <xdr:row>0</xdr:row>
          <xdr:rowOff>95250</xdr:rowOff>
        </xdr:from>
        <xdr:to>
          <xdr:col>8</xdr:col>
          <xdr:colOff>285750</xdr:colOff>
          <xdr:row>2</xdr:row>
          <xdr:rowOff>19050</xdr:rowOff>
        </xdr:to>
        <xdr:sp macro="" textlink="">
          <xdr:nvSpPr>
            <xdr:cNvPr id="94209" name="Button 1" hidden="1">
              <a:extLst>
                <a:ext uri="{63B3BB69-23CF-44E3-9099-C40C66FF867C}">
                  <a14:compatExt spid="_x0000_s94209"/>
                </a:ext>
                <a:ext uri="{FF2B5EF4-FFF2-40B4-BE49-F238E27FC236}">
                  <a16:creationId xmlns:a16="http://schemas.microsoft.com/office/drawing/2014/main" id="{00000000-0008-0000-0200-0000017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Development mode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2</xdr:row>
          <xdr:rowOff>133350</xdr:rowOff>
        </xdr:from>
        <xdr:to>
          <xdr:col>8</xdr:col>
          <xdr:colOff>266700</xdr:colOff>
          <xdr:row>5</xdr:row>
          <xdr:rowOff>19050</xdr:rowOff>
        </xdr:to>
        <xdr:sp macro="" textlink="">
          <xdr:nvSpPr>
            <xdr:cNvPr id="94210" name="Button 2" hidden="1">
              <a:extLst>
                <a:ext uri="{63B3BB69-23CF-44E3-9099-C40C66FF867C}">
                  <a14:compatExt spid="_x0000_s94210"/>
                </a:ext>
                <a:ext uri="{FF2B5EF4-FFF2-40B4-BE49-F238E27FC236}">
                  <a16:creationId xmlns:a16="http://schemas.microsoft.com/office/drawing/2014/main" id="{00000000-0008-0000-0200-0000027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Release mode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1743075</xdr:colOff>
          <xdr:row>2</xdr:row>
          <xdr:rowOff>0</xdr:rowOff>
        </xdr:from>
        <xdr:to>
          <xdr:col>6</xdr:col>
          <xdr:colOff>381000</xdr:colOff>
          <xdr:row>3</xdr:row>
          <xdr:rowOff>38100</xdr:rowOff>
        </xdr:to>
        <xdr:sp macro="" textlink="">
          <xdr:nvSpPr>
            <xdr:cNvPr id="94211" name="Button 3" hidden="1">
              <a:extLst>
                <a:ext uri="{63B3BB69-23CF-44E3-9099-C40C66FF867C}">
                  <a14:compatExt spid="_x0000_s94211"/>
                </a:ext>
                <a:ext uri="{FF2B5EF4-FFF2-40B4-BE49-F238E27FC236}">
                  <a16:creationId xmlns:a16="http://schemas.microsoft.com/office/drawing/2014/main" id="{00000000-0008-0000-0200-0000037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Export All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742950</xdr:colOff>
          <xdr:row>3</xdr:row>
          <xdr:rowOff>28575</xdr:rowOff>
        </xdr:from>
        <xdr:to>
          <xdr:col>11</xdr:col>
          <xdr:colOff>323850</xdr:colOff>
          <xdr:row>5</xdr:row>
          <xdr:rowOff>57150</xdr:rowOff>
        </xdr:to>
        <xdr:sp macro="" textlink="">
          <xdr:nvSpPr>
            <xdr:cNvPr id="9254" name="Button 38" hidden="1">
              <a:extLst>
                <a:ext uri="{63B3BB69-23CF-44E3-9099-C40C66FF867C}">
                  <a14:compatExt spid="_x0000_s9254"/>
                </a:ext>
                <a:ext uri="{FF2B5EF4-FFF2-40B4-BE49-F238E27FC236}">
                  <a16:creationId xmlns:a16="http://schemas.microsoft.com/office/drawing/2014/main" id="{00000000-0008-0000-0400-000026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Refresh</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5</xdr:row>
          <xdr:rowOff>38100</xdr:rowOff>
        </xdr:from>
        <xdr:to>
          <xdr:col>4</xdr:col>
          <xdr:colOff>438150</xdr:colOff>
          <xdr:row>7</xdr:row>
          <xdr:rowOff>19050</xdr:rowOff>
        </xdr:to>
        <xdr:sp macro="" textlink="">
          <xdr:nvSpPr>
            <xdr:cNvPr id="53251" name="Button 3" hidden="1">
              <a:extLst>
                <a:ext uri="{63B3BB69-23CF-44E3-9099-C40C66FF867C}">
                  <a14:compatExt spid="_x0000_s53251"/>
                </a:ext>
                <a:ext uri="{FF2B5EF4-FFF2-40B4-BE49-F238E27FC236}">
                  <a16:creationId xmlns:a16="http://schemas.microsoft.com/office/drawing/2014/main" id="{00000000-0008-0000-0900-000003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400049</xdr:colOff>
      <xdr:row>11</xdr:row>
      <xdr:rowOff>104775</xdr:rowOff>
    </xdr:from>
    <xdr:to>
      <xdr:col>5</xdr:col>
      <xdr:colOff>523874</xdr:colOff>
      <xdr:row>25</xdr:row>
      <xdr:rowOff>133350</xdr:rowOff>
    </xdr:to>
    <xdr:grpSp>
      <xdr:nvGrpSpPr>
        <xdr:cNvPr id="2" name="Group 85">
          <a:extLst>
            <a:ext uri="{FF2B5EF4-FFF2-40B4-BE49-F238E27FC236}">
              <a16:creationId xmlns:a16="http://schemas.microsoft.com/office/drawing/2014/main" id="{00000000-0008-0000-0A00-000002000000}"/>
            </a:ext>
          </a:extLst>
        </xdr:cNvPr>
        <xdr:cNvGrpSpPr>
          <a:grpSpLocks/>
        </xdr:cNvGrpSpPr>
      </xdr:nvGrpSpPr>
      <xdr:grpSpPr bwMode="auto">
        <a:xfrm>
          <a:off x="403859" y="2460413"/>
          <a:ext cx="3881120" cy="5288280"/>
          <a:chOff x="702" y="299"/>
          <a:chExt cx="367" cy="267"/>
        </a:xfrm>
      </xdr:grpSpPr>
      <xdr:sp macro="" textlink="">
        <xdr:nvSpPr>
          <xdr:cNvPr id="3" name="Rectangle 64">
            <a:extLst>
              <a:ext uri="{FF2B5EF4-FFF2-40B4-BE49-F238E27FC236}">
                <a16:creationId xmlns:a16="http://schemas.microsoft.com/office/drawing/2014/main" id="{00000000-0008-0000-0A00-000003000000}"/>
              </a:ext>
            </a:extLst>
          </xdr:cNvPr>
          <xdr:cNvSpPr>
            <a:spLocks noChangeArrowheads="1"/>
          </xdr:cNvSpPr>
        </xdr:nvSpPr>
        <xdr:spPr bwMode="auto">
          <a:xfrm>
            <a:off x="702" y="299"/>
            <a:ext cx="367" cy="267"/>
          </a:xfrm>
          <a:prstGeom prst="rect">
            <a:avLst/>
          </a:prstGeom>
          <a:solidFill>
            <a:srgbClr val="9999FF"/>
          </a:solidFill>
          <a:ln w="38100">
            <a:solidFill>
              <a:srgbClr val="000000"/>
            </a:solidFill>
            <a:miter lim="800000"/>
            <a:headEnd/>
            <a:tailEnd/>
          </a:ln>
        </xdr:spPr>
      </xdr:sp>
      <xdr:sp macro="" textlink="">
        <xdr:nvSpPr>
          <xdr:cNvPr id="4" name="Text Box 65">
            <a:extLst>
              <a:ext uri="{FF2B5EF4-FFF2-40B4-BE49-F238E27FC236}">
                <a16:creationId xmlns:a16="http://schemas.microsoft.com/office/drawing/2014/main" id="{00000000-0008-0000-0A00-000004000000}"/>
              </a:ext>
            </a:extLst>
          </xdr:cNvPr>
          <xdr:cNvSpPr txBox="1">
            <a:spLocks noChangeArrowheads="1"/>
          </xdr:cNvSpPr>
        </xdr:nvSpPr>
        <xdr:spPr bwMode="auto">
          <a:xfrm>
            <a:off x="868" y="448"/>
            <a:ext cx="108" cy="84"/>
          </a:xfrm>
          <a:prstGeom prst="rect">
            <a:avLst/>
          </a:prstGeom>
          <a:solidFill>
            <a:srgbClr val="99CCFF"/>
          </a:solidFill>
          <a:ln w="9525">
            <a:solidFill>
              <a:srgbClr val="000000"/>
            </a:solidFill>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Lake</a:t>
            </a:r>
          </a:p>
        </xdr:txBody>
      </xdr:sp>
      <xdr:sp macro="" textlink="">
        <xdr:nvSpPr>
          <xdr:cNvPr id="5" name="Text Box 66">
            <a:extLst>
              <a:ext uri="{FF2B5EF4-FFF2-40B4-BE49-F238E27FC236}">
                <a16:creationId xmlns:a16="http://schemas.microsoft.com/office/drawing/2014/main" id="{00000000-0008-0000-0A00-000005000000}"/>
              </a:ext>
            </a:extLst>
          </xdr:cNvPr>
          <xdr:cNvSpPr txBox="1">
            <a:spLocks noChangeArrowheads="1"/>
          </xdr:cNvSpPr>
        </xdr:nvSpPr>
        <xdr:spPr bwMode="auto">
          <a:xfrm>
            <a:off x="712" y="497"/>
            <a:ext cx="109" cy="42"/>
          </a:xfrm>
          <a:prstGeom prst="rect">
            <a:avLst/>
          </a:prstGeom>
          <a:solidFill>
            <a:srgbClr val="339966"/>
          </a:solidFill>
          <a:ln w="9525">
            <a:solidFill>
              <a:srgbClr val="000000"/>
            </a:solidFill>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Groundwater Parcels</a:t>
            </a:r>
          </a:p>
        </xdr:txBody>
      </xdr:sp>
      <xdr:sp macro="" textlink="">
        <xdr:nvSpPr>
          <xdr:cNvPr id="6" name="Text Box 67">
            <a:extLst>
              <a:ext uri="{FF2B5EF4-FFF2-40B4-BE49-F238E27FC236}">
                <a16:creationId xmlns:a16="http://schemas.microsoft.com/office/drawing/2014/main" id="{00000000-0008-0000-0A00-000006000000}"/>
              </a:ext>
            </a:extLst>
          </xdr:cNvPr>
          <xdr:cNvSpPr txBox="1">
            <a:spLocks noChangeArrowheads="1"/>
          </xdr:cNvSpPr>
        </xdr:nvSpPr>
        <xdr:spPr bwMode="auto">
          <a:xfrm>
            <a:off x="712" y="442"/>
            <a:ext cx="108" cy="42"/>
          </a:xfrm>
          <a:prstGeom prst="rect">
            <a:avLst/>
          </a:prstGeom>
          <a:solidFill>
            <a:srgbClr val="339966"/>
          </a:solidFill>
          <a:ln w="9525">
            <a:solidFill>
              <a:srgbClr val="000000"/>
            </a:solidFill>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Surface Parcels</a:t>
            </a:r>
          </a:p>
        </xdr:txBody>
      </xdr:sp>
      <xdr:sp macro="" textlink="">
        <xdr:nvSpPr>
          <xdr:cNvPr id="7" name="Text Box 68">
            <a:extLst>
              <a:ext uri="{FF2B5EF4-FFF2-40B4-BE49-F238E27FC236}">
                <a16:creationId xmlns:a16="http://schemas.microsoft.com/office/drawing/2014/main" id="{00000000-0008-0000-0A00-000007000000}"/>
              </a:ext>
            </a:extLst>
          </xdr:cNvPr>
          <xdr:cNvSpPr txBox="1">
            <a:spLocks noChangeArrowheads="1"/>
          </xdr:cNvSpPr>
        </xdr:nvSpPr>
        <xdr:spPr bwMode="auto">
          <a:xfrm>
            <a:off x="713" y="313"/>
            <a:ext cx="302" cy="34"/>
          </a:xfrm>
          <a:prstGeom prst="rect">
            <a:avLst/>
          </a:prstGeom>
          <a:noFill/>
          <a:ln w="9525">
            <a:noFill/>
            <a:miter lim="800000"/>
            <a:headEnd/>
            <a:tailEnd/>
          </a:ln>
        </xdr:spPr>
        <xdr:txBody>
          <a:bodyPr vertOverflow="clip" wrap="square" lIns="36576" tIns="27432" rIns="36576" bIns="0" anchor="t" upright="1"/>
          <a:lstStyle/>
          <a:p>
            <a:pPr algn="ctr" rtl="0">
              <a:defRPr sz="1000"/>
            </a:pPr>
            <a:r>
              <a:rPr lang="en-US" sz="1200" b="1" i="0" u="none" strike="noStrike" baseline="0">
                <a:solidFill>
                  <a:srgbClr val="000000"/>
                </a:solidFill>
                <a:latin typeface="Arial"/>
                <a:cs typeface="Arial"/>
              </a:rPr>
              <a:t>Water Flow Chart</a:t>
            </a:r>
          </a:p>
        </xdr:txBody>
      </xdr:sp>
      <xdr:sp macro="" textlink="">
        <xdr:nvSpPr>
          <xdr:cNvPr id="8" name="AutoShape 69">
            <a:extLst>
              <a:ext uri="{FF2B5EF4-FFF2-40B4-BE49-F238E27FC236}">
                <a16:creationId xmlns:a16="http://schemas.microsoft.com/office/drawing/2014/main" id="{00000000-0008-0000-0A00-000008000000}"/>
              </a:ext>
            </a:extLst>
          </xdr:cNvPr>
          <xdr:cNvSpPr>
            <a:spLocks noChangeArrowheads="1"/>
          </xdr:cNvSpPr>
        </xdr:nvSpPr>
        <xdr:spPr bwMode="auto">
          <a:xfrm>
            <a:off x="991" y="312"/>
            <a:ext cx="65" cy="51"/>
          </a:xfrm>
          <a:prstGeom prst="sun">
            <a:avLst>
              <a:gd name="adj" fmla="val 25000"/>
            </a:avLst>
          </a:prstGeom>
          <a:solidFill>
            <a:srgbClr val="FFFF99"/>
          </a:solidFill>
          <a:ln w="9525">
            <a:solidFill>
              <a:srgbClr val="000000"/>
            </a:solidFill>
            <a:miter lim="800000"/>
            <a:headEnd/>
            <a:tailEnd/>
          </a:ln>
        </xdr:spPr>
      </xdr:sp>
      <xdr:sp macro="" textlink="">
        <xdr:nvSpPr>
          <xdr:cNvPr id="9" name="AutoShape 70">
            <a:extLst>
              <a:ext uri="{FF2B5EF4-FFF2-40B4-BE49-F238E27FC236}">
                <a16:creationId xmlns:a16="http://schemas.microsoft.com/office/drawing/2014/main" id="{00000000-0008-0000-0A00-000009000000}"/>
              </a:ext>
            </a:extLst>
          </xdr:cNvPr>
          <xdr:cNvSpPr>
            <a:spLocks noChangeArrowheads="1"/>
          </xdr:cNvSpPr>
        </xdr:nvSpPr>
        <xdr:spPr bwMode="auto">
          <a:xfrm>
            <a:off x="731" y="345"/>
            <a:ext cx="187" cy="24"/>
          </a:xfrm>
          <a:prstGeom prst="cloudCallout">
            <a:avLst>
              <a:gd name="adj1" fmla="val -2046"/>
              <a:gd name="adj2" fmla="val 70833"/>
            </a:avLst>
          </a:prstGeom>
          <a:solidFill>
            <a:srgbClr val="C0C0C0"/>
          </a:solidFill>
          <a:ln w="9525">
            <a:solidFill>
              <a:srgbClr val="000000"/>
            </a:solidFill>
            <a:round/>
            <a:headEnd/>
            <a:tailEnd/>
          </a:ln>
        </xdr:spPr>
      </xdr:sp>
      <xdr:sp macro="" textlink="">
        <xdr:nvSpPr>
          <xdr:cNvPr id="10" name="AutoShape 71">
            <a:extLst>
              <a:ext uri="{FF2B5EF4-FFF2-40B4-BE49-F238E27FC236}">
                <a16:creationId xmlns:a16="http://schemas.microsoft.com/office/drawing/2014/main" id="{00000000-0008-0000-0A00-00000A000000}"/>
              </a:ext>
            </a:extLst>
          </xdr:cNvPr>
          <xdr:cNvSpPr>
            <a:spLocks noChangeArrowheads="1"/>
          </xdr:cNvSpPr>
        </xdr:nvSpPr>
        <xdr:spPr bwMode="auto">
          <a:xfrm>
            <a:off x="777" y="373"/>
            <a:ext cx="21" cy="33"/>
          </a:xfrm>
          <a:prstGeom prst="lightningBolt">
            <a:avLst/>
          </a:prstGeom>
          <a:solidFill>
            <a:srgbClr val="FFFF99"/>
          </a:solidFill>
          <a:ln w="9525">
            <a:solidFill>
              <a:srgbClr val="000000"/>
            </a:solidFill>
            <a:miter lim="800000"/>
            <a:headEnd/>
            <a:tailEnd/>
          </a:ln>
        </xdr:spPr>
      </xdr:sp>
      <xdr:sp macro="" textlink="">
        <xdr:nvSpPr>
          <xdr:cNvPr id="11" name="Text Box 72">
            <a:extLst>
              <a:ext uri="{FF2B5EF4-FFF2-40B4-BE49-F238E27FC236}">
                <a16:creationId xmlns:a16="http://schemas.microsoft.com/office/drawing/2014/main" id="{00000000-0008-0000-0A00-00000B000000}"/>
              </a:ext>
            </a:extLst>
          </xdr:cNvPr>
          <xdr:cNvSpPr txBox="1">
            <a:spLocks noChangeArrowheads="1"/>
          </xdr:cNvSpPr>
        </xdr:nvSpPr>
        <xdr:spPr bwMode="auto">
          <a:xfrm>
            <a:off x="810" y="384"/>
            <a:ext cx="84" cy="49"/>
          </a:xfrm>
          <a:prstGeom prst="rect">
            <a:avLst/>
          </a:prstGeom>
          <a:noFill/>
          <a:ln w="9525">
            <a:noFill/>
            <a:miter lim="800000"/>
            <a:headEnd/>
            <a:tailEnd/>
          </a:ln>
        </xdr:spPr>
        <xdr:txBody>
          <a:bodyPr vertOverflow="clip" wrap="square" lIns="0" tIns="22860" rIns="27432" bIns="0" anchor="t" upright="1"/>
          <a:lstStyle/>
          <a:p>
            <a:pPr algn="r" rtl="0">
              <a:defRPr sz="1000"/>
            </a:pPr>
            <a:r>
              <a:rPr lang="en-US" sz="1000" b="0" i="0" u="none" strike="noStrike" baseline="0">
                <a:solidFill>
                  <a:srgbClr val="000000"/>
                </a:solidFill>
                <a:latin typeface="Arial"/>
                <a:cs typeface="Arial"/>
              </a:rPr>
              <a:t>Direct Precipitation</a:t>
            </a:r>
          </a:p>
        </xdr:txBody>
      </xdr:sp>
      <xdr:sp macro="" textlink="">
        <xdr:nvSpPr>
          <xdr:cNvPr id="12" name="Text Box 73">
            <a:extLst>
              <a:ext uri="{FF2B5EF4-FFF2-40B4-BE49-F238E27FC236}">
                <a16:creationId xmlns:a16="http://schemas.microsoft.com/office/drawing/2014/main" id="{00000000-0008-0000-0A00-00000C000000}"/>
              </a:ext>
            </a:extLst>
          </xdr:cNvPr>
          <xdr:cNvSpPr txBox="1">
            <a:spLocks noChangeArrowheads="1"/>
          </xdr:cNvSpPr>
        </xdr:nvSpPr>
        <xdr:spPr bwMode="auto">
          <a:xfrm>
            <a:off x="946" y="391"/>
            <a:ext cx="85" cy="3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Evaporation</a:t>
            </a:r>
          </a:p>
        </xdr:txBody>
      </xdr:sp>
      <xdr:sp macro="" textlink="">
        <xdr:nvSpPr>
          <xdr:cNvPr id="13" name="Text Box 74">
            <a:extLst>
              <a:ext uri="{FF2B5EF4-FFF2-40B4-BE49-F238E27FC236}">
                <a16:creationId xmlns:a16="http://schemas.microsoft.com/office/drawing/2014/main" id="{00000000-0008-0000-0A00-00000D000000}"/>
              </a:ext>
            </a:extLst>
          </xdr:cNvPr>
          <xdr:cNvSpPr txBox="1">
            <a:spLocks noChangeArrowheads="1"/>
          </xdr:cNvSpPr>
        </xdr:nvSpPr>
        <xdr:spPr bwMode="auto">
          <a:xfrm>
            <a:off x="978" y="468"/>
            <a:ext cx="79" cy="30"/>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1000" b="0" i="0" u="none" strike="noStrike" baseline="0">
                <a:solidFill>
                  <a:srgbClr val="000000"/>
                </a:solidFill>
                <a:latin typeface="Arial"/>
                <a:cs typeface="Arial"/>
              </a:rPr>
              <a:t>Outflow</a:t>
            </a:r>
          </a:p>
        </xdr:txBody>
      </xdr:sp>
      <xdr:sp macro="" textlink="">
        <xdr:nvSpPr>
          <xdr:cNvPr id="14" name="Text Box 75">
            <a:extLst>
              <a:ext uri="{FF2B5EF4-FFF2-40B4-BE49-F238E27FC236}">
                <a16:creationId xmlns:a16="http://schemas.microsoft.com/office/drawing/2014/main" id="{00000000-0008-0000-0A00-00000E000000}"/>
              </a:ext>
            </a:extLst>
          </xdr:cNvPr>
          <xdr:cNvSpPr txBox="1">
            <a:spLocks noChangeArrowheads="1"/>
          </xdr:cNvSpPr>
        </xdr:nvSpPr>
        <xdr:spPr bwMode="auto">
          <a:xfrm>
            <a:off x="812" y="530"/>
            <a:ext cx="79" cy="30"/>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1000" b="0" i="0" u="none" strike="noStrike" baseline="0">
                <a:solidFill>
                  <a:srgbClr val="000000"/>
                </a:solidFill>
                <a:latin typeface="Arial"/>
                <a:cs typeface="Arial"/>
              </a:rPr>
              <a:t>Seepage</a:t>
            </a:r>
          </a:p>
        </xdr:txBody>
      </xdr:sp>
      <xdr:sp macro="" textlink="">
        <xdr:nvSpPr>
          <xdr:cNvPr id="15" name="Text Box 76">
            <a:extLst>
              <a:ext uri="{FF2B5EF4-FFF2-40B4-BE49-F238E27FC236}">
                <a16:creationId xmlns:a16="http://schemas.microsoft.com/office/drawing/2014/main" id="{00000000-0008-0000-0A00-00000F000000}"/>
              </a:ext>
            </a:extLst>
          </xdr:cNvPr>
          <xdr:cNvSpPr txBox="1">
            <a:spLocks noChangeArrowheads="1"/>
          </xdr:cNvSpPr>
        </xdr:nvSpPr>
        <xdr:spPr bwMode="auto">
          <a:xfrm>
            <a:off x="805" y="442"/>
            <a:ext cx="79" cy="30"/>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1000" b="0" i="0" u="none" strike="noStrike" baseline="0">
                <a:solidFill>
                  <a:srgbClr val="000000"/>
                </a:solidFill>
                <a:latin typeface="Arial"/>
                <a:cs typeface="Arial"/>
              </a:rPr>
              <a:t>Runoff</a:t>
            </a:r>
          </a:p>
        </xdr:txBody>
      </xdr:sp>
      <xdr:sp macro="" textlink="">
        <xdr:nvSpPr>
          <xdr:cNvPr id="16" name="Line 77">
            <a:extLst>
              <a:ext uri="{FF2B5EF4-FFF2-40B4-BE49-F238E27FC236}">
                <a16:creationId xmlns:a16="http://schemas.microsoft.com/office/drawing/2014/main" id="{00000000-0008-0000-0A00-000010000000}"/>
              </a:ext>
            </a:extLst>
          </xdr:cNvPr>
          <xdr:cNvSpPr>
            <a:spLocks noChangeShapeType="1"/>
          </xdr:cNvSpPr>
        </xdr:nvSpPr>
        <xdr:spPr bwMode="auto">
          <a:xfrm>
            <a:off x="820" y="463"/>
            <a:ext cx="48" cy="0"/>
          </a:xfrm>
          <a:prstGeom prst="line">
            <a:avLst/>
          </a:prstGeom>
          <a:noFill/>
          <a:ln w="9525">
            <a:solidFill>
              <a:srgbClr val="000000"/>
            </a:solidFill>
            <a:round/>
            <a:headEnd/>
            <a:tailEnd type="triangle" w="med" len="med"/>
          </a:ln>
        </xdr:spPr>
      </xdr:sp>
      <xdr:sp macro="" textlink="">
        <xdr:nvSpPr>
          <xdr:cNvPr id="17" name="Line 78">
            <a:extLst>
              <a:ext uri="{FF2B5EF4-FFF2-40B4-BE49-F238E27FC236}">
                <a16:creationId xmlns:a16="http://schemas.microsoft.com/office/drawing/2014/main" id="{00000000-0008-0000-0A00-000011000000}"/>
              </a:ext>
            </a:extLst>
          </xdr:cNvPr>
          <xdr:cNvSpPr>
            <a:spLocks noChangeShapeType="1"/>
          </xdr:cNvSpPr>
        </xdr:nvSpPr>
        <xdr:spPr bwMode="auto">
          <a:xfrm>
            <a:off x="976" y="492"/>
            <a:ext cx="79" cy="0"/>
          </a:xfrm>
          <a:prstGeom prst="line">
            <a:avLst/>
          </a:prstGeom>
          <a:noFill/>
          <a:ln w="9525">
            <a:solidFill>
              <a:srgbClr val="000000"/>
            </a:solidFill>
            <a:round/>
            <a:headEnd/>
            <a:tailEnd type="triangle" w="med" len="med"/>
          </a:ln>
        </xdr:spPr>
      </xdr:sp>
      <xdr:sp macro="" textlink="">
        <xdr:nvSpPr>
          <xdr:cNvPr id="18" name="Line 79">
            <a:extLst>
              <a:ext uri="{FF2B5EF4-FFF2-40B4-BE49-F238E27FC236}">
                <a16:creationId xmlns:a16="http://schemas.microsoft.com/office/drawing/2014/main" id="{00000000-0008-0000-0A00-000012000000}"/>
              </a:ext>
            </a:extLst>
          </xdr:cNvPr>
          <xdr:cNvSpPr>
            <a:spLocks noChangeShapeType="1"/>
          </xdr:cNvSpPr>
        </xdr:nvSpPr>
        <xdr:spPr bwMode="auto">
          <a:xfrm>
            <a:off x="895" y="378"/>
            <a:ext cx="0" cy="63"/>
          </a:xfrm>
          <a:prstGeom prst="line">
            <a:avLst/>
          </a:prstGeom>
          <a:noFill/>
          <a:ln w="9525">
            <a:solidFill>
              <a:srgbClr val="000000"/>
            </a:solidFill>
            <a:round/>
            <a:headEnd/>
            <a:tailEnd type="triangle" w="med" len="med"/>
          </a:ln>
        </xdr:spPr>
      </xdr:sp>
      <xdr:sp macro="" textlink="">
        <xdr:nvSpPr>
          <xdr:cNvPr id="19" name="Line 80">
            <a:extLst>
              <a:ext uri="{FF2B5EF4-FFF2-40B4-BE49-F238E27FC236}">
                <a16:creationId xmlns:a16="http://schemas.microsoft.com/office/drawing/2014/main" id="{00000000-0008-0000-0A00-000013000000}"/>
              </a:ext>
            </a:extLst>
          </xdr:cNvPr>
          <xdr:cNvSpPr>
            <a:spLocks noChangeShapeType="1"/>
          </xdr:cNvSpPr>
        </xdr:nvSpPr>
        <xdr:spPr bwMode="auto">
          <a:xfrm flipV="1">
            <a:off x="945" y="375"/>
            <a:ext cx="0" cy="66"/>
          </a:xfrm>
          <a:prstGeom prst="line">
            <a:avLst/>
          </a:prstGeom>
          <a:noFill/>
          <a:ln w="9525">
            <a:solidFill>
              <a:srgbClr val="000000"/>
            </a:solidFill>
            <a:round/>
            <a:headEnd/>
            <a:tailEnd type="triangle" w="med" len="med"/>
          </a:ln>
        </xdr:spPr>
      </xdr:sp>
      <xdr:sp macro="" textlink="">
        <xdr:nvSpPr>
          <xdr:cNvPr id="20" name="Line 81">
            <a:extLst>
              <a:ext uri="{FF2B5EF4-FFF2-40B4-BE49-F238E27FC236}">
                <a16:creationId xmlns:a16="http://schemas.microsoft.com/office/drawing/2014/main" id="{00000000-0008-0000-0A00-000014000000}"/>
              </a:ext>
            </a:extLst>
          </xdr:cNvPr>
          <xdr:cNvSpPr>
            <a:spLocks noChangeShapeType="1"/>
          </xdr:cNvSpPr>
        </xdr:nvSpPr>
        <xdr:spPr bwMode="auto">
          <a:xfrm>
            <a:off x="821" y="519"/>
            <a:ext cx="48" cy="0"/>
          </a:xfrm>
          <a:prstGeom prst="line">
            <a:avLst/>
          </a:prstGeom>
          <a:noFill/>
          <a:ln w="9525">
            <a:solidFill>
              <a:srgbClr val="000000"/>
            </a:solidFill>
            <a:round/>
            <a:headEnd/>
            <a:tailEnd type="triangle" w="med" len="med"/>
          </a:ln>
        </xdr:spPr>
      </xdr:sp>
      <xdr:sp macro="" textlink="">
        <xdr:nvSpPr>
          <xdr:cNvPr id="21" name="Line 82">
            <a:extLst>
              <a:ext uri="{FF2B5EF4-FFF2-40B4-BE49-F238E27FC236}">
                <a16:creationId xmlns:a16="http://schemas.microsoft.com/office/drawing/2014/main" id="{00000000-0008-0000-0A00-000015000000}"/>
              </a:ext>
            </a:extLst>
          </xdr:cNvPr>
          <xdr:cNvSpPr>
            <a:spLocks noChangeShapeType="1"/>
          </xdr:cNvSpPr>
        </xdr:nvSpPr>
        <xdr:spPr bwMode="auto">
          <a:xfrm flipV="1">
            <a:off x="723" y="375"/>
            <a:ext cx="0" cy="66"/>
          </a:xfrm>
          <a:prstGeom prst="line">
            <a:avLst/>
          </a:prstGeom>
          <a:noFill/>
          <a:ln w="9525">
            <a:solidFill>
              <a:srgbClr val="000000"/>
            </a:solidFill>
            <a:round/>
            <a:headEnd/>
            <a:tailEnd type="triangle" w="med" len="med"/>
          </a:ln>
        </xdr:spPr>
      </xdr:sp>
      <xdr:sp macro="" textlink="">
        <xdr:nvSpPr>
          <xdr:cNvPr id="22" name="Text Box 83">
            <a:extLst>
              <a:ext uri="{FF2B5EF4-FFF2-40B4-BE49-F238E27FC236}">
                <a16:creationId xmlns:a16="http://schemas.microsoft.com/office/drawing/2014/main" id="{00000000-0008-0000-0A00-000016000000}"/>
              </a:ext>
            </a:extLst>
          </xdr:cNvPr>
          <xdr:cNvSpPr txBox="1">
            <a:spLocks noChangeArrowheads="1"/>
          </xdr:cNvSpPr>
        </xdr:nvSpPr>
        <xdr:spPr bwMode="auto">
          <a:xfrm>
            <a:off x="723" y="400"/>
            <a:ext cx="84" cy="49"/>
          </a:xfrm>
          <a:prstGeom prst="rect">
            <a:avLst/>
          </a:prstGeom>
          <a:noFill/>
          <a:ln w="9525">
            <a:no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Evapo-</a:t>
            </a:r>
          </a:p>
          <a:p>
            <a:pPr algn="l" rtl="0">
              <a:defRPr sz="1000"/>
            </a:pPr>
            <a:r>
              <a:rPr lang="en-US" sz="1000" b="0" i="0" u="none" strike="noStrike" baseline="0">
                <a:solidFill>
                  <a:srgbClr val="000000"/>
                </a:solidFill>
                <a:latin typeface="Arial"/>
                <a:cs typeface="Arial"/>
              </a:rPr>
              <a:t>transpiration</a:t>
            </a:r>
          </a:p>
        </xdr:txBody>
      </xdr:sp>
    </xdr:grpSp>
    <xdr:clientData/>
  </xdr:twoCellAnchor>
  <xdr:twoCellAnchor>
    <xdr:from>
      <xdr:col>0</xdr:col>
      <xdr:colOff>361951</xdr:colOff>
      <xdr:row>29</xdr:row>
      <xdr:rowOff>123825</xdr:rowOff>
    </xdr:from>
    <xdr:to>
      <xdr:col>5</xdr:col>
      <xdr:colOff>628651</xdr:colOff>
      <xdr:row>49</xdr:row>
      <xdr:rowOff>19050</xdr:rowOff>
    </xdr:to>
    <xdr:grpSp>
      <xdr:nvGrpSpPr>
        <xdr:cNvPr id="23" name="Group 33">
          <a:extLst>
            <a:ext uri="{FF2B5EF4-FFF2-40B4-BE49-F238E27FC236}">
              <a16:creationId xmlns:a16="http://schemas.microsoft.com/office/drawing/2014/main" id="{00000000-0008-0000-0A00-000017000000}"/>
            </a:ext>
          </a:extLst>
        </xdr:cNvPr>
        <xdr:cNvGrpSpPr>
          <a:grpSpLocks/>
        </xdr:cNvGrpSpPr>
      </xdr:nvGrpSpPr>
      <xdr:grpSpPr bwMode="auto">
        <a:xfrm>
          <a:off x="365761" y="9088120"/>
          <a:ext cx="4025900" cy="6648873"/>
          <a:chOff x="765" y="674"/>
          <a:chExt cx="256" cy="271"/>
        </a:xfrm>
      </xdr:grpSpPr>
      <xdr:sp macro="" textlink="">
        <xdr:nvSpPr>
          <xdr:cNvPr id="24" name="Rectangle 29">
            <a:extLst>
              <a:ext uri="{FF2B5EF4-FFF2-40B4-BE49-F238E27FC236}">
                <a16:creationId xmlns:a16="http://schemas.microsoft.com/office/drawing/2014/main" id="{00000000-0008-0000-0A00-000018000000}"/>
              </a:ext>
            </a:extLst>
          </xdr:cNvPr>
          <xdr:cNvSpPr>
            <a:spLocks noChangeArrowheads="1"/>
          </xdr:cNvSpPr>
        </xdr:nvSpPr>
        <xdr:spPr bwMode="auto">
          <a:xfrm>
            <a:off x="765" y="674"/>
            <a:ext cx="256" cy="271"/>
          </a:xfrm>
          <a:prstGeom prst="rect">
            <a:avLst/>
          </a:prstGeom>
          <a:solidFill>
            <a:srgbClr val="CCFFCC"/>
          </a:solidFill>
          <a:ln w="38100">
            <a:solidFill>
              <a:srgbClr val="000000"/>
            </a:solidFill>
            <a:miter lim="800000"/>
            <a:headEnd/>
            <a:tailEnd/>
          </a:ln>
        </xdr:spPr>
      </xdr:sp>
      <xdr:sp macro="" textlink="">
        <xdr:nvSpPr>
          <xdr:cNvPr id="25" name="Text Box 20">
            <a:extLst>
              <a:ext uri="{FF2B5EF4-FFF2-40B4-BE49-F238E27FC236}">
                <a16:creationId xmlns:a16="http://schemas.microsoft.com/office/drawing/2014/main" id="{00000000-0008-0000-0A00-000019000000}"/>
              </a:ext>
            </a:extLst>
          </xdr:cNvPr>
          <xdr:cNvSpPr txBox="1">
            <a:spLocks noChangeArrowheads="1"/>
          </xdr:cNvSpPr>
        </xdr:nvSpPr>
        <xdr:spPr bwMode="auto">
          <a:xfrm>
            <a:off x="838" y="809"/>
            <a:ext cx="100" cy="35"/>
          </a:xfrm>
          <a:prstGeom prst="rect">
            <a:avLst/>
          </a:prstGeom>
          <a:solidFill>
            <a:srgbClr val="FFFFFF"/>
          </a:solidFill>
          <a:ln w="9525">
            <a:solidFill>
              <a:srgbClr val="000000"/>
            </a:solidFill>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Sediment</a:t>
            </a:r>
          </a:p>
        </xdr:txBody>
      </xdr:sp>
      <xdr:sp macro="" textlink="">
        <xdr:nvSpPr>
          <xdr:cNvPr id="26" name="Text Box 21">
            <a:extLst>
              <a:ext uri="{FF2B5EF4-FFF2-40B4-BE49-F238E27FC236}">
                <a16:creationId xmlns:a16="http://schemas.microsoft.com/office/drawing/2014/main" id="{00000000-0008-0000-0A00-00001A000000}"/>
              </a:ext>
            </a:extLst>
          </xdr:cNvPr>
          <xdr:cNvSpPr txBox="1">
            <a:spLocks noChangeArrowheads="1"/>
          </xdr:cNvSpPr>
        </xdr:nvSpPr>
        <xdr:spPr bwMode="auto">
          <a:xfrm>
            <a:off x="838" y="898"/>
            <a:ext cx="100" cy="35"/>
          </a:xfrm>
          <a:prstGeom prst="rect">
            <a:avLst/>
          </a:prstGeom>
          <a:solidFill>
            <a:srgbClr val="FFFFFF"/>
          </a:solidFill>
          <a:ln w="9525">
            <a:solidFill>
              <a:srgbClr val="000000"/>
            </a:solidFill>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Sediment Sink</a:t>
            </a:r>
          </a:p>
        </xdr:txBody>
      </xdr:sp>
      <xdr:sp macro="" textlink="">
        <xdr:nvSpPr>
          <xdr:cNvPr id="27" name="Line 22">
            <a:extLst>
              <a:ext uri="{FF2B5EF4-FFF2-40B4-BE49-F238E27FC236}">
                <a16:creationId xmlns:a16="http://schemas.microsoft.com/office/drawing/2014/main" id="{00000000-0008-0000-0A00-00001B000000}"/>
              </a:ext>
            </a:extLst>
          </xdr:cNvPr>
          <xdr:cNvSpPr>
            <a:spLocks noChangeShapeType="1"/>
          </xdr:cNvSpPr>
        </xdr:nvSpPr>
        <xdr:spPr bwMode="auto">
          <a:xfrm>
            <a:off x="887" y="848"/>
            <a:ext cx="0" cy="48"/>
          </a:xfrm>
          <a:prstGeom prst="line">
            <a:avLst/>
          </a:prstGeom>
          <a:noFill/>
          <a:ln w="9525">
            <a:solidFill>
              <a:srgbClr val="000000"/>
            </a:solidFill>
            <a:round/>
            <a:headEnd/>
            <a:tailEnd type="triangle" w="med" len="med"/>
          </a:ln>
        </xdr:spPr>
      </xdr:sp>
      <xdr:sp macro="" textlink="">
        <xdr:nvSpPr>
          <xdr:cNvPr id="28" name="Line 23">
            <a:extLst>
              <a:ext uri="{FF2B5EF4-FFF2-40B4-BE49-F238E27FC236}">
                <a16:creationId xmlns:a16="http://schemas.microsoft.com/office/drawing/2014/main" id="{00000000-0008-0000-0A00-00001C000000}"/>
              </a:ext>
            </a:extLst>
          </xdr:cNvPr>
          <xdr:cNvSpPr>
            <a:spLocks noChangeShapeType="1"/>
          </xdr:cNvSpPr>
        </xdr:nvSpPr>
        <xdr:spPr bwMode="auto">
          <a:xfrm>
            <a:off x="861" y="758"/>
            <a:ext cx="0" cy="48"/>
          </a:xfrm>
          <a:prstGeom prst="line">
            <a:avLst/>
          </a:prstGeom>
          <a:noFill/>
          <a:ln w="9525">
            <a:solidFill>
              <a:srgbClr val="000000"/>
            </a:solidFill>
            <a:round/>
            <a:headEnd/>
            <a:tailEnd type="triangle" w="med" len="med"/>
          </a:ln>
        </xdr:spPr>
      </xdr:sp>
      <xdr:sp macro="" textlink="">
        <xdr:nvSpPr>
          <xdr:cNvPr id="29" name="Line 24">
            <a:extLst>
              <a:ext uri="{FF2B5EF4-FFF2-40B4-BE49-F238E27FC236}">
                <a16:creationId xmlns:a16="http://schemas.microsoft.com/office/drawing/2014/main" id="{00000000-0008-0000-0A00-00001D000000}"/>
              </a:ext>
            </a:extLst>
          </xdr:cNvPr>
          <xdr:cNvSpPr>
            <a:spLocks noChangeShapeType="1"/>
          </xdr:cNvSpPr>
        </xdr:nvSpPr>
        <xdr:spPr bwMode="auto">
          <a:xfrm flipV="1">
            <a:off x="920" y="757"/>
            <a:ext cx="0" cy="48"/>
          </a:xfrm>
          <a:prstGeom prst="line">
            <a:avLst/>
          </a:prstGeom>
          <a:noFill/>
          <a:ln w="9525">
            <a:solidFill>
              <a:srgbClr val="000000"/>
            </a:solidFill>
            <a:round/>
            <a:headEnd/>
            <a:tailEnd type="triangle" w="med" len="med"/>
          </a:ln>
        </xdr:spPr>
      </xdr:sp>
      <xdr:sp macro="" textlink="">
        <xdr:nvSpPr>
          <xdr:cNvPr id="30" name="Text Box 25">
            <a:extLst>
              <a:ext uri="{FF2B5EF4-FFF2-40B4-BE49-F238E27FC236}">
                <a16:creationId xmlns:a16="http://schemas.microsoft.com/office/drawing/2014/main" id="{00000000-0008-0000-0A00-00001E000000}"/>
              </a:ext>
            </a:extLst>
          </xdr:cNvPr>
          <xdr:cNvSpPr txBox="1">
            <a:spLocks noChangeArrowheads="1"/>
          </xdr:cNvSpPr>
        </xdr:nvSpPr>
        <xdr:spPr bwMode="auto">
          <a:xfrm>
            <a:off x="838" y="719"/>
            <a:ext cx="100" cy="35"/>
          </a:xfrm>
          <a:prstGeom prst="rect">
            <a:avLst/>
          </a:prstGeom>
          <a:solidFill>
            <a:srgbClr val="FFFFFF"/>
          </a:solidFill>
          <a:ln w="9525">
            <a:solidFill>
              <a:srgbClr val="000000"/>
            </a:solidFill>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SW</a:t>
            </a:r>
          </a:p>
        </xdr:txBody>
      </xdr:sp>
      <xdr:sp macro="" textlink="">
        <xdr:nvSpPr>
          <xdr:cNvPr id="31" name="Text Box 26">
            <a:extLst>
              <a:ext uri="{FF2B5EF4-FFF2-40B4-BE49-F238E27FC236}">
                <a16:creationId xmlns:a16="http://schemas.microsoft.com/office/drawing/2014/main" id="{00000000-0008-0000-0A00-00001F000000}"/>
              </a:ext>
            </a:extLst>
          </xdr:cNvPr>
          <xdr:cNvSpPr txBox="1">
            <a:spLocks noChangeArrowheads="1"/>
          </xdr:cNvSpPr>
        </xdr:nvSpPr>
        <xdr:spPr bwMode="auto">
          <a:xfrm>
            <a:off x="893" y="853"/>
            <a:ext cx="43" cy="33"/>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1000" b="0" i="0" u="none" strike="noStrike" baseline="0">
                <a:solidFill>
                  <a:srgbClr val="000000"/>
                </a:solidFill>
                <a:latin typeface="Arial"/>
                <a:cs typeface="Arial"/>
              </a:rPr>
              <a:t>Burial rate</a:t>
            </a:r>
          </a:p>
        </xdr:txBody>
      </xdr:sp>
      <xdr:sp macro="" textlink="">
        <xdr:nvSpPr>
          <xdr:cNvPr id="32" name="Text Box 27">
            <a:extLst>
              <a:ext uri="{FF2B5EF4-FFF2-40B4-BE49-F238E27FC236}">
                <a16:creationId xmlns:a16="http://schemas.microsoft.com/office/drawing/2014/main" id="{00000000-0008-0000-0A00-000020000000}"/>
              </a:ext>
            </a:extLst>
          </xdr:cNvPr>
          <xdr:cNvSpPr txBox="1">
            <a:spLocks noChangeArrowheads="1"/>
          </xdr:cNvSpPr>
        </xdr:nvSpPr>
        <xdr:spPr bwMode="auto">
          <a:xfrm>
            <a:off x="926" y="764"/>
            <a:ext cx="92" cy="38"/>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1000" b="0" i="0" u="none" strike="noStrike" baseline="0">
                <a:solidFill>
                  <a:srgbClr val="000000"/>
                </a:solidFill>
                <a:latin typeface="Arial"/>
                <a:cs typeface="Arial"/>
              </a:rPr>
              <a:t>Resuspension rate</a:t>
            </a:r>
          </a:p>
        </xdr:txBody>
      </xdr:sp>
      <xdr:sp macro="" textlink="">
        <xdr:nvSpPr>
          <xdr:cNvPr id="33" name="Text Box 28">
            <a:extLst>
              <a:ext uri="{FF2B5EF4-FFF2-40B4-BE49-F238E27FC236}">
                <a16:creationId xmlns:a16="http://schemas.microsoft.com/office/drawing/2014/main" id="{00000000-0008-0000-0A00-000021000000}"/>
              </a:ext>
            </a:extLst>
          </xdr:cNvPr>
          <xdr:cNvSpPr txBox="1">
            <a:spLocks noChangeArrowheads="1"/>
          </xdr:cNvSpPr>
        </xdr:nvSpPr>
        <xdr:spPr bwMode="auto">
          <a:xfrm>
            <a:off x="779" y="762"/>
            <a:ext cx="77" cy="42"/>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1000" b="0" i="0" u="none" strike="noStrike" baseline="0">
                <a:solidFill>
                  <a:srgbClr val="000000"/>
                </a:solidFill>
                <a:latin typeface="Arial"/>
                <a:cs typeface="Arial"/>
              </a:rPr>
              <a:t>Deposition rate</a:t>
            </a:r>
          </a:p>
        </xdr:txBody>
      </xdr:sp>
      <xdr:sp macro="" textlink="">
        <xdr:nvSpPr>
          <xdr:cNvPr id="34" name="Text Box 32">
            <a:extLst>
              <a:ext uri="{FF2B5EF4-FFF2-40B4-BE49-F238E27FC236}">
                <a16:creationId xmlns:a16="http://schemas.microsoft.com/office/drawing/2014/main" id="{00000000-0008-0000-0A00-000022000000}"/>
              </a:ext>
            </a:extLst>
          </xdr:cNvPr>
          <xdr:cNvSpPr txBox="1">
            <a:spLocks noChangeArrowheads="1"/>
          </xdr:cNvSpPr>
        </xdr:nvSpPr>
        <xdr:spPr bwMode="auto">
          <a:xfrm>
            <a:off x="775" y="686"/>
            <a:ext cx="238" cy="28"/>
          </a:xfrm>
          <a:prstGeom prst="rect">
            <a:avLst/>
          </a:prstGeom>
          <a:noFill/>
          <a:ln w="9525">
            <a:noFill/>
            <a:miter lim="800000"/>
            <a:headEnd/>
            <a:tailEnd/>
          </a:ln>
        </xdr:spPr>
        <xdr:txBody>
          <a:bodyPr vertOverflow="clip" wrap="square" lIns="36576" tIns="27432" rIns="36576" bIns="0" anchor="t" upright="1"/>
          <a:lstStyle/>
          <a:p>
            <a:pPr algn="ctr" rtl="0">
              <a:defRPr sz="1000"/>
            </a:pPr>
            <a:r>
              <a:rPr lang="en-US" sz="1200" b="1" i="0" u="none" strike="noStrike" baseline="0">
                <a:solidFill>
                  <a:srgbClr val="000000"/>
                </a:solidFill>
                <a:latin typeface="Arial"/>
                <a:cs typeface="Arial"/>
              </a:rPr>
              <a:t>Sediment System Flow Chart</a:t>
            </a:r>
          </a:p>
        </xdr:txBody>
      </xdr:sp>
    </xdr:grpSp>
    <xdr:clientData/>
  </xdr:twoCellAnchor>
</xdr:wsDr>
</file>

<file path=xl/drawings/drawing7.xml><?xml version="1.0" encoding="utf-8"?>
<xdr:wsDr xmlns:xdr="http://schemas.openxmlformats.org/drawingml/2006/spreadsheetDrawing" xmlns:a="http://schemas.openxmlformats.org/drawingml/2006/main">
  <xdr:oneCellAnchor>
    <xdr:from>
      <xdr:col>16</xdr:col>
      <xdr:colOff>85726</xdr:colOff>
      <xdr:row>6</xdr:row>
      <xdr:rowOff>761999</xdr:rowOff>
    </xdr:from>
    <xdr:ext cx="1276349" cy="285751"/>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0325101" y="1981199"/>
          <a:ext cx="1276349" cy="2857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a:t>(leave </a:t>
          </a:r>
          <a:r>
            <a:rPr lang="en-US" sz="1100" baseline="0"/>
            <a:t>blank)</a:t>
          </a:r>
          <a:endParaRPr lang="en-US" sz="1100"/>
        </a:p>
      </xdr:txBody>
    </xdr:sp>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1</xdr:row>
          <xdr:rowOff>38100</xdr:rowOff>
        </xdr:from>
        <xdr:to>
          <xdr:col>6</xdr:col>
          <xdr:colOff>628650</xdr:colOff>
          <xdr:row>2</xdr:row>
          <xdr:rowOff>247650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C00-000001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Export to text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76200</xdr:colOff>
          <xdr:row>1</xdr:row>
          <xdr:rowOff>28575</xdr:rowOff>
        </xdr:from>
        <xdr:to>
          <xdr:col>5</xdr:col>
          <xdr:colOff>723900</xdr:colOff>
          <xdr:row>2</xdr:row>
          <xdr:rowOff>247650</xdr:rowOff>
        </xdr:to>
        <xdr:sp macro="" textlink="">
          <xdr:nvSpPr>
            <xdr:cNvPr id="78850" name="Button 2" hidden="1">
              <a:extLst>
                <a:ext uri="{63B3BB69-23CF-44E3-9099-C40C66FF867C}">
                  <a14:compatExt spid="_x0000_s78850"/>
                </a:ext>
                <a:ext uri="{FF2B5EF4-FFF2-40B4-BE49-F238E27FC236}">
                  <a16:creationId xmlns:a16="http://schemas.microsoft.com/office/drawing/2014/main" id="{00000000-0008-0000-0C00-000002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38100</xdr:colOff>
          <xdr:row>1</xdr:row>
          <xdr:rowOff>19050</xdr:rowOff>
        </xdr:from>
        <xdr:to>
          <xdr:col>6</xdr:col>
          <xdr:colOff>628650</xdr:colOff>
          <xdr:row>3</xdr:row>
          <xdr:rowOff>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D00-000003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Export to text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xdr:colOff>
          <xdr:row>1</xdr:row>
          <xdr:rowOff>19050</xdr:rowOff>
        </xdr:from>
        <xdr:to>
          <xdr:col>5</xdr:col>
          <xdr:colOff>685800</xdr:colOff>
          <xdr:row>3</xdr:row>
          <xdr:rowOff>0</xdr:rowOff>
        </xdr:to>
        <xdr:sp macro="" textlink="">
          <xdr:nvSpPr>
            <xdr:cNvPr id="25604" name="Button 4" hidden="1">
              <a:extLst>
                <a:ext uri="{63B3BB69-23CF-44E3-9099-C40C66FF867C}">
                  <a14:compatExt spid="_x0000_s25604"/>
                </a:ext>
                <a:ext uri="{FF2B5EF4-FFF2-40B4-BE49-F238E27FC236}">
                  <a16:creationId xmlns:a16="http://schemas.microsoft.com/office/drawing/2014/main" id="{00000000-0008-0000-0D00-000004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1</xdr:row>
          <xdr:rowOff>19050</xdr:rowOff>
        </xdr:from>
        <xdr:to>
          <xdr:col>6</xdr:col>
          <xdr:colOff>628650</xdr:colOff>
          <xdr:row>2</xdr:row>
          <xdr:rowOff>219075</xdr:rowOff>
        </xdr:to>
        <xdr:sp macro="" textlink="">
          <xdr:nvSpPr>
            <xdr:cNvPr id="28674" name="Button 2" hidden="1">
              <a:extLst>
                <a:ext uri="{63B3BB69-23CF-44E3-9099-C40C66FF867C}">
                  <a14:compatExt spid="_x0000_s28674"/>
                </a:ext>
                <a:ext uri="{FF2B5EF4-FFF2-40B4-BE49-F238E27FC236}">
                  <a16:creationId xmlns:a16="http://schemas.microsoft.com/office/drawing/2014/main" id="{00000000-0008-0000-0E00-000002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Export to text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76200</xdr:colOff>
          <xdr:row>1</xdr:row>
          <xdr:rowOff>19050</xdr:rowOff>
        </xdr:from>
        <xdr:to>
          <xdr:col>5</xdr:col>
          <xdr:colOff>714375</xdr:colOff>
          <xdr:row>2</xdr:row>
          <xdr:rowOff>219075</xdr:rowOff>
        </xdr:to>
        <xdr:sp macro="" textlink="">
          <xdr:nvSpPr>
            <xdr:cNvPr id="28676" name="Button 4" hidden="1">
              <a:extLst>
                <a:ext uri="{63B3BB69-23CF-44E3-9099-C40C66FF867C}">
                  <a14:compatExt spid="_x0000_s28676"/>
                </a:ext>
                <a:ext uri="{FF2B5EF4-FFF2-40B4-BE49-F238E27FC236}">
                  <a16:creationId xmlns:a16="http://schemas.microsoft.com/office/drawing/2014/main" id="{00000000-0008-0000-0E00-000004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1</xdr:row>
          <xdr:rowOff>38100</xdr:rowOff>
        </xdr:from>
        <xdr:to>
          <xdr:col>6</xdr:col>
          <xdr:colOff>628650</xdr:colOff>
          <xdr:row>2</xdr:row>
          <xdr:rowOff>247650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F00-000001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Export to text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76200</xdr:colOff>
          <xdr:row>1</xdr:row>
          <xdr:rowOff>28575</xdr:rowOff>
        </xdr:from>
        <xdr:to>
          <xdr:col>5</xdr:col>
          <xdr:colOff>742950</xdr:colOff>
          <xdr:row>2</xdr:row>
          <xdr:rowOff>247650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F00-000002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1</xdr:row>
          <xdr:rowOff>38100</xdr:rowOff>
        </xdr:from>
        <xdr:to>
          <xdr:col>6</xdr:col>
          <xdr:colOff>628650</xdr:colOff>
          <xdr:row>2</xdr:row>
          <xdr:rowOff>247650</xdr:rowOff>
        </xdr:to>
        <xdr:sp macro="" textlink="">
          <xdr:nvSpPr>
            <xdr:cNvPr id="104449" name="Button 1" hidden="1">
              <a:extLst>
                <a:ext uri="{63B3BB69-23CF-44E3-9099-C40C66FF867C}">
                  <a14:compatExt spid="_x0000_s104449"/>
                </a:ext>
                <a:ext uri="{FF2B5EF4-FFF2-40B4-BE49-F238E27FC236}">
                  <a16:creationId xmlns:a16="http://schemas.microsoft.com/office/drawing/2014/main" id="{00000000-0008-0000-1000-0000019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Export to text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76200</xdr:colOff>
          <xdr:row>1</xdr:row>
          <xdr:rowOff>28575</xdr:rowOff>
        </xdr:from>
        <xdr:to>
          <xdr:col>5</xdr:col>
          <xdr:colOff>723900</xdr:colOff>
          <xdr:row>2</xdr:row>
          <xdr:rowOff>247650</xdr:rowOff>
        </xdr:to>
        <xdr:sp macro="" textlink="">
          <xdr:nvSpPr>
            <xdr:cNvPr id="104450" name="Button 2" hidden="1">
              <a:extLst>
                <a:ext uri="{63B3BB69-23CF-44E3-9099-C40C66FF867C}">
                  <a14:compatExt spid="_x0000_s104450"/>
                </a:ext>
                <a:ext uri="{FF2B5EF4-FFF2-40B4-BE49-F238E27FC236}">
                  <a16:creationId xmlns:a16="http://schemas.microsoft.com/office/drawing/2014/main" id="{00000000-0008-0000-1000-0000029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a:t>
              </a:r>
            </a:p>
          </xdr:txBody>
        </xdr:sp>
        <xdr:clientData fPrintsWithSheet="0"/>
      </xdr:twoCellAnchor>
    </mc:Choice>
    <mc:Fallback/>
  </mc:AlternateContent>
  <xdr:twoCellAnchor>
    <xdr:from>
      <xdr:col>2</xdr:col>
      <xdr:colOff>584200</xdr:colOff>
      <xdr:row>21</xdr:row>
      <xdr:rowOff>44450</xdr:rowOff>
    </xdr:from>
    <xdr:to>
      <xdr:col>5</xdr:col>
      <xdr:colOff>260350</xdr:colOff>
      <xdr:row>30</xdr:row>
      <xdr:rowOff>12700</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1524000" y="4025900"/>
          <a:ext cx="2279650" cy="1397000"/>
        </a:xfrm>
        <a:prstGeom prst="rect">
          <a:avLst/>
        </a:prstGeom>
        <a:ln/>
      </xdr:spPr>
      <xdr:style>
        <a:lnRef idx="2">
          <a:schemeClr val="dk1">
            <a:shade val="50000"/>
          </a:schemeClr>
        </a:lnRef>
        <a:fillRef idx="1">
          <a:schemeClr val="dk1"/>
        </a:fillRef>
        <a:effectRef idx="0">
          <a:schemeClr val="dk1"/>
        </a:effectRef>
        <a:fontRef idx="minor">
          <a:schemeClr val="lt1"/>
        </a:fontRef>
      </xdr:style>
      <xdr:txBody>
        <a:bodyPr vertOverflow="clip" horzOverflow="clip" wrap="square" rtlCol="0" anchor="t"/>
        <a:lstStyle/>
        <a:p>
          <a:r>
            <a:rPr lang="en-US" sz="1100"/>
            <a:t>*CTH 3/28/2019 - Updated Column C to remove "_Surface" from the tail end of the "Compartment" names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icf-hq.icfconsulting.com\share\Users\35778\Documents\RTR\Site%20Specific\FaTEmaster%20-%20Ferroalloys%20Model%20Configuration%20-%202013091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icf-hq.icfconsulting.com\share\Users\39492\Desktop\Foundries%20work\Watersheds\GetFlow%20to%20Watershed%20Matrix.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nsitivity"/>
      <sheetName val="Tracking"/>
      <sheetName val="Parameters"/>
      <sheetName val="Layout"/>
      <sheetName val="Land"/>
      <sheetName val="Soil"/>
      <sheetName val="Plants"/>
      <sheetName val="Watersheds"/>
      <sheetName val="Lakes"/>
      <sheetName val="Fish"/>
      <sheetName val="1 Sources"/>
      <sheetName val="2 Volume"/>
      <sheetName val="3 Cmpts"/>
      <sheetName val="4 Props"/>
      <sheetName val="5 OtherProps"/>
      <sheetName val="Regional Data"/>
      <sheetName val="usle_raw"/>
      <sheetName val="Info"/>
      <sheetName val="runoff"/>
    </sheetNames>
    <sheetDataSet>
      <sheetData sheetId="0" refreshError="1"/>
      <sheetData sheetId="1" refreshError="1"/>
      <sheetData sheetId="2" refreshError="1"/>
      <sheetData sheetId="3">
        <row r="8">
          <cell r="U8" t="str">
            <v>Screening_SourceA</v>
          </cell>
        </row>
        <row r="9">
          <cell r="H9" t="str">
            <v>Air_E1</v>
          </cell>
          <cell r="K9" t="str">
            <v>p97 p107 p106 p102 p96</v>
          </cell>
          <cell r="M9">
            <v>1312959.0843000114</v>
          </cell>
        </row>
        <row r="10">
          <cell r="B10" t="str">
            <v>p1</v>
          </cell>
          <cell r="C10" t="str">
            <v>431623.34</v>
          </cell>
          <cell r="D10" t="str">
            <v>4359853.09</v>
          </cell>
          <cell r="E10">
            <v>431623.34</v>
          </cell>
          <cell r="F10">
            <v>4359853.09</v>
          </cell>
        </row>
      </sheetData>
      <sheetData sheetId="4">
        <row r="14">
          <cell r="E14" t="str">
            <v>grass</v>
          </cell>
        </row>
        <row r="23">
          <cell r="E23">
            <v>1.0778575376398647E-2</v>
          </cell>
        </row>
        <row r="29">
          <cell r="E29">
            <v>0.01</v>
          </cell>
        </row>
        <row r="30">
          <cell r="E30">
            <v>0.79</v>
          </cell>
        </row>
        <row r="31">
          <cell r="E31">
            <v>1.4</v>
          </cell>
        </row>
        <row r="32">
          <cell r="E32">
            <v>3</v>
          </cell>
        </row>
        <row r="33">
          <cell r="E33" t="str">
            <v>Grasses/Herbs</v>
          </cell>
        </row>
        <row r="49">
          <cell r="B49" t="str">
            <v>Surface_E1</v>
          </cell>
          <cell r="I49">
            <v>2.3065074310375053E-5</v>
          </cell>
        </row>
      </sheetData>
      <sheetData sheetId="5" refreshError="1"/>
      <sheetData sheetId="6">
        <row r="6">
          <cell r="B6" t="str">
            <v>Grasses/Herbs</v>
          </cell>
        </row>
      </sheetData>
      <sheetData sheetId="7">
        <row r="9">
          <cell r="H9" t="str">
            <v>Surface_E1</v>
          </cell>
        </row>
        <row r="10">
          <cell r="B10" t="str">
            <v>Surface_E1</v>
          </cell>
          <cell r="C10">
            <v>1312959.0843000114</v>
          </cell>
          <cell r="D10">
            <v>8.0985176662606872E-19</v>
          </cell>
          <cell r="E10">
            <v>2310566.8466394432</v>
          </cell>
          <cell r="F10">
            <v>2.3065074310375053E-5</v>
          </cell>
          <cell r="H10">
            <v>0</v>
          </cell>
        </row>
      </sheetData>
      <sheetData sheetId="8">
        <row r="6">
          <cell r="K6" t="str">
            <v>Water_Goodfellows_Park_Lake</v>
          </cell>
        </row>
        <row r="22">
          <cell r="K22">
            <v>0.05</v>
          </cell>
        </row>
        <row r="37">
          <cell r="K37">
            <v>2279844.7965981863</v>
          </cell>
        </row>
        <row r="42">
          <cell r="K42">
            <v>2.23</v>
          </cell>
        </row>
      </sheetData>
      <sheetData sheetId="9">
        <row r="10">
          <cell r="B10" t="str">
            <v>Water_Goodfellows_Park_Lake</v>
          </cell>
        </row>
      </sheetData>
      <sheetData sheetId="10" refreshError="1"/>
      <sheetData sheetId="11" refreshError="1"/>
      <sheetData sheetId="12" refreshError="1"/>
      <sheetData sheetId="13" refreshError="1"/>
      <sheetData sheetId="14" refreshError="1"/>
      <sheetData sheetId="15">
        <row r="2">
          <cell r="F2" t="str">
            <v>Original  Screening Values</v>
          </cell>
        </row>
        <row r="3">
          <cell r="E3" t="str">
            <v>grass-Surface-VolumeFraction_vapor</v>
          </cell>
        </row>
      </sheetData>
      <sheetData sheetId="16" refreshError="1"/>
      <sheetData sheetId="17">
        <row r="6">
          <cell r="B6" t="str">
            <v>Land</v>
          </cell>
          <cell r="C6" t="str">
            <v>Surface_E1</v>
          </cell>
          <cell r="D6" t="str">
            <v>Water_Goodfellows_Park_Lake</v>
          </cell>
          <cell r="E6" t="str">
            <v>Surface_E1</v>
          </cell>
          <cell r="F6" t="str">
            <v>Air_E1</v>
          </cell>
        </row>
      </sheetData>
      <sheetData sheetId="1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Runoff Tool"/>
      <sheetName val="For Builder"/>
    </sheetNames>
    <sheetDataSet>
      <sheetData sheetId="0"/>
      <sheetData sheetId="1">
        <row r="1">
          <cell r="A1" t="str">
            <v>Sending Parcel</v>
          </cell>
        </row>
      </sheetData>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comments" Target="../comments2.xml"/><Relationship Id="rId4" Type="http://schemas.openxmlformats.org/officeDocument/2006/relationships/ctrlProp" Target="../ctrlProps/ctrlProp8.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omments" Target="../comments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2.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3.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4.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5.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6.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0">
    <tabColor indexed="45"/>
  </sheetPr>
  <dimension ref="B1:AA49"/>
  <sheetViews>
    <sheetView topLeftCell="A4" workbookViewId="0">
      <selection activeCell="J16" sqref="J16"/>
    </sheetView>
  </sheetViews>
  <sheetFormatPr defaultColWidth="9.28515625" defaultRowHeight="12.75" x14ac:dyDescent="0.2"/>
  <cols>
    <col min="1" max="1" width="4.28515625" style="1" customWidth="1"/>
    <col min="2" max="2" width="9.7109375" style="1" customWidth="1"/>
    <col min="3" max="3" width="21" style="1" customWidth="1"/>
    <col min="4" max="4" width="12.28515625" style="1" customWidth="1"/>
    <col min="5" max="5" width="13" style="1" customWidth="1"/>
    <col min="6" max="7" width="26.5703125" style="1" customWidth="1"/>
    <col min="8" max="8" width="17.42578125" style="1" customWidth="1"/>
    <col min="9" max="9" width="20.7109375" style="1" bestFit="1" customWidth="1"/>
    <col min="10" max="10" width="16.5703125" style="1" customWidth="1"/>
    <col min="11" max="26" width="9.28515625" style="1"/>
    <col min="27" max="27" width="8.42578125" style="44" customWidth="1"/>
    <col min="28" max="28" width="15.7109375" style="1" bestFit="1" customWidth="1"/>
    <col min="29" max="29" width="35.5703125" style="1" customWidth="1"/>
    <col min="30" max="30" width="9.7109375" style="1" bestFit="1" customWidth="1"/>
    <col min="31" max="16384" width="9.28515625" style="1"/>
  </cols>
  <sheetData>
    <row r="1" spans="2:27" s="26" customFormat="1" x14ac:dyDescent="0.2"/>
    <row r="2" spans="2:27" s="26" customFormat="1" ht="18" x14ac:dyDescent="0.25">
      <c r="B2" s="28" t="s">
        <v>87</v>
      </c>
    </row>
    <row r="3" spans="2:27" s="26" customFormat="1" x14ac:dyDescent="0.2"/>
    <row r="4" spans="2:27" s="26" customFormat="1" ht="14.25" x14ac:dyDescent="0.2">
      <c r="B4" s="30" t="s">
        <v>131</v>
      </c>
      <c r="C4" s="52">
        <v>39889</v>
      </c>
    </row>
    <row r="5" spans="2:27" s="27" customFormat="1" ht="13.5" thickBot="1" x14ac:dyDescent="0.25"/>
    <row r="6" spans="2:27" ht="13.5" thickBot="1" x14ac:dyDescent="0.25">
      <c r="AA6" s="1"/>
    </row>
    <row r="7" spans="2:27" ht="15.75" customHeight="1" x14ac:dyDescent="0.2">
      <c r="B7" s="488" t="s">
        <v>88</v>
      </c>
      <c r="C7" s="489"/>
      <c r="D7" s="490"/>
      <c r="F7" s="482" t="s">
        <v>89</v>
      </c>
      <c r="G7" s="483"/>
      <c r="I7" s="491" t="s">
        <v>90</v>
      </c>
      <c r="AA7" s="1"/>
    </row>
    <row r="8" spans="2:27" ht="12.75" customHeight="1" thickBot="1" x14ac:dyDescent="0.25">
      <c r="B8" s="65"/>
      <c r="C8" s="66"/>
      <c r="D8" s="67"/>
      <c r="F8" s="484"/>
      <c r="G8" s="485"/>
      <c r="I8" s="492"/>
      <c r="AA8" s="1"/>
    </row>
    <row r="9" spans="2:27" x14ac:dyDescent="0.2">
      <c r="B9" s="65"/>
      <c r="C9" s="66"/>
      <c r="D9" s="67"/>
      <c r="F9" s="484"/>
      <c r="G9" s="485"/>
      <c r="I9" s="493" t="s">
        <v>91</v>
      </c>
      <c r="AA9" s="1"/>
    </row>
    <row r="10" spans="2:27" ht="13.5" thickBot="1" x14ac:dyDescent="0.25">
      <c r="B10" s="68"/>
      <c r="C10" s="69"/>
      <c r="D10" s="70"/>
      <c r="F10" s="486"/>
      <c r="G10" s="487"/>
      <c r="I10" s="494"/>
      <c r="AA10" s="1"/>
    </row>
    <row r="11" spans="2:27" ht="15.75" customHeight="1" x14ac:dyDescent="0.2">
      <c r="AA11" s="1"/>
    </row>
    <row r="12" spans="2:27" ht="15" x14ac:dyDescent="0.25">
      <c r="C12" s="71" t="s">
        <v>92</v>
      </c>
      <c r="D12" s="72" t="s">
        <v>93</v>
      </c>
      <c r="E12" s="73"/>
      <c r="F12" s="73"/>
      <c r="G12" s="74"/>
      <c r="AA12" s="1"/>
    </row>
    <row r="13" spans="2:27" ht="15" x14ac:dyDescent="0.25">
      <c r="C13" s="71" t="s">
        <v>94</v>
      </c>
      <c r="D13" s="72" t="s">
        <v>95</v>
      </c>
      <c r="E13" s="73"/>
      <c r="F13" s="73"/>
      <c r="G13" s="74"/>
      <c r="AA13" s="1"/>
    </row>
    <row r="14" spans="2:27" ht="15" x14ac:dyDescent="0.25">
      <c r="C14" s="71" t="s">
        <v>96</v>
      </c>
      <c r="D14" s="75"/>
      <c r="E14" s="76"/>
      <c r="F14" s="76"/>
      <c r="G14" s="77"/>
      <c r="AA14" s="1"/>
    </row>
    <row r="15" spans="2:27" x14ac:dyDescent="0.2">
      <c r="AA15" s="1"/>
    </row>
    <row r="16" spans="2:27" ht="15.75" x14ac:dyDescent="0.25">
      <c r="B16" s="17" t="s">
        <v>132</v>
      </c>
      <c r="AA16" s="1"/>
    </row>
    <row r="17" spans="2:27" ht="25.5" x14ac:dyDescent="0.2">
      <c r="B17" s="63" t="s">
        <v>97</v>
      </c>
      <c r="C17" s="63" t="s">
        <v>133</v>
      </c>
      <c r="D17" s="63" t="s">
        <v>134</v>
      </c>
      <c r="E17" s="63" t="s">
        <v>98</v>
      </c>
      <c r="F17" s="63" t="s">
        <v>99</v>
      </c>
      <c r="G17" s="63" t="s">
        <v>100</v>
      </c>
      <c r="H17" s="64" t="s">
        <v>101</v>
      </c>
      <c r="AA17" s="1"/>
    </row>
    <row r="18" spans="2:27" s="78" customFormat="1" x14ac:dyDescent="0.2">
      <c r="B18" s="15">
        <v>1</v>
      </c>
      <c r="C18" s="46"/>
      <c r="D18" s="46"/>
      <c r="E18" s="46"/>
      <c r="F18" s="46"/>
      <c r="G18" s="46"/>
      <c r="H18" s="46"/>
    </row>
    <row r="19" spans="2:27" s="78" customFormat="1" x14ac:dyDescent="0.2">
      <c r="B19" s="15">
        <v>2</v>
      </c>
      <c r="C19" s="46"/>
      <c r="D19" s="46"/>
      <c r="E19" s="46"/>
      <c r="F19" s="46"/>
      <c r="G19" s="46"/>
      <c r="H19" s="46"/>
    </row>
    <row r="20" spans="2:27" s="78" customFormat="1" x14ac:dyDescent="0.2">
      <c r="B20" s="15">
        <v>3</v>
      </c>
      <c r="C20" s="46"/>
      <c r="D20" s="46"/>
      <c r="E20" s="46"/>
      <c r="F20" s="46"/>
      <c r="G20" s="46"/>
      <c r="H20" s="46"/>
    </row>
    <row r="21" spans="2:27" s="78" customFormat="1" x14ac:dyDescent="0.2">
      <c r="B21" s="15">
        <v>4</v>
      </c>
      <c r="C21" s="46"/>
      <c r="D21" s="46"/>
      <c r="E21" s="46"/>
      <c r="F21" s="46"/>
      <c r="G21" s="46"/>
      <c r="H21" s="46"/>
    </row>
    <row r="22" spans="2:27" s="78" customFormat="1" x14ac:dyDescent="0.2">
      <c r="B22" s="15">
        <v>5</v>
      </c>
      <c r="C22" s="46"/>
      <c r="D22" s="46"/>
      <c r="E22" s="46"/>
      <c r="F22" s="46"/>
      <c r="G22" s="46"/>
      <c r="H22" s="46"/>
    </row>
    <row r="23" spans="2:27" s="78" customFormat="1" x14ac:dyDescent="0.2">
      <c r="B23" s="15">
        <v>6</v>
      </c>
      <c r="C23" s="46"/>
      <c r="D23" s="46"/>
      <c r="E23" s="46"/>
      <c r="F23" s="46"/>
      <c r="G23" s="46"/>
      <c r="H23" s="46"/>
    </row>
    <row r="24" spans="2:27" s="78" customFormat="1" x14ac:dyDescent="0.2">
      <c r="B24" s="15">
        <v>7</v>
      </c>
      <c r="C24" s="46"/>
      <c r="D24" s="46"/>
      <c r="E24" s="46"/>
      <c r="F24" s="46"/>
      <c r="G24" s="46"/>
      <c r="H24" s="46"/>
    </row>
    <row r="25" spans="2:27" s="78" customFormat="1" x14ac:dyDescent="0.2">
      <c r="B25" s="15">
        <v>8</v>
      </c>
      <c r="C25" s="46"/>
      <c r="D25" s="46"/>
      <c r="E25" s="46"/>
      <c r="F25" s="46"/>
      <c r="G25" s="46"/>
      <c r="H25" s="46"/>
    </row>
    <row r="26" spans="2:27" s="78" customFormat="1" x14ac:dyDescent="0.2">
      <c r="B26" s="15">
        <v>9</v>
      </c>
      <c r="C26" s="46"/>
      <c r="D26" s="46"/>
      <c r="E26" s="46"/>
      <c r="F26" s="46"/>
      <c r="G26" s="46"/>
      <c r="H26" s="46"/>
    </row>
    <row r="27" spans="2:27" s="78" customFormat="1" x14ac:dyDescent="0.2">
      <c r="B27" s="15">
        <v>10</v>
      </c>
      <c r="C27" s="46"/>
      <c r="D27" s="46"/>
      <c r="E27" s="46"/>
      <c r="F27" s="46"/>
      <c r="G27" s="46"/>
      <c r="H27" s="46"/>
    </row>
    <row r="28" spans="2:27" s="78" customFormat="1" x14ac:dyDescent="0.2">
      <c r="B28" s="15">
        <v>11</v>
      </c>
      <c r="C28" s="46"/>
      <c r="D28" s="46"/>
      <c r="E28" s="46"/>
      <c r="F28" s="46"/>
      <c r="G28" s="46"/>
      <c r="H28" s="46"/>
    </row>
    <row r="29" spans="2:27" s="78" customFormat="1" x14ac:dyDescent="0.2">
      <c r="B29" s="15">
        <v>12</v>
      </c>
      <c r="C29" s="46"/>
      <c r="D29" s="46"/>
      <c r="E29" s="46"/>
      <c r="F29" s="46"/>
      <c r="G29" s="46"/>
      <c r="H29" s="46"/>
    </row>
    <row r="30" spans="2:27" s="78" customFormat="1" x14ac:dyDescent="0.2">
      <c r="B30" s="15">
        <v>13</v>
      </c>
      <c r="C30" s="46"/>
      <c r="D30" s="46"/>
      <c r="E30" s="46"/>
      <c r="F30" s="46"/>
      <c r="G30" s="46"/>
      <c r="H30" s="46"/>
    </row>
    <row r="31" spans="2:27" s="78" customFormat="1" x14ac:dyDescent="0.2">
      <c r="B31" s="15">
        <v>14</v>
      </c>
      <c r="C31" s="46"/>
      <c r="D31" s="46"/>
      <c r="E31" s="46"/>
      <c r="F31" s="46"/>
      <c r="G31" s="46"/>
      <c r="H31" s="46"/>
    </row>
    <row r="32" spans="2:27" s="78" customFormat="1" x14ac:dyDescent="0.2">
      <c r="B32" s="15">
        <v>15</v>
      </c>
      <c r="C32" s="46"/>
      <c r="D32" s="46"/>
      <c r="E32" s="46"/>
      <c r="F32" s="46"/>
      <c r="G32" s="46"/>
      <c r="H32" s="46"/>
    </row>
    <row r="33" spans="2:27" s="78" customFormat="1" x14ac:dyDescent="0.2">
      <c r="B33" s="15">
        <v>16</v>
      </c>
      <c r="C33" s="46"/>
      <c r="D33" s="46"/>
      <c r="E33" s="46"/>
      <c r="F33" s="46"/>
      <c r="G33" s="46"/>
      <c r="H33" s="46"/>
      <c r="AA33" s="45"/>
    </row>
    <row r="34" spans="2:27" s="78" customFormat="1" x14ac:dyDescent="0.2">
      <c r="B34" s="15">
        <v>17</v>
      </c>
      <c r="C34" s="46"/>
      <c r="D34" s="46"/>
      <c r="E34" s="46"/>
      <c r="F34" s="46"/>
      <c r="G34" s="46"/>
      <c r="H34" s="46"/>
      <c r="AA34" s="45"/>
    </row>
    <row r="35" spans="2:27" s="78" customFormat="1" x14ac:dyDescent="0.2">
      <c r="B35" s="15">
        <v>18</v>
      </c>
      <c r="C35" s="46"/>
      <c r="D35" s="46"/>
      <c r="E35" s="46"/>
      <c r="F35" s="46"/>
      <c r="G35" s="46"/>
      <c r="H35" s="46"/>
      <c r="AA35" s="45"/>
    </row>
    <row r="36" spans="2:27" s="78" customFormat="1" x14ac:dyDescent="0.2">
      <c r="B36" s="15">
        <v>19</v>
      </c>
      <c r="C36" s="46"/>
      <c r="D36" s="46"/>
      <c r="E36" s="46"/>
      <c r="F36" s="46"/>
      <c r="G36" s="46"/>
      <c r="H36" s="46"/>
      <c r="AA36" s="45"/>
    </row>
    <row r="37" spans="2:27" s="78" customFormat="1" x14ac:dyDescent="0.2">
      <c r="B37" s="15">
        <v>20</v>
      </c>
      <c r="C37" s="46"/>
      <c r="D37" s="46"/>
      <c r="E37" s="46"/>
      <c r="F37" s="46"/>
      <c r="G37" s="46"/>
      <c r="H37" s="46"/>
      <c r="AA37" s="45"/>
    </row>
    <row r="38" spans="2:27" s="78" customFormat="1" x14ac:dyDescent="0.2">
      <c r="B38" s="15">
        <v>21</v>
      </c>
      <c r="C38" s="46"/>
      <c r="D38" s="46"/>
      <c r="E38" s="46"/>
      <c r="F38" s="46"/>
      <c r="G38" s="46"/>
      <c r="H38" s="46"/>
      <c r="AA38" s="45"/>
    </row>
    <row r="39" spans="2:27" s="78" customFormat="1" x14ac:dyDescent="0.2">
      <c r="B39" s="15">
        <v>22</v>
      </c>
      <c r="C39" s="46"/>
      <c r="D39" s="46"/>
      <c r="E39" s="46"/>
      <c r="F39" s="46"/>
      <c r="G39" s="46"/>
      <c r="H39" s="46"/>
      <c r="AA39" s="45"/>
    </row>
    <row r="40" spans="2:27" s="78" customFormat="1" x14ac:dyDescent="0.2">
      <c r="B40" s="15">
        <v>23</v>
      </c>
      <c r="C40" s="46"/>
      <c r="D40" s="46"/>
      <c r="E40" s="46"/>
      <c r="F40" s="46"/>
      <c r="G40" s="46"/>
      <c r="H40" s="46"/>
      <c r="AA40" s="45"/>
    </row>
    <row r="41" spans="2:27" s="78" customFormat="1" x14ac:dyDescent="0.2">
      <c r="B41" s="15">
        <v>24</v>
      </c>
      <c r="C41" s="46"/>
      <c r="D41" s="46"/>
      <c r="E41" s="46"/>
      <c r="F41" s="46"/>
      <c r="G41" s="46"/>
      <c r="H41" s="46"/>
      <c r="AA41" s="45"/>
    </row>
    <row r="42" spans="2:27" s="78" customFormat="1" x14ac:dyDescent="0.2">
      <c r="B42" s="15">
        <v>25</v>
      </c>
      <c r="C42" s="46"/>
      <c r="D42" s="46"/>
      <c r="E42" s="46"/>
      <c r="F42" s="46"/>
      <c r="G42" s="46"/>
      <c r="H42" s="46"/>
      <c r="AA42" s="45"/>
    </row>
    <row r="43" spans="2:27" s="78" customFormat="1" x14ac:dyDescent="0.2">
      <c r="AA43" s="45"/>
    </row>
    <row r="44" spans="2:27" s="78" customFormat="1" x14ac:dyDescent="0.2">
      <c r="AA44" s="45"/>
    </row>
    <row r="45" spans="2:27" s="78" customFormat="1" x14ac:dyDescent="0.2">
      <c r="AA45" s="45"/>
    </row>
    <row r="46" spans="2:27" s="78" customFormat="1" x14ac:dyDescent="0.2">
      <c r="AA46" s="45"/>
    </row>
    <row r="47" spans="2:27" s="78" customFormat="1" x14ac:dyDescent="0.2">
      <c r="AA47" s="45"/>
    </row>
    <row r="48" spans="2:27" s="78" customFormat="1" x14ac:dyDescent="0.2">
      <c r="AA48" s="45"/>
    </row>
    <row r="49" spans="27:27" s="78" customFormat="1" x14ac:dyDescent="0.2">
      <c r="AA49" s="45"/>
    </row>
  </sheetData>
  <mergeCells count="4">
    <mergeCell ref="F7:G10"/>
    <mergeCell ref="B7:D7"/>
    <mergeCell ref="I7:I8"/>
    <mergeCell ref="I9:I10"/>
  </mergeCells>
  <phoneticPr fontId="5" type="noConversion"/>
  <pageMargins left="0.75" right="0.75" top="1" bottom="1" header="0.5" footer="0.5"/>
  <pageSetup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ensitivity">
                <anchor moveWithCells="1" sizeWithCells="1">
                  <from>
                    <xdr:col>1</xdr:col>
                    <xdr:colOff>95250</xdr:colOff>
                    <xdr:row>7</xdr:row>
                    <xdr:rowOff>19050</xdr:rowOff>
                  </from>
                  <to>
                    <xdr:col>2</xdr:col>
                    <xdr:colOff>666750</xdr:colOff>
                    <xdr:row>9</xdr:row>
                    <xdr:rowOff>57150</xdr:rowOff>
                  </to>
                </anchor>
              </controlPr>
            </control>
          </mc:Choice>
        </mc:AlternateContent>
        <mc:AlternateContent xmlns:mc="http://schemas.openxmlformats.org/markup-compatibility/2006">
          <mc:Choice Requires="x14">
            <control shapeId="43010" r:id="rId5" name="Button 2">
              <controlPr defaultSize="0" print="0" autoFill="0" autoPict="0" macro="[0]!ClearSensitivity">
                <anchor moveWithCells="1" sizeWithCells="1">
                  <from>
                    <xdr:col>2</xdr:col>
                    <xdr:colOff>704850</xdr:colOff>
                    <xdr:row>7</xdr:row>
                    <xdr:rowOff>28575</xdr:rowOff>
                  </from>
                  <to>
                    <xdr:col>3</xdr:col>
                    <xdr:colOff>590550</xdr:colOff>
                    <xdr:row>9</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CCFFCC"/>
  </sheetPr>
  <dimension ref="A1:B43"/>
  <sheetViews>
    <sheetView zoomScale="70" zoomScaleNormal="70" workbookViewId="0"/>
  </sheetViews>
  <sheetFormatPr defaultColWidth="0" defaultRowHeight="12.75" zeroHeight="1" x14ac:dyDescent="0.2"/>
  <cols>
    <col min="1" max="1" width="13.42578125" bestFit="1" customWidth="1"/>
    <col min="2" max="2" width="164" bestFit="1" customWidth="1"/>
    <col min="3" max="16384" width="8.7109375" hidden="1"/>
  </cols>
  <sheetData>
    <row r="1" spans="1:2" x14ac:dyDescent="0.2">
      <c r="A1" s="429" t="s">
        <v>7</v>
      </c>
      <c r="B1" s="264" t="s">
        <v>793</v>
      </c>
    </row>
    <row r="2" spans="1:2" x14ac:dyDescent="0.2">
      <c r="A2" s="429" t="s">
        <v>670</v>
      </c>
      <c r="B2" s="264" t="s">
        <v>781</v>
      </c>
    </row>
    <row r="3" spans="1:2" x14ac:dyDescent="0.2">
      <c r="A3" s="264"/>
      <c r="B3" s="264" t="s">
        <v>782</v>
      </c>
    </row>
    <row r="4" spans="1:2" x14ac:dyDescent="0.2">
      <c r="A4" s="429" t="s">
        <v>131</v>
      </c>
      <c r="B4" s="430">
        <f>Tracking!C3</f>
        <v>43515</v>
      </c>
    </row>
    <row r="5" spans="1:2" x14ac:dyDescent="0.2">
      <c r="A5" s="429"/>
      <c r="B5" s="430"/>
    </row>
    <row r="6" spans="1:2" x14ac:dyDescent="0.2">
      <c r="A6" s="429" t="s">
        <v>709</v>
      </c>
      <c r="B6" s="431" t="s">
        <v>66</v>
      </c>
    </row>
    <row r="7" spans="1:2" x14ac:dyDescent="0.2">
      <c r="A7" s="446"/>
      <c r="B7" s="430" t="s">
        <v>784</v>
      </c>
    </row>
    <row r="8" spans="1:2" x14ac:dyDescent="0.2">
      <c r="A8" s="432"/>
      <c r="B8" s="430" t="s">
        <v>710</v>
      </c>
    </row>
    <row r="9" spans="1:2" x14ac:dyDescent="0.2">
      <c r="A9" s="433"/>
      <c r="B9" s="430" t="s">
        <v>711</v>
      </c>
    </row>
    <row r="10" spans="1:2" x14ac:dyDescent="0.2">
      <c r="A10" s="434"/>
      <c r="B10" s="430" t="s">
        <v>712</v>
      </c>
    </row>
    <row r="11" spans="1:2" s="90" customFormat="1" x14ac:dyDescent="0.2">
      <c r="A11" s="429"/>
      <c r="B11" s="430"/>
    </row>
    <row r="12" spans="1:2" s="90" customFormat="1" x14ac:dyDescent="0.2">
      <c r="A12" s="429" t="s">
        <v>794</v>
      </c>
      <c r="B12" s="430"/>
    </row>
    <row r="13" spans="1:2" s="90" customFormat="1" x14ac:dyDescent="0.2">
      <c r="A13" s="429"/>
      <c r="B13" s="430"/>
    </row>
    <row r="14" spans="1:2" s="90" customFormat="1" x14ac:dyDescent="0.2">
      <c r="A14" s="429"/>
      <c r="B14" s="430"/>
    </row>
    <row r="15" spans="1:2" x14ac:dyDescent="0.2">
      <c r="A15" s="429" t="s">
        <v>671</v>
      </c>
      <c r="B15" s="429" t="s">
        <v>66</v>
      </c>
    </row>
    <row r="16" spans="1:2" x14ac:dyDescent="0.2">
      <c r="A16" s="435" t="s">
        <v>672</v>
      </c>
      <c r="B16" s="264" t="s">
        <v>771</v>
      </c>
    </row>
    <row r="17" spans="1:2" ht="31.15" customHeight="1" x14ac:dyDescent="0.2">
      <c r="A17" s="436" t="s">
        <v>673</v>
      </c>
      <c r="B17" s="447" t="s">
        <v>785</v>
      </c>
    </row>
    <row r="18" spans="1:2" x14ac:dyDescent="0.2">
      <c r="A18" s="436" t="s">
        <v>674</v>
      </c>
      <c r="B18" s="264" t="s">
        <v>786</v>
      </c>
    </row>
    <row r="19" spans="1:2" x14ac:dyDescent="0.2">
      <c r="A19" s="436" t="s">
        <v>675</v>
      </c>
      <c r="B19" s="264" t="s">
        <v>488</v>
      </c>
    </row>
    <row r="20" spans="1:2" x14ac:dyDescent="0.2">
      <c r="A20" s="436" t="s">
        <v>707</v>
      </c>
      <c r="B20" s="264" t="s">
        <v>708</v>
      </c>
    </row>
    <row r="21" spans="1:2" x14ac:dyDescent="0.2">
      <c r="A21" s="436" t="s">
        <v>108</v>
      </c>
      <c r="B21" s="264" t="s">
        <v>787</v>
      </c>
    </row>
    <row r="22" spans="1:2" x14ac:dyDescent="0.2">
      <c r="A22" s="436" t="s">
        <v>780</v>
      </c>
      <c r="B22" s="264" t="s">
        <v>790</v>
      </c>
    </row>
    <row r="23" spans="1:2" x14ac:dyDescent="0.2">
      <c r="A23" s="436" t="s">
        <v>676</v>
      </c>
      <c r="B23" s="264" t="s">
        <v>772</v>
      </c>
    </row>
    <row r="24" spans="1:2" x14ac:dyDescent="0.2">
      <c r="A24" s="436" t="s">
        <v>275</v>
      </c>
      <c r="B24" s="264" t="s">
        <v>788</v>
      </c>
    </row>
    <row r="25" spans="1:2" x14ac:dyDescent="0.2">
      <c r="A25" s="436" t="s">
        <v>677</v>
      </c>
      <c r="B25" s="264" t="s">
        <v>789</v>
      </c>
    </row>
    <row r="26" spans="1:2" ht="25.5" x14ac:dyDescent="0.2">
      <c r="A26" s="437" t="s">
        <v>678</v>
      </c>
      <c r="B26" s="445" t="s">
        <v>775</v>
      </c>
    </row>
    <row r="27" spans="1:2" x14ac:dyDescent="0.2">
      <c r="A27" s="437" t="s">
        <v>679</v>
      </c>
      <c r="B27" s="439" t="s">
        <v>776</v>
      </c>
    </row>
    <row r="28" spans="1:2" x14ac:dyDescent="0.2">
      <c r="A28" s="437" t="s">
        <v>680</v>
      </c>
      <c r="B28" s="438" t="s">
        <v>777</v>
      </c>
    </row>
    <row r="29" spans="1:2" x14ac:dyDescent="0.2">
      <c r="A29" s="437" t="s">
        <v>681</v>
      </c>
      <c r="B29" s="264" t="s">
        <v>778</v>
      </c>
    </row>
    <row r="30" spans="1:2" x14ac:dyDescent="0.2">
      <c r="A30" s="437" t="s">
        <v>682</v>
      </c>
      <c r="B30" s="264" t="s">
        <v>779</v>
      </c>
    </row>
    <row r="31" spans="1:2" x14ac:dyDescent="0.2">
      <c r="A31" s="90"/>
      <c r="B31" s="90"/>
    </row>
    <row r="32" spans="1:2" x14ac:dyDescent="0.2">
      <c r="A32" s="90"/>
      <c r="B32" s="90"/>
    </row>
    <row r="33" spans="1:2" x14ac:dyDescent="0.2">
      <c r="A33" s="90"/>
      <c r="B33" s="90"/>
    </row>
    <row r="34" spans="1:2" x14ac:dyDescent="0.2">
      <c r="A34" s="90"/>
      <c r="B34" s="90"/>
    </row>
    <row r="35" spans="1:2" x14ac:dyDescent="0.2">
      <c r="A35" s="90"/>
      <c r="B35" s="90"/>
    </row>
    <row r="36" spans="1:2" x14ac:dyDescent="0.2"/>
    <row r="37" spans="1:2" x14ac:dyDescent="0.2"/>
    <row r="38" spans="1:2" x14ac:dyDescent="0.2"/>
    <row r="39" spans="1:2" x14ac:dyDescent="0.2"/>
    <row r="40" spans="1:2" x14ac:dyDescent="0.2"/>
    <row r="41" spans="1:2" x14ac:dyDescent="0.2"/>
    <row r="42" spans="1:2" x14ac:dyDescent="0.2"/>
    <row r="43" spans="1:2" x14ac:dyDescent="0.2"/>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ClearAllSiteSpecificValues">
                <anchor moveWithCells="1" sizeWithCells="1">
                  <from>
                    <xdr:col>1</xdr:col>
                    <xdr:colOff>5391150</xdr:colOff>
                    <xdr:row>10</xdr:row>
                    <xdr:rowOff>38100</xdr:rowOff>
                  </from>
                  <to>
                    <xdr:col>1</xdr:col>
                    <xdr:colOff>7067550</xdr:colOff>
                    <xdr:row>12</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CCFFCC"/>
  </sheetPr>
  <dimension ref="A1:G101"/>
  <sheetViews>
    <sheetView workbookViewId="0"/>
  </sheetViews>
  <sheetFormatPr defaultColWidth="0" defaultRowHeight="12.75" zeroHeight="1" x14ac:dyDescent="0.2"/>
  <cols>
    <col min="1" max="1" width="9.28515625" style="284" customWidth="1"/>
    <col min="2" max="2" width="12.7109375" style="284" customWidth="1"/>
    <col min="3" max="3" width="35.7109375" style="284" customWidth="1"/>
    <col min="4" max="4" width="9.28515625" style="284" customWidth="1"/>
    <col min="5" max="5" width="12.7109375" style="284" customWidth="1"/>
    <col min="6" max="6" width="35.7109375" style="284" customWidth="1"/>
    <col min="7" max="7" width="9.28515625" style="284" customWidth="1"/>
    <col min="8" max="16384" width="9.28515625" style="284" hidden="1"/>
  </cols>
  <sheetData>
    <row r="1" spans="1:7" x14ac:dyDescent="0.2">
      <c r="A1" s="263"/>
      <c r="B1" s="283"/>
      <c r="C1" s="283"/>
      <c r="D1" s="283"/>
      <c r="E1" s="283"/>
      <c r="F1" s="283"/>
      <c r="G1" s="263"/>
    </row>
    <row r="2" spans="1:7" ht="23.25" x14ac:dyDescent="0.35">
      <c r="A2" s="263"/>
      <c r="B2" s="262" t="s">
        <v>657</v>
      </c>
      <c r="C2" s="263"/>
      <c r="D2" s="263"/>
      <c r="E2" s="263"/>
      <c r="F2" s="263"/>
      <c r="G2" s="263"/>
    </row>
    <row r="3" spans="1:7" x14ac:dyDescent="0.2">
      <c r="A3" s="263"/>
      <c r="B3" s="263" t="s">
        <v>616</v>
      </c>
      <c r="C3" s="286">
        <f>MAX(B7:B101,E7:E98)</f>
        <v>43515</v>
      </c>
      <c r="D3" s="263"/>
      <c r="E3" s="263"/>
      <c r="F3" s="263"/>
      <c r="G3" s="263"/>
    </row>
    <row r="4" spans="1:7" x14ac:dyDescent="0.2">
      <c r="A4" s="263"/>
      <c r="B4" s="263"/>
      <c r="C4" s="263"/>
      <c r="D4" s="263"/>
      <c r="E4" s="263"/>
      <c r="F4" s="263"/>
      <c r="G4" s="263"/>
    </row>
    <row r="5" spans="1:7" x14ac:dyDescent="0.2">
      <c r="A5" s="264"/>
      <c r="B5" s="266"/>
      <c r="C5" s="266"/>
      <c r="D5" s="266"/>
      <c r="E5" s="266"/>
      <c r="F5" s="266"/>
      <c r="G5" s="264"/>
    </row>
    <row r="6" spans="1:7" x14ac:dyDescent="0.2">
      <c r="A6" s="264"/>
      <c r="B6" s="282" t="s">
        <v>637</v>
      </c>
      <c r="C6" s="266"/>
      <c r="D6" s="266"/>
      <c r="E6" s="282" t="s">
        <v>630</v>
      </c>
      <c r="F6" s="266"/>
      <c r="G6" s="264"/>
    </row>
    <row r="7" spans="1:7" ht="25.5" x14ac:dyDescent="0.2">
      <c r="A7" s="264"/>
      <c r="B7" s="265">
        <v>42830</v>
      </c>
      <c r="C7" s="267" t="s">
        <v>758</v>
      </c>
      <c r="D7" s="266"/>
      <c r="E7" s="265"/>
      <c r="F7" s="414"/>
      <c r="G7" s="264"/>
    </row>
    <row r="8" spans="1:7" ht="28.9" customHeight="1" x14ac:dyDescent="0.2">
      <c r="A8" s="264"/>
      <c r="B8" s="265">
        <v>42831</v>
      </c>
      <c r="C8" s="267" t="s">
        <v>770</v>
      </c>
      <c r="D8" s="266"/>
      <c r="E8" s="265"/>
      <c r="F8" s="267"/>
      <c r="G8" s="264"/>
    </row>
    <row r="9" spans="1:7" ht="34.9" customHeight="1" x14ac:dyDescent="0.2">
      <c r="A9" s="264"/>
      <c r="B9" s="265">
        <v>42967</v>
      </c>
      <c r="C9" s="267" t="s">
        <v>783</v>
      </c>
      <c r="D9" s="266"/>
      <c r="E9" s="272"/>
      <c r="F9" s="271"/>
      <c r="G9" s="264"/>
    </row>
    <row r="10" spans="1:7" ht="28.9" customHeight="1" x14ac:dyDescent="0.2">
      <c r="A10" s="264"/>
      <c r="B10" s="265">
        <v>42967</v>
      </c>
      <c r="C10" s="271" t="s">
        <v>792</v>
      </c>
      <c r="D10" s="266"/>
      <c r="E10" s="265"/>
      <c r="F10" s="267"/>
      <c r="G10" s="264"/>
    </row>
    <row r="11" spans="1:7" ht="63.75" x14ac:dyDescent="0.2">
      <c r="A11" s="264"/>
      <c r="B11" s="265">
        <v>43383</v>
      </c>
      <c r="C11" s="267" t="s">
        <v>801</v>
      </c>
      <c r="D11" s="266"/>
      <c r="E11" s="266"/>
      <c r="F11" s="271"/>
      <c r="G11" s="264"/>
    </row>
    <row r="12" spans="1:7" ht="89.25" x14ac:dyDescent="0.2">
      <c r="A12" s="264"/>
      <c r="B12" s="265">
        <v>43515</v>
      </c>
      <c r="C12" s="267" t="s">
        <v>802</v>
      </c>
      <c r="D12" s="266"/>
      <c r="E12" s="266"/>
      <c r="F12" s="271"/>
      <c r="G12" s="264"/>
    </row>
    <row r="13" spans="1:7" x14ac:dyDescent="0.2">
      <c r="A13" s="264"/>
      <c r="B13" s="265"/>
      <c r="C13" s="267"/>
      <c r="D13" s="266"/>
      <c r="E13" s="266"/>
      <c r="F13" s="271"/>
      <c r="G13" s="264"/>
    </row>
    <row r="14" spans="1:7" x14ac:dyDescent="0.2">
      <c r="A14" s="264"/>
      <c r="B14" s="272"/>
      <c r="C14" s="271"/>
      <c r="D14" s="266"/>
      <c r="E14" s="266"/>
      <c r="F14" s="271"/>
      <c r="G14" s="264"/>
    </row>
    <row r="15" spans="1:7" x14ac:dyDescent="0.2">
      <c r="A15" s="264"/>
      <c r="B15" s="272"/>
      <c r="C15" s="271"/>
      <c r="D15" s="266"/>
      <c r="E15" s="266"/>
      <c r="F15" s="271"/>
      <c r="G15" s="264"/>
    </row>
    <row r="16" spans="1:7" x14ac:dyDescent="0.2">
      <c r="A16" s="264"/>
      <c r="B16" s="272"/>
      <c r="C16" s="271"/>
      <c r="D16" s="266"/>
      <c r="E16" s="266"/>
      <c r="F16" s="271"/>
      <c r="G16" s="264"/>
    </row>
    <row r="17" spans="1:7" x14ac:dyDescent="0.2">
      <c r="A17" s="264"/>
      <c r="B17" s="272"/>
      <c r="C17" s="271"/>
      <c r="D17" s="266"/>
      <c r="E17" s="266"/>
      <c r="F17" s="271"/>
      <c r="G17" s="264"/>
    </row>
    <row r="18" spans="1:7" x14ac:dyDescent="0.2">
      <c r="A18" s="264"/>
      <c r="B18" s="272"/>
      <c r="C18" s="271"/>
      <c r="D18" s="266"/>
      <c r="E18" s="266"/>
      <c r="F18" s="271"/>
      <c r="G18" s="264"/>
    </row>
    <row r="19" spans="1:7" x14ac:dyDescent="0.2">
      <c r="A19" s="264"/>
      <c r="B19" s="272"/>
      <c r="C19" s="271"/>
      <c r="D19" s="266"/>
      <c r="E19" s="266"/>
      <c r="F19" s="271"/>
      <c r="G19" s="264"/>
    </row>
    <row r="20" spans="1:7" x14ac:dyDescent="0.2">
      <c r="A20" s="264"/>
      <c r="B20" s="272"/>
      <c r="C20" s="271"/>
      <c r="D20" s="266"/>
      <c r="E20" s="266"/>
      <c r="F20" s="271"/>
      <c r="G20" s="264"/>
    </row>
    <row r="21" spans="1:7" x14ac:dyDescent="0.2">
      <c r="A21" s="264"/>
      <c r="B21" s="272"/>
      <c r="C21" s="271"/>
      <c r="D21" s="266"/>
      <c r="E21" s="266"/>
      <c r="F21" s="271"/>
      <c r="G21" s="264"/>
    </row>
    <row r="22" spans="1:7" x14ac:dyDescent="0.2">
      <c r="A22" s="264"/>
      <c r="B22" s="272"/>
      <c r="C22" s="335"/>
      <c r="D22" s="266"/>
      <c r="E22" s="266"/>
      <c r="F22" s="271"/>
      <c r="G22" s="264"/>
    </row>
    <row r="23" spans="1:7" x14ac:dyDescent="0.2">
      <c r="A23" s="264"/>
      <c r="B23" s="272"/>
      <c r="C23" s="271"/>
      <c r="D23" s="266"/>
      <c r="E23" s="266"/>
      <c r="F23" s="271"/>
      <c r="G23" s="264"/>
    </row>
    <row r="24" spans="1:7" x14ac:dyDescent="0.2">
      <c r="A24" s="264"/>
      <c r="B24" s="272"/>
      <c r="C24" s="271"/>
      <c r="D24" s="266"/>
      <c r="E24" s="266"/>
      <c r="F24" s="271"/>
      <c r="G24" s="264"/>
    </row>
    <row r="25" spans="1:7" x14ac:dyDescent="0.2">
      <c r="A25" s="264"/>
      <c r="B25" s="266"/>
      <c r="C25" s="271"/>
      <c r="D25" s="266"/>
      <c r="E25" s="266"/>
      <c r="F25" s="271"/>
      <c r="G25" s="264"/>
    </row>
    <row r="26" spans="1:7" x14ac:dyDescent="0.2">
      <c r="A26" s="264"/>
      <c r="B26" s="266"/>
      <c r="C26" s="271"/>
      <c r="D26" s="266"/>
      <c r="E26" s="266"/>
      <c r="F26" s="271"/>
      <c r="G26" s="264"/>
    </row>
    <row r="27" spans="1:7" x14ac:dyDescent="0.2">
      <c r="A27" s="264"/>
      <c r="B27" s="266"/>
      <c r="C27" s="271"/>
      <c r="D27" s="266"/>
      <c r="E27" s="266"/>
      <c r="F27" s="271"/>
      <c r="G27" s="264"/>
    </row>
    <row r="28" spans="1:7" x14ac:dyDescent="0.2">
      <c r="A28" s="264"/>
      <c r="B28" s="266"/>
      <c r="C28" s="271"/>
      <c r="D28" s="266"/>
      <c r="E28" s="266"/>
      <c r="F28" s="271"/>
      <c r="G28" s="264"/>
    </row>
    <row r="29" spans="1:7" x14ac:dyDescent="0.2">
      <c r="A29" s="264"/>
      <c r="B29" s="266"/>
      <c r="C29" s="271"/>
      <c r="D29" s="266"/>
      <c r="E29" s="266"/>
      <c r="F29" s="271"/>
      <c r="G29" s="264"/>
    </row>
    <row r="30" spans="1:7" x14ac:dyDescent="0.2">
      <c r="A30" s="264"/>
      <c r="B30" s="266"/>
      <c r="C30" s="271"/>
      <c r="D30" s="266"/>
      <c r="E30" s="266"/>
      <c r="F30" s="271"/>
      <c r="G30" s="264"/>
    </row>
    <row r="31" spans="1:7" x14ac:dyDescent="0.2">
      <c r="A31" s="264"/>
      <c r="B31" s="266"/>
      <c r="C31" s="271"/>
      <c r="D31" s="266"/>
      <c r="E31" s="266"/>
      <c r="F31" s="271"/>
      <c r="G31" s="264"/>
    </row>
    <row r="32" spans="1:7" x14ac:dyDescent="0.2">
      <c r="A32" s="264"/>
      <c r="B32" s="266"/>
      <c r="C32" s="271"/>
      <c r="D32" s="266"/>
      <c r="E32" s="266"/>
      <c r="F32" s="271"/>
      <c r="G32" s="264"/>
    </row>
    <row r="33" spans="1:7" x14ac:dyDescent="0.2">
      <c r="A33" s="264"/>
      <c r="B33" s="266"/>
      <c r="C33" s="271"/>
      <c r="D33" s="266"/>
      <c r="E33" s="266"/>
      <c r="F33" s="271"/>
      <c r="G33" s="264"/>
    </row>
    <row r="34" spans="1:7" x14ac:dyDescent="0.2">
      <c r="A34" s="264"/>
      <c r="B34" s="266"/>
      <c r="C34" s="271"/>
      <c r="D34" s="266"/>
      <c r="E34" s="266"/>
      <c r="F34" s="271"/>
      <c r="G34" s="264"/>
    </row>
    <row r="35" spans="1:7" x14ac:dyDescent="0.2">
      <c r="A35" s="264"/>
      <c r="B35" s="266"/>
      <c r="C35" s="271"/>
      <c r="D35" s="266"/>
      <c r="E35" s="266"/>
      <c r="F35" s="271"/>
      <c r="G35" s="264"/>
    </row>
    <row r="36" spans="1:7" x14ac:dyDescent="0.2">
      <c r="A36" s="264"/>
      <c r="B36" s="266"/>
      <c r="C36" s="271"/>
      <c r="D36" s="266"/>
      <c r="E36" s="266"/>
      <c r="F36" s="271"/>
      <c r="G36" s="264"/>
    </row>
    <row r="37" spans="1:7" x14ac:dyDescent="0.2">
      <c r="A37" s="264"/>
      <c r="B37" s="266"/>
      <c r="C37" s="271"/>
      <c r="D37" s="266"/>
      <c r="E37" s="266"/>
      <c r="F37" s="271"/>
      <c r="G37" s="264"/>
    </row>
    <row r="38" spans="1:7" x14ac:dyDescent="0.2">
      <c r="A38" s="264"/>
      <c r="B38" s="266"/>
      <c r="C38" s="271"/>
      <c r="D38" s="266"/>
      <c r="E38" s="266"/>
      <c r="F38" s="271"/>
      <c r="G38" s="264"/>
    </row>
    <row r="39" spans="1:7" x14ac:dyDescent="0.2">
      <c r="A39" s="264"/>
      <c r="B39" s="266"/>
      <c r="C39" s="271"/>
      <c r="D39" s="266"/>
      <c r="E39" s="266"/>
      <c r="F39" s="271"/>
      <c r="G39" s="264"/>
    </row>
    <row r="40" spans="1:7" x14ac:dyDescent="0.2">
      <c r="A40" s="264"/>
      <c r="B40" s="266"/>
      <c r="C40" s="271"/>
      <c r="D40" s="266"/>
      <c r="E40" s="266"/>
      <c r="F40" s="271"/>
      <c r="G40" s="264"/>
    </row>
    <row r="41" spans="1:7" x14ac:dyDescent="0.2">
      <c r="A41" s="264"/>
      <c r="B41" s="266"/>
      <c r="C41" s="271"/>
      <c r="D41" s="266"/>
      <c r="E41" s="266"/>
      <c r="F41" s="271"/>
      <c r="G41" s="264"/>
    </row>
    <row r="42" spans="1:7" x14ac:dyDescent="0.2">
      <c r="A42" s="264"/>
      <c r="B42" s="266"/>
      <c r="C42" s="271"/>
      <c r="D42" s="266"/>
      <c r="E42" s="266"/>
      <c r="F42" s="271"/>
      <c r="G42" s="264"/>
    </row>
    <row r="43" spans="1:7" x14ac:dyDescent="0.2">
      <c r="A43" s="264"/>
      <c r="B43" s="266"/>
      <c r="C43" s="271"/>
      <c r="D43" s="266"/>
      <c r="E43" s="266"/>
      <c r="F43" s="271"/>
      <c r="G43" s="264"/>
    </row>
    <row r="44" spans="1:7" x14ac:dyDescent="0.2">
      <c r="A44" s="264"/>
      <c r="B44" s="266"/>
      <c r="C44" s="271"/>
      <c r="D44" s="266"/>
      <c r="E44" s="266"/>
      <c r="F44" s="271"/>
      <c r="G44" s="264"/>
    </row>
    <row r="45" spans="1:7" x14ac:dyDescent="0.2">
      <c r="A45" s="264"/>
      <c r="B45" s="266"/>
      <c r="C45" s="271"/>
      <c r="D45" s="266"/>
      <c r="E45" s="266"/>
      <c r="F45" s="271"/>
      <c r="G45" s="264"/>
    </row>
    <row r="46" spans="1:7" x14ac:dyDescent="0.2">
      <c r="A46" s="264"/>
      <c r="B46" s="266"/>
      <c r="C46" s="271"/>
      <c r="D46" s="266"/>
      <c r="E46" s="266"/>
      <c r="F46" s="271"/>
      <c r="G46" s="264"/>
    </row>
    <row r="47" spans="1:7" x14ac:dyDescent="0.2">
      <c r="A47" s="264"/>
      <c r="B47" s="266"/>
      <c r="C47" s="271"/>
      <c r="D47" s="266"/>
      <c r="E47" s="266"/>
      <c r="F47" s="271"/>
      <c r="G47" s="264"/>
    </row>
    <row r="48" spans="1:7" x14ac:dyDescent="0.2">
      <c r="A48" s="264"/>
      <c r="B48" s="266"/>
      <c r="C48" s="271"/>
      <c r="D48" s="266"/>
      <c r="E48" s="266"/>
      <c r="F48" s="271"/>
      <c r="G48" s="264"/>
    </row>
    <row r="49" spans="1:7" x14ac:dyDescent="0.2">
      <c r="A49" s="264"/>
      <c r="B49" s="266"/>
      <c r="C49" s="271"/>
      <c r="D49" s="266"/>
      <c r="E49" s="266"/>
      <c r="F49" s="271"/>
      <c r="G49" s="264"/>
    </row>
    <row r="50" spans="1:7" x14ac:dyDescent="0.2">
      <c r="A50" s="264"/>
      <c r="B50" s="266"/>
      <c r="C50" s="271"/>
      <c r="D50" s="266"/>
      <c r="E50" s="266"/>
      <c r="F50" s="271"/>
      <c r="G50" s="264"/>
    </row>
    <row r="51" spans="1:7" x14ac:dyDescent="0.2">
      <c r="A51" s="264"/>
      <c r="B51" s="266"/>
      <c r="C51" s="271"/>
      <c r="D51" s="266"/>
      <c r="E51" s="266"/>
      <c r="F51" s="271"/>
      <c r="G51" s="264"/>
    </row>
    <row r="52" spans="1:7" x14ac:dyDescent="0.2">
      <c r="A52" s="264"/>
      <c r="B52" s="266"/>
      <c r="C52" s="271"/>
      <c r="D52" s="266"/>
      <c r="E52" s="266"/>
      <c r="F52" s="271"/>
      <c r="G52" s="264"/>
    </row>
    <row r="53" spans="1:7" x14ac:dyDescent="0.2">
      <c r="A53" s="264"/>
      <c r="B53" s="266"/>
      <c r="C53" s="271"/>
      <c r="D53" s="266"/>
      <c r="E53" s="266"/>
      <c r="F53" s="271"/>
      <c r="G53" s="264"/>
    </row>
    <row r="54" spans="1:7" x14ac:dyDescent="0.2">
      <c r="A54" s="264"/>
      <c r="B54" s="266"/>
      <c r="C54" s="271"/>
      <c r="D54" s="266"/>
      <c r="E54" s="266"/>
      <c r="F54" s="271"/>
      <c r="G54" s="264"/>
    </row>
    <row r="55" spans="1:7" x14ac:dyDescent="0.2">
      <c r="A55" s="264"/>
      <c r="B55" s="266"/>
      <c r="C55" s="271"/>
      <c r="D55" s="266"/>
      <c r="E55" s="266"/>
      <c r="F55" s="271"/>
      <c r="G55" s="264"/>
    </row>
    <row r="56" spans="1:7" x14ac:dyDescent="0.2">
      <c r="A56" s="264"/>
      <c r="B56" s="266"/>
      <c r="C56" s="271"/>
      <c r="D56" s="266"/>
      <c r="E56" s="266"/>
      <c r="F56" s="271"/>
      <c r="G56" s="264"/>
    </row>
    <row r="57" spans="1:7" x14ac:dyDescent="0.2">
      <c r="A57" s="264"/>
      <c r="B57" s="266"/>
      <c r="C57" s="271"/>
      <c r="D57" s="266"/>
      <c r="E57" s="266"/>
      <c r="F57" s="271"/>
      <c r="G57" s="264"/>
    </row>
    <row r="58" spans="1:7" x14ac:dyDescent="0.2">
      <c r="A58" s="264"/>
      <c r="B58" s="266"/>
      <c r="C58" s="271"/>
      <c r="D58" s="266"/>
      <c r="E58" s="266"/>
      <c r="F58" s="271"/>
      <c r="G58" s="264"/>
    </row>
    <row r="59" spans="1:7" x14ac:dyDescent="0.2">
      <c r="A59" s="264"/>
      <c r="B59" s="266"/>
      <c r="C59" s="271"/>
      <c r="D59" s="266"/>
      <c r="E59" s="266"/>
      <c r="F59" s="271"/>
      <c r="G59" s="264"/>
    </row>
    <row r="60" spans="1:7" x14ac:dyDescent="0.2">
      <c r="A60" s="264"/>
      <c r="B60" s="266"/>
      <c r="C60" s="271"/>
      <c r="D60" s="266"/>
      <c r="E60" s="266"/>
      <c r="F60" s="271"/>
      <c r="G60" s="264"/>
    </row>
    <row r="61" spans="1:7" x14ac:dyDescent="0.2">
      <c r="A61" s="264"/>
      <c r="B61" s="266"/>
      <c r="C61" s="271"/>
      <c r="D61" s="266"/>
      <c r="E61" s="266"/>
      <c r="F61" s="271"/>
      <c r="G61" s="264"/>
    </row>
    <row r="62" spans="1:7" x14ac:dyDescent="0.2">
      <c r="A62" s="264"/>
      <c r="B62" s="266"/>
      <c r="C62" s="271"/>
      <c r="D62" s="266"/>
      <c r="E62" s="266"/>
      <c r="F62" s="271"/>
      <c r="G62" s="264"/>
    </row>
    <row r="63" spans="1:7" x14ac:dyDescent="0.2">
      <c r="A63" s="264"/>
      <c r="B63" s="266"/>
      <c r="C63" s="271"/>
      <c r="D63" s="266"/>
      <c r="E63" s="266"/>
      <c r="F63" s="271"/>
      <c r="G63" s="264"/>
    </row>
    <row r="64" spans="1:7" x14ac:dyDescent="0.2">
      <c r="A64" s="264"/>
      <c r="B64" s="266"/>
      <c r="C64" s="271"/>
      <c r="D64" s="266"/>
      <c r="E64" s="266"/>
      <c r="F64" s="271"/>
      <c r="G64" s="264"/>
    </row>
    <row r="65" spans="1:7" x14ac:dyDescent="0.2">
      <c r="A65" s="264"/>
      <c r="B65" s="266"/>
      <c r="C65" s="271"/>
      <c r="D65" s="266"/>
      <c r="E65" s="266"/>
      <c r="F65" s="271"/>
      <c r="G65" s="264"/>
    </row>
    <row r="66" spans="1:7" x14ac:dyDescent="0.2">
      <c r="A66" s="264"/>
      <c r="B66" s="266"/>
      <c r="C66" s="271"/>
      <c r="D66" s="266"/>
      <c r="E66" s="266"/>
      <c r="F66" s="271"/>
      <c r="G66" s="264"/>
    </row>
    <row r="67" spans="1:7" x14ac:dyDescent="0.2">
      <c r="A67" s="264"/>
      <c r="B67" s="266"/>
      <c r="C67" s="271"/>
      <c r="D67" s="266"/>
      <c r="E67" s="266"/>
      <c r="F67" s="271"/>
      <c r="G67" s="264"/>
    </row>
    <row r="68" spans="1:7" x14ac:dyDescent="0.2">
      <c r="A68" s="264"/>
      <c r="B68" s="266"/>
      <c r="C68" s="271"/>
      <c r="D68" s="266"/>
      <c r="E68" s="266"/>
      <c r="F68" s="271"/>
      <c r="G68" s="264"/>
    </row>
    <row r="69" spans="1:7" x14ac:dyDescent="0.2">
      <c r="A69" s="264"/>
      <c r="B69" s="266"/>
      <c r="C69" s="271"/>
      <c r="D69" s="266"/>
      <c r="E69" s="266"/>
      <c r="F69" s="271"/>
      <c r="G69" s="264"/>
    </row>
    <row r="70" spans="1:7" x14ac:dyDescent="0.2">
      <c r="A70" s="264"/>
      <c r="B70" s="266"/>
      <c r="C70" s="271"/>
      <c r="D70" s="266"/>
      <c r="E70" s="266"/>
      <c r="F70" s="271"/>
      <c r="G70" s="264"/>
    </row>
    <row r="71" spans="1:7" x14ac:dyDescent="0.2">
      <c r="A71" s="264"/>
      <c r="B71" s="266"/>
      <c r="C71" s="271"/>
      <c r="D71" s="266"/>
      <c r="E71" s="266"/>
      <c r="F71" s="271"/>
      <c r="G71" s="264"/>
    </row>
    <row r="72" spans="1:7" x14ac:dyDescent="0.2">
      <c r="A72" s="264"/>
      <c r="B72" s="266"/>
      <c r="C72" s="271"/>
      <c r="D72" s="266"/>
      <c r="E72" s="266"/>
      <c r="F72" s="271"/>
      <c r="G72" s="264"/>
    </row>
    <row r="73" spans="1:7" x14ac:dyDescent="0.2">
      <c r="A73" s="264"/>
      <c r="B73" s="266"/>
      <c r="C73" s="271"/>
      <c r="D73" s="266"/>
      <c r="E73" s="266"/>
      <c r="F73" s="271"/>
      <c r="G73" s="264"/>
    </row>
    <row r="74" spans="1:7" x14ac:dyDescent="0.2">
      <c r="A74" s="264"/>
      <c r="B74" s="266"/>
      <c r="C74" s="271"/>
      <c r="D74" s="266"/>
      <c r="E74" s="266"/>
      <c r="F74" s="271"/>
      <c r="G74" s="264"/>
    </row>
    <row r="75" spans="1:7" x14ac:dyDescent="0.2">
      <c r="A75" s="264"/>
      <c r="B75" s="266"/>
      <c r="C75" s="271"/>
      <c r="D75" s="266"/>
      <c r="E75" s="266"/>
      <c r="F75" s="271"/>
      <c r="G75" s="264"/>
    </row>
    <row r="76" spans="1:7" x14ac:dyDescent="0.2">
      <c r="A76" s="264"/>
      <c r="B76" s="266"/>
      <c r="C76" s="271"/>
      <c r="D76" s="266"/>
      <c r="E76" s="266"/>
      <c r="F76" s="271"/>
      <c r="G76" s="264"/>
    </row>
    <row r="77" spans="1:7" x14ac:dyDescent="0.2">
      <c r="A77" s="264"/>
      <c r="B77" s="266"/>
      <c r="C77" s="271"/>
      <c r="D77" s="266"/>
      <c r="E77" s="266"/>
      <c r="F77" s="271"/>
      <c r="G77" s="264"/>
    </row>
    <row r="78" spans="1:7" x14ac:dyDescent="0.2">
      <c r="A78" s="264"/>
      <c r="B78" s="266"/>
      <c r="C78" s="271"/>
      <c r="D78" s="266"/>
      <c r="E78" s="266"/>
      <c r="F78" s="271"/>
      <c r="G78" s="264"/>
    </row>
    <row r="79" spans="1:7" x14ac:dyDescent="0.2">
      <c r="A79" s="264"/>
      <c r="B79" s="266"/>
      <c r="C79" s="271"/>
      <c r="D79" s="266"/>
      <c r="E79" s="266"/>
      <c r="F79" s="271"/>
      <c r="G79" s="264"/>
    </row>
    <row r="80" spans="1:7" x14ac:dyDescent="0.2">
      <c r="A80" s="264"/>
      <c r="B80" s="266"/>
      <c r="C80" s="271"/>
      <c r="D80" s="266"/>
      <c r="E80" s="266"/>
      <c r="F80" s="271"/>
      <c r="G80" s="264"/>
    </row>
    <row r="81" spans="1:7" x14ac:dyDescent="0.2">
      <c r="A81" s="264"/>
      <c r="B81" s="266"/>
      <c r="C81" s="271"/>
      <c r="D81" s="266"/>
      <c r="E81" s="266"/>
      <c r="F81" s="271"/>
      <c r="G81" s="264"/>
    </row>
    <row r="82" spans="1:7" x14ac:dyDescent="0.2">
      <c r="A82" s="264"/>
      <c r="B82" s="266"/>
      <c r="C82" s="271"/>
      <c r="D82" s="266"/>
      <c r="E82" s="266"/>
      <c r="F82" s="271"/>
      <c r="G82" s="264"/>
    </row>
    <row r="83" spans="1:7" x14ac:dyDescent="0.2">
      <c r="A83" s="264"/>
      <c r="B83" s="266"/>
      <c r="C83" s="271"/>
      <c r="D83" s="266"/>
      <c r="E83" s="266"/>
      <c r="F83" s="271"/>
      <c r="G83" s="264"/>
    </row>
    <row r="84" spans="1:7" x14ac:dyDescent="0.2">
      <c r="A84" s="264"/>
      <c r="B84" s="266"/>
      <c r="C84" s="271"/>
      <c r="D84" s="266"/>
      <c r="E84" s="266"/>
      <c r="F84" s="271"/>
      <c r="G84" s="264"/>
    </row>
    <row r="85" spans="1:7" x14ac:dyDescent="0.2">
      <c r="A85" s="264"/>
      <c r="B85" s="266"/>
      <c r="C85" s="271"/>
      <c r="D85" s="266"/>
      <c r="E85" s="266"/>
      <c r="F85" s="271"/>
      <c r="G85" s="264"/>
    </row>
    <row r="86" spans="1:7" x14ac:dyDescent="0.2">
      <c r="A86" s="264"/>
      <c r="B86" s="266"/>
      <c r="C86" s="271"/>
      <c r="D86" s="266"/>
      <c r="E86" s="266"/>
      <c r="F86" s="271"/>
      <c r="G86" s="264"/>
    </row>
    <row r="87" spans="1:7" x14ac:dyDescent="0.2">
      <c r="A87" s="264"/>
      <c r="B87" s="266"/>
      <c r="C87" s="271"/>
      <c r="D87" s="266"/>
      <c r="E87" s="266"/>
      <c r="F87" s="271"/>
      <c r="G87" s="264"/>
    </row>
    <row r="88" spans="1:7" x14ac:dyDescent="0.2">
      <c r="A88" s="264"/>
      <c r="B88" s="266"/>
      <c r="C88" s="271"/>
      <c r="D88" s="266"/>
      <c r="E88" s="266"/>
      <c r="F88" s="271"/>
      <c r="G88" s="264"/>
    </row>
    <row r="89" spans="1:7" x14ac:dyDescent="0.2">
      <c r="A89" s="264"/>
      <c r="B89" s="266"/>
      <c r="C89" s="271"/>
      <c r="D89" s="266"/>
      <c r="E89" s="266"/>
      <c r="F89" s="271"/>
      <c r="G89" s="264"/>
    </row>
    <row r="90" spans="1:7" x14ac:dyDescent="0.2">
      <c r="A90" s="264"/>
      <c r="B90" s="266"/>
      <c r="C90" s="271"/>
      <c r="D90" s="266"/>
      <c r="E90" s="266"/>
      <c r="F90" s="271"/>
      <c r="G90" s="264"/>
    </row>
    <row r="91" spans="1:7" x14ac:dyDescent="0.2">
      <c r="A91" s="264"/>
      <c r="B91" s="266"/>
      <c r="C91" s="271"/>
      <c r="D91" s="266"/>
      <c r="E91" s="266"/>
      <c r="F91" s="271"/>
      <c r="G91" s="264"/>
    </row>
    <row r="92" spans="1:7" x14ac:dyDescent="0.2">
      <c r="A92" s="264"/>
      <c r="B92" s="266"/>
      <c r="C92" s="271"/>
      <c r="D92" s="266"/>
      <c r="E92" s="266"/>
      <c r="F92" s="271"/>
      <c r="G92" s="264"/>
    </row>
    <row r="93" spans="1:7" x14ac:dyDescent="0.2">
      <c r="A93" s="264"/>
      <c r="B93" s="266"/>
      <c r="C93" s="271"/>
      <c r="D93" s="266"/>
      <c r="E93" s="266"/>
      <c r="F93" s="271"/>
      <c r="G93" s="264"/>
    </row>
    <row r="94" spans="1:7" x14ac:dyDescent="0.2">
      <c r="A94" s="264"/>
      <c r="B94" s="266"/>
      <c r="C94" s="271"/>
      <c r="D94" s="266"/>
      <c r="E94" s="266"/>
      <c r="F94" s="271"/>
      <c r="G94" s="264"/>
    </row>
    <row r="95" spans="1:7" x14ac:dyDescent="0.2">
      <c r="A95" s="264"/>
      <c r="B95" s="266"/>
      <c r="C95" s="271"/>
      <c r="D95" s="266"/>
      <c r="E95" s="266"/>
      <c r="F95" s="271"/>
      <c r="G95" s="264"/>
    </row>
    <row r="96" spans="1:7" x14ac:dyDescent="0.2">
      <c r="A96" s="264"/>
      <c r="B96" s="266"/>
      <c r="C96" s="271"/>
      <c r="D96" s="266"/>
      <c r="E96" s="266"/>
      <c r="F96" s="271"/>
      <c r="G96" s="264"/>
    </row>
    <row r="97" spans="1:7" x14ac:dyDescent="0.2">
      <c r="A97" s="264"/>
      <c r="B97" s="266"/>
      <c r="C97" s="271"/>
      <c r="D97" s="266"/>
      <c r="E97" s="266"/>
      <c r="F97" s="271"/>
      <c r="G97" s="264"/>
    </row>
    <row r="98" spans="1:7" x14ac:dyDescent="0.2">
      <c r="A98" s="264"/>
      <c r="B98" s="266"/>
      <c r="C98" s="271"/>
      <c r="D98" s="266"/>
      <c r="F98" s="285"/>
      <c r="G98" s="264"/>
    </row>
    <row r="99" spans="1:7" x14ac:dyDescent="0.2">
      <c r="A99" s="264"/>
      <c r="B99" s="266"/>
      <c r="C99" s="271"/>
      <c r="D99" s="266"/>
      <c r="G99" s="264"/>
    </row>
    <row r="100" spans="1:7" x14ac:dyDescent="0.2">
      <c r="A100" s="264"/>
      <c r="B100" s="266"/>
      <c r="C100" s="271"/>
      <c r="D100" s="266"/>
      <c r="G100" s="264"/>
    </row>
    <row r="101" spans="1:7" x14ac:dyDescent="0.2">
      <c r="A101" s="264"/>
      <c r="C101" s="285"/>
      <c r="G101" s="264"/>
    </row>
  </sheetData>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94209" r:id="rId4" name="Button 1">
              <controlPr defaultSize="0" print="0" autoFill="0" autoPict="0" macro="[0]!EnterDevMode">
                <anchor moveWithCells="1" sizeWithCells="1">
                  <from>
                    <xdr:col>7</xdr:col>
                    <xdr:colOff>171450</xdr:colOff>
                    <xdr:row>0</xdr:row>
                    <xdr:rowOff>95250</xdr:rowOff>
                  </from>
                  <to>
                    <xdr:col>8</xdr:col>
                    <xdr:colOff>285750</xdr:colOff>
                    <xdr:row>2</xdr:row>
                    <xdr:rowOff>19050</xdr:rowOff>
                  </to>
                </anchor>
              </controlPr>
            </control>
          </mc:Choice>
        </mc:AlternateContent>
        <mc:AlternateContent xmlns:mc="http://schemas.openxmlformats.org/markup-compatibility/2006">
          <mc:Choice Requires="x14">
            <control shapeId="94210" r:id="rId5" name="Button 2">
              <controlPr defaultSize="0" print="0" autoFill="0" autoPict="0" macro="[0]!ExitDevMode">
                <anchor moveWithCells="1" sizeWithCells="1">
                  <from>
                    <xdr:col>7</xdr:col>
                    <xdr:colOff>152400</xdr:colOff>
                    <xdr:row>2</xdr:row>
                    <xdr:rowOff>133350</xdr:rowOff>
                  </from>
                  <to>
                    <xdr:col>8</xdr:col>
                    <xdr:colOff>266700</xdr:colOff>
                    <xdr:row>5</xdr:row>
                    <xdr:rowOff>19050</xdr:rowOff>
                  </to>
                </anchor>
              </controlPr>
            </control>
          </mc:Choice>
        </mc:AlternateContent>
        <mc:AlternateContent xmlns:mc="http://schemas.openxmlformats.org/markup-compatibility/2006">
          <mc:Choice Requires="x14">
            <control shapeId="94211" r:id="rId6" name="Button 3">
              <controlPr defaultSize="0" print="0" autoFill="0" autoPict="0" macro="[0]!ExportAll">
                <anchor moveWithCells="1" sizeWithCells="1">
                  <from>
                    <xdr:col>5</xdr:col>
                    <xdr:colOff>1743075</xdr:colOff>
                    <xdr:row>2</xdr:row>
                    <xdr:rowOff>0</xdr:rowOff>
                  </from>
                  <to>
                    <xdr:col>6</xdr:col>
                    <xdr:colOff>381000</xdr:colOff>
                    <xdr:row>3</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5">
    <tabColor indexed="43"/>
  </sheetPr>
  <dimension ref="A1:R138"/>
  <sheetViews>
    <sheetView topLeftCell="G44" zoomScale="70" zoomScaleNormal="70" workbookViewId="0">
      <selection activeCell="J69" sqref="J69"/>
    </sheetView>
  </sheetViews>
  <sheetFormatPr defaultColWidth="9.28515625" defaultRowHeight="12.75" x14ac:dyDescent="0.2"/>
  <cols>
    <col min="1" max="1" width="9.28515625" style="90"/>
    <col min="2" max="2" width="26" style="90" customWidth="1"/>
    <col min="3" max="3" width="25.28515625" style="90" customWidth="1"/>
    <col min="4" max="4" width="31.7109375" style="90" customWidth="1"/>
    <col min="5" max="5" width="40.5703125" style="90" customWidth="1"/>
    <col min="6" max="6" width="4.28515625" style="90" customWidth="1"/>
    <col min="7" max="9" width="27.5703125" style="140" customWidth="1"/>
    <col min="10" max="10" width="100.7109375" style="197" customWidth="1"/>
    <col min="11" max="11" width="55.7109375" style="107" customWidth="1"/>
    <col min="12" max="12" width="26.7109375" style="107" customWidth="1"/>
    <col min="13" max="18" width="9.28515625" style="107"/>
    <col min="19" max="16384" width="9.28515625" style="90"/>
  </cols>
  <sheetData>
    <row r="1" spans="1:18" ht="13.5" thickBot="1" x14ac:dyDescent="0.25">
      <c r="J1" s="90"/>
    </row>
    <row r="2" spans="1:18" s="1" customFormat="1" ht="28.5" customHeight="1" thickBot="1" x14ac:dyDescent="0.25">
      <c r="B2" s="496" t="s">
        <v>688</v>
      </c>
      <c r="C2" s="497"/>
      <c r="D2" s="497"/>
      <c r="E2" s="498"/>
      <c r="F2" s="502"/>
      <c r="G2" s="502"/>
      <c r="H2" s="502"/>
      <c r="I2" s="502"/>
      <c r="J2" s="502"/>
      <c r="K2" s="503"/>
      <c r="L2" s="499" t="s">
        <v>233</v>
      </c>
      <c r="M2" s="500"/>
      <c r="N2" s="500"/>
      <c r="O2" s="501"/>
      <c r="P2" s="224"/>
      <c r="Q2" s="224"/>
      <c r="R2" s="224"/>
    </row>
    <row r="3" spans="1:18" ht="28.5" customHeight="1" thickBot="1" x14ac:dyDescent="0.25">
      <c r="B3" s="504" t="s">
        <v>689</v>
      </c>
      <c r="C3" s="505"/>
      <c r="D3" s="505"/>
      <c r="E3" s="506"/>
      <c r="F3" s="196"/>
      <c r="G3" s="196"/>
      <c r="H3" s="196"/>
      <c r="I3" s="196"/>
      <c r="J3" s="196"/>
      <c r="K3" s="196"/>
      <c r="L3" s="341"/>
      <c r="M3" s="341"/>
      <c r="N3" s="341"/>
      <c r="O3" s="341"/>
      <c r="P3" s="342"/>
      <c r="Q3" s="342"/>
      <c r="R3" s="342"/>
    </row>
    <row r="4" spans="1:18" ht="26.65" customHeight="1" x14ac:dyDescent="0.2">
      <c r="J4" s="90"/>
    </row>
    <row r="5" spans="1:18" ht="15.75" x14ac:dyDescent="0.25">
      <c r="A5" s="4" t="str">
        <f>"TRIM.FaTE Simulation Parameters for " &amp; pretty_scenario_name</f>
        <v>TRIM.FaTE Simulation Parameters for Foundries_SS</v>
      </c>
      <c r="J5" s="90"/>
    </row>
    <row r="6" spans="1:18" x14ac:dyDescent="0.2">
      <c r="B6" s="12" t="s">
        <v>147</v>
      </c>
      <c r="C6" s="12" t="s">
        <v>81</v>
      </c>
      <c r="D6" s="12" t="s">
        <v>136</v>
      </c>
      <c r="E6" s="187" t="s">
        <v>137</v>
      </c>
      <c r="F6" s="196"/>
      <c r="G6" s="199" t="s">
        <v>451</v>
      </c>
      <c r="H6" s="199" t="s">
        <v>382</v>
      </c>
      <c r="I6" s="199" t="s">
        <v>643</v>
      </c>
      <c r="J6" s="200" t="s">
        <v>390</v>
      </c>
      <c r="K6" s="235" t="s">
        <v>486</v>
      </c>
    </row>
    <row r="7" spans="1:18" x14ac:dyDescent="0.2">
      <c r="B7" s="139" t="s">
        <v>426</v>
      </c>
      <c r="C7" s="188"/>
      <c r="D7" s="425" t="s">
        <v>842</v>
      </c>
      <c r="E7" s="29"/>
      <c r="F7" s="140"/>
      <c r="G7" s="90"/>
      <c r="H7" s="90"/>
      <c r="I7" s="90"/>
      <c r="J7" s="223" t="str">
        <f>"" &amp; D7</f>
        <v>Foundries_SS</v>
      </c>
      <c r="K7" s="225"/>
    </row>
    <row r="8" spans="1:18" x14ac:dyDescent="0.2">
      <c r="B8" s="139" t="s">
        <v>347</v>
      </c>
      <c r="C8" s="188"/>
      <c r="D8" s="425" t="s">
        <v>842</v>
      </c>
      <c r="E8" s="29"/>
      <c r="F8" s="140"/>
      <c r="G8" s="90"/>
      <c r="H8" s="90"/>
      <c r="I8" s="90"/>
      <c r="J8" s="223" t="str">
        <f>"" &amp; D8</f>
        <v>Foundries_SS</v>
      </c>
      <c r="K8" s="225"/>
    </row>
    <row r="9" spans="1:18" ht="39.75" customHeight="1" x14ac:dyDescent="0.2">
      <c r="B9" s="139" t="s">
        <v>383</v>
      </c>
      <c r="C9" s="188"/>
      <c r="D9" s="426" t="s">
        <v>841</v>
      </c>
      <c r="E9" s="29"/>
      <c r="F9" s="140"/>
      <c r="G9" s="90"/>
      <c r="H9" s="90"/>
      <c r="I9" s="90"/>
      <c r="J9" s="223" t="str">
        <f>"" &amp; D9</f>
        <v>Site-specific scenario for Int Iron Steel Foundries in Wexford County, MI</v>
      </c>
      <c r="K9" s="225"/>
    </row>
    <row r="10" spans="1:18" ht="39.75" customHeight="1" x14ac:dyDescent="0.2">
      <c r="B10" s="139" t="s">
        <v>636</v>
      </c>
      <c r="C10" s="188"/>
      <c r="D10" s="427" t="s">
        <v>839</v>
      </c>
      <c r="E10" s="29" t="s">
        <v>773</v>
      </c>
      <c r="F10" s="140" t="s">
        <v>773</v>
      </c>
      <c r="G10" s="90"/>
      <c r="H10" s="90" t="s">
        <v>773</v>
      </c>
      <c r="I10" s="90" t="s">
        <v>773</v>
      </c>
      <c r="J10" s="223" t="str">
        <f>"" &amp; D10</f>
        <v>C:\RTR\Foundries\TRIM</v>
      </c>
      <c r="K10" s="225" t="s">
        <v>773</v>
      </c>
    </row>
    <row r="11" spans="1:18" x14ac:dyDescent="0.2">
      <c r="B11" s="139" t="s">
        <v>346</v>
      </c>
      <c r="C11" s="188"/>
      <c r="D11" s="427" t="s">
        <v>840</v>
      </c>
      <c r="E11" s="29" t="s">
        <v>773</v>
      </c>
      <c r="F11" s="140" t="s">
        <v>773</v>
      </c>
      <c r="G11" s="207" t="str">
        <f>"Scenario: " &amp; scenario_name</f>
        <v>Scenario: Foundries_SS</v>
      </c>
      <c r="H11" s="150" t="s">
        <v>384</v>
      </c>
      <c r="I11" s="287" t="s">
        <v>774</v>
      </c>
      <c r="J11" s="223" t="str">
        <f>SUBSTITUTE(D11, "\", "\\")</f>
        <v>C:\\RTR\\Foundries\\TRIM\\Output</v>
      </c>
      <c r="K11" s="234" t="str">
        <f t="shared" ref="K11:K35" si="0">E11 &amp; ""</f>
        <v xml:space="preserve">  </v>
      </c>
    </row>
    <row r="12" spans="1:18" x14ac:dyDescent="0.2">
      <c r="B12" s="29" t="s">
        <v>161</v>
      </c>
      <c r="C12" s="188" t="s">
        <v>162</v>
      </c>
      <c r="D12" s="198">
        <v>32874</v>
      </c>
      <c r="E12" s="29" t="s">
        <v>163</v>
      </c>
      <c r="F12" s="140" t="s">
        <v>773</v>
      </c>
      <c r="G12" s="207" t="str">
        <f>"Scenario: " &amp; scenario_name</f>
        <v>Scenario: Foundries_SS</v>
      </c>
      <c r="H12" s="150" t="s">
        <v>385</v>
      </c>
      <c r="I12" s="287" t="s">
        <v>774</v>
      </c>
      <c r="J12" s="223" t="str">
        <f>TEXT(D12, "mm/dd/yyyy hh:mm:ss") &amp; " " &amp; J$15</f>
        <v>01/01/1990 00:00:00 EST</v>
      </c>
      <c r="K12" s="234" t="str">
        <f t="shared" si="0"/>
        <v>Consistent with met data.</v>
      </c>
    </row>
    <row r="13" spans="1:18" ht="25.5" x14ac:dyDescent="0.2">
      <c r="B13" s="29" t="s">
        <v>164</v>
      </c>
      <c r="C13" s="188" t="s">
        <v>162</v>
      </c>
      <c r="D13" s="198">
        <v>51136</v>
      </c>
      <c r="E13" s="29" t="s">
        <v>167</v>
      </c>
      <c r="F13" s="140" t="s">
        <v>773</v>
      </c>
      <c r="G13" s="207" t="str">
        <f>"Scenario: " &amp; scenario_name</f>
        <v>Scenario: Foundries_SS</v>
      </c>
      <c r="H13" s="207" t="s">
        <v>386</v>
      </c>
      <c r="I13" s="287" t="s">
        <v>774</v>
      </c>
      <c r="J13" s="223" t="str">
        <f>TEXT(D13, "mm/dd/yyyy hh:mm:ss") &amp; " " &amp; J$15</f>
        <v>01/01/2040 00:00:00 EST</v>
      </c>
      <c r="K13" s="234" t="str">
        <f t="shared" si="0"/>
        <v>Consistent with met data set; selected to provide a 50-year modeling period.</v>
      </c>
    </row>
    <row r="14" spans="1:18" x14ac:dyDescent="0.2">
      <c r="B14" s="139" t="s">
        <v>380</v>
      </c>
      <c r="C14" s="194" t="s">
        <v>162</v>
      </c>
      <c r="D14" s="198">
        <v>50936.5</v>
      </c>
      <c r="E14" s="139" t="s">
        <v>381</v>
      </c>
      <c r="F14" s="140" t="s">
        <v>773</v>
      </c>
      <c r="G14" s="207" t="str">
        <f>"Scenario: " &amp; scenario_name</f>
        <v>Scenario: Foundries_SS</v>
      </c>
      <c r="H14" s="150" t="s">
        <v>387</v>
      </c>
      <c r="I14" s="287" t="s">
        <v>774</v>
      </c>
      <c r="J14" s="223" t="str">
        <f>TEXT(D14, "mm/dd/yyyy hh:mm:ss") &amp; " " &amp; J$15</f>
        <v>06/15/2039 12:00:00 EST</v>
      </c>
      <c r="K14" s="234" t="str">
        <f t="shared" si="0"/>
        <v>Six months before end of simulation.</v>
      </c>
    </row>
    <row r="15" spans="1:18" x14ac:dyDescent="0.2">
      <c r="B15" s="139" t="s">
        <v>342</v>
      </c>
      <c r="C15" s="194"/>
      <c r="D15" s="450" t="s">
        <v>343</v>
      </c>
      <c r="E15" s="29"/>
      <c r="F15" s="140" t="s">
        <v>773</v>
      </c>
      <c r="G15" s="207"/>
      <c r="H15" s="207"/>
      <c r="I15" s="287" t="s">
        <v>774</v>
      </c>
      <c r="J15" s="223" t="str">
        <f>"" &amp; D15</f>
        <v>EST</v>
      </c>
      <c r="K15" s="234" t="str">
        <f t="shared" si="0"/>
        <v/>
      </c>
    </row>
    <row r="16" spans="1:18" x14ac:dyDescent="0.2">
      <c r="B16" s="29" t="s">
        <v>168</v>
      </c>
      <c r="C16" s="188" t="s">
        <v>169</v>
      </c>
      <c r="D16" s="18">
        <v>1</v>
      </c>
      <c r="E16" s="29" t="s">
        <v>170</v>
      </c>
      <c r="F16" s="140" t="s">
        <v>773</v>
      </c>
      <c r="G16" s="207" t="str">
        <f t="shared" ref="G16:G35" si="1">"Scenario: " &amp; scenario_name</f>
        <v>Scenario: Foundries_SS</v>
      </c>
      <c r="H16" s="150" t="s">
        <v>389</v>
      </c>
      <c r="I16" s="287" t="s">
        <v>774</v>
      </c>
      <c r="J16" s="223" t="str">
        <f t="shared" ref="J16:J23" si="2">"" &amp; D16</f>
        <v>1</v>
      </c>
      <c r="K16" s="234" t="str">
        <f t="shared" si="0"/>
        <v>Selected value.</v>
      </c>
    </row>
    <row r="17" spans="2:11" ht="14.25" x14ac:dyDescent="0.2">
      <c r="B17" s="29" t="s">
        <v>242</v>
      </c>
      <c r="C17" s="188" t="s">
        <v>169</v>
      </c>
      <c r="D17" s="80">
        <v>4</v>
      </c>
      <c r="E17" s="29" t="s">
        <v>170</v>
      </c>
      <c r="F17" s="140" t="s">
        <v>773</v>
      </c>
      <c r="G17" s="207" t="str">
        <f t="shared" si="1"/>
        <v>Scenario: Foundries_SS</v>
      </c>
      <c r="H17" s="150" t="s">
        <v>388</v>
      </c>
      <c r="I17" s="287" t="s">
        <v>774</v>
      </c>
      <c r="J17" s="223" t="str">
        <f t="shared" si="2"/>
        <v>4</v>
      </c>
      <c r="K17" s="234" t="str">
        <f t="shared" si="0"/>
        <v>Selected value.</v>
      </c>
    </row>
    <row r="18" spans="2:11" x14ac:dyDescent="0.2">
      <c r="B18" s="205" t="s">
        <v>410</v>
      </c>
      <c r="C18" s="122"/>
      <c r="D18" s="203" t="b">
        <v>0</v>
      </c>
      <c r="E18" s="122" t="s">
        <v>773</v>
      </c>
      <c r="F18" s="90" t="s">
        <v>773</v>
      </c>
      <c r="G18" s="207" t="str">
        <f t="shared" si="1"/>
        <v>Scenario: Foundries_SS</v>
      </c>
      <c r="H18" s="217" t="s">
        <v>391</v>
      </c>
      <c r="I18" s="287" t="s">
        <v>774</v>
      </c>
      <c r="J18" s="223" t="str">
        <f t="shared" si="2"/>
        <v>FALSE</v>
      </c>
      <c r="K18" s="234" t="str">
        <f t="shared" si="0"/>
        <v xml:space="preserve">  </v>
      </c>
    </row>
    <row r="19" spans="2:11" x14ac:dyDescent="0.2">
      <c r="B19" s="205" t="s">
        <v>411</v>
      </c>
      <c r="C19" s="122"/>
      <c r="D19" s="203" t="b">
        <v>1</v>
      </c>
      <c r="E19" s="122" t="s">
        <v>773</v>
      </c>
      <c r="F19" s="90" t="s">
        <v>773</v>
      </c>
      <c r="G19" s="207" t="str">
        <f t="shared" si="1"/>
        <v>Scenario: Foundries_SS</v>
      </c>
      <c r="H19" s="217" t="s">
        <v>392</v>
      </c>
      <c r="I19" s="287" t="s">
        <v>774</v>
      </c>
      <c r="J19" s="223" t="str">
        <f t="shared" si="2"/>
        <v>TRUE</v>
      </c>
      <c r="K19" s="234" t="str">
        <f t="shared" si="0"/>
        <v xml:space="preserve">  </v>
      </c>
    </row>
    <row r="20" spans="2:11" x14ac:dyDescent="0.2">
      <c r="B20" s="205" t="s">
        <v>412</v>
      </c>
      <c r="C20" s="122"/>
      <c r="D20" s="203" t="s">
        <v>6</v>
      </c>
      <c r="E20" s="122" t="s">
        <v>773</v>
      </c>
      <c r="F20" s="90" t="s">
        <v>773</v>
      </c>
      <c r="G20" s="207" t="str">
        <f t="shared" si="1"/>
        <v>Scenario: Foundries_SS</v>
      </c>
      <c r="H20" s="217" t="s">
        <v>393</v>
      </c>
      <c r="I20" s="287" t="s">
        <v>774</v>
      </c>
      <c r="J20" s="223" t="str">
        <f t="shared" si="2"/>
        <v>annual</v>
      </c>
      <c r="K20" s="234" t="str">
        <f t="shared" si="0"/>
        <v xml:space="preserve">  </v>
      </c>
    </row>
    <row r="21" spans="2:11" ht="25.5" x14ac:dyDescent="0.2">
      <c r="B21" s="205" t="s">
        <v>413</v>
      </c>
      <c r="C21" s="122"/>
      <c r="D21" s="89" t="b">
        <v>0</v>
      </c>
      <c r="E21" s="122" t="s">
        <v>773</v>
      </c>
      <c r="F21" s="90" t="s">
        <v>773</v>
      </c>
      <c r="G21" s="207" t="str">
        <f t="shared" si="1"/>
        <v>Scenario: Foundries_SS</v>
      </c>
      <c r="H21" s="217" t="s">
        <v>394</v>
      </c>
      <c r="I21" s="287" t="s">
        <v>774</v>
      </c>
      <c r="J21" s="223" t="str">
        <f t="shared" si="2"/>
        <v>FALSE</v>
      </c>
      <c r="K21" s="234" t="str">
        <f t="shared" si="0"/>
        <v xml:space="preserve">  </v>
      </c>
    </row>
    <row r="22" spans="2:11" ht="25.5" x14ac:dyDescent="0.2">
      <c r="B22" s="206" t="s">
        <v>415</v>
      </c>
      <c r="C22" s="122"/>
      <c r="D22" s="89" t="b">
        <v>0</v>
      </c>
      <c r="E22" s="122" t="s">
        <v>773</v>
      </c>
      <c r="F22" s="90" t="s">
        <v>773</v>
      </c>
      <c r="G22" s="207" t="str">
        <f t="shared" si="1"/>
        <v>Scenario: Foundries_SS</v>
      </c>
      <c r="H22" s="217" t="s">
        <v>395</v>
      </c>
      <c r="I22" s="287" t="s">
        <v>774</v>
      </c>
      <c r="J22" s="223" t="str">
        <f t="shared" si="2"/>
        <v>FALSE</v>
      </c>
      <c r="K22" s="234" t="str">
        <f t="shared" si="0"/>
        <v xml:space="preserve">  </v>
      </c>
    </row>
    <row r="23" spans="2:11" ht="25.5" x14ac:dyDescent="0.2">
      <c r="B23" s="206" t="s">
        <v>414</v>
      </c>
      <c r="C23" s="122"/>
      <c r="D23" s="89" t="b">
        <v>0</v>
      </c>
      <c r="E23" s="122" t="s">
        <v>773</v>
      </c>
      <c r="F23" s="90" t="s">
        <v>773</v>
      </c>
      <c r="G23" s="207" t="str">
        <f t="shared" si="1"/>
        <v>Scenario: Foundries_SS</v>
      </c>
      <c r="H23" s="217" t="s">
        <v>396</v>
      </c>
      <c r="I23" s="287" t="s">
        <v>774</v>
      </c>
      <c r="J23" s="223" t="str">
        <f t="shared" si="2"/>
        <v>FALSE</v>
      </c>
      <c r="K23" s="234" t="str">
        <f t="shared" si="0"/>
        <v xml:space="preserve">  </v>
      </c>
    </row>
    <row r="24" spans="2:11" ht="25.5" x14ac:dyDescent="0.2">
      <c r="B24" s="206" t="s">
        <v>416</v>
      </c>
      <c r="C24" s="122"/>
      <c r="D24" s="89" t="b">
        <v>0</v>
      </c>
      <c r="E24" s="122" t="s">
        <v>773</v>
      </c>
      <c r="F24" s="90" t="s">
        <v>773</v>
      </c>
      <c r="G24" s="207" t="str">
        <f t="shared" si="1"/>
        <v>Scenario: Foundries_SS</v>
      </c>
      <c r="H24" s="217" t="s">
        <v>397</v>
      </c>
      <c r="I24" s="287" t="str">
        <f t="shared" ref="I24:I35" si="3">IF(ISERROR(FIND(",", J24)), "Constant", "InputFromFile")</f>
        <v>Constant</v>
      </c>
      <c r="J24" s="223" t="str">
        <f t="shared" ref="J24:J35" si="4">"" &amp; D24</f>
        <v>FALSE</v>
      </c>
      <c r="K24" s="234" t="str">
        <f t="shared" si="0"/>
        <v xml:space="preserve">  </v>
      </c>
    </row>
    <row r="25" spans="2:11" x14ac:dyDescent="0.2">
      <c r="B25" s="206" t="s">
        <v>417</v>
      </c>
      <c r="C25" s="122"/>
      <c r="D25" s="204" t="b">
        <v>1</v>
      </c>
      <c r="E25" s="122" t="s">
        <v>773</v>
      </c>
      <c r="F25" s="90" t="s">
        <v>773</v>
      </c>
      <c r="G25" s="207" t="str">
        <f t="shared" si="1"/>
        <v>Scenario: Foundries_SS</v>
      </c>
      <c r="H25" s="217" t="s">
        <v>398</v>
      </c>
      <c r="I25" s="287" t="str">
        <f t="shared" si="3"/>
        <v>Constant</v>
      </c>
      <c r="J25" s="223" t="str">
        <f t="shared" si="4"/>
        <v>TRUE</v>
      </c>
      <c r="K25" s="234" t="str">
        <f t="shared" si="0"/>
        <v xml:space="preserve">  </v>
      </c>
    </row>
    <row r="26" spans="2:11" x14ac:dyDescent="0.2">
      <c r="B26" s="206" t="s">
        <v>418</v>
      </c>
      <c r="C26" s="122"/>
      <c r="D26" s="89" t="b">
        <v>0</v>
      </c>
      <c r="E26" s="122" t="s">
        <v>773</v>
      </c>
      <c r="F26" s="90" t="s">
        <v>773</v>
      </c>
      <c r="G26" s="207" t="str">
        <f t="shared" si="1"/>
        <v>Scenario: Foundries_SS</v>
      </c>
      <c r="H26" s="217" t="s">
        <v>399</v>
      </c>
      <c r="I26" s="287" t="str">
        <f t="shared" si="3"/>
        <v>Constant</v>
      </c>
      <c r="J26" s="223" t="str">
        <f t="shared" si="4"/>
        <v>FALSE</v>
      </c>
      <c r="K26" s="234" t="str">
        <f t="shared" si="0"/>
        <v xml:space="preserve">  </v>
      </c>
    </row>
    <row r="27" spans="2:11" ht="25.5" x14ac:dyDescent="0.2">
      <c r="B27" s="206" t="s">
        <v>419</v>
      </c>
      <c r="C27" s="122"/>
      <c r="D27" s="204" t="b">
        <v>1</v>
      </c>
      <c r="E27" s="122" t="s">
        <v>773</v>
      </c>
      <c r="F27" s="90" t="s">
        <v>773</v>
      </c>
      <c r="G27" s="207" t="str">
        <f t="shared" si="1"/>
        <v>Scenario: Foundries_SS</v>
      </c>
      <c r="H27" s="217" t="s">
        <v>400</v>
      </c>
      <c r="I27" s="287" t="str">
        <f t="shared" si="3"/>
        <v>Constant</v>
      </c>
      <c r="J27" s="223" t="str">
        <f t="shared" si="4"/>
        <v>TRUE</v>
      </c>
      <c r="K27" s="234" t="str">
        <f t="shared" si="0"/>
        <v xml:space="preserve">  </v>
      </c>
    </row>
    <row r="28" spans="2:11" x14ac:dyDescent="0.2">
      <c r="B28" s="206" t="s">
        <v>420</v>
      </c>
      <c r="C28" s="122"/>
      <c r="D28" s="89" t="b">
        <v>1</v>
      </c>
      <c r="E28" s="122" t="s">
        <v>773</v>
      </c>
      <c r="F28" s="90" t="s">
        <v>773</v>
      </c>
      <c r="G28" s="207" t="str">
        <f t="shared" si="1"/>
        <v>Scenario: Foundries_SS</v>
      </c>
      <c r="H28" s="217" t="s">
        <v>401</v>
      </c>
      <c r="I28" s="287" t="str">
        <f t="shared" si="3"/>
        <v>Constant</v>
      </c>
      <c r="J28" s="223" t="str">
        <f t="shared" si="4"/>
        <v>TRUE</v>
      </c>
      <c r="K28" s="234" t="str">
        <f t="shared" si="0"/>
        <v xml:space="preserve">  </v>
      </c>
    </row>
    <row r="29" spans="2:11" x14ac:dyDescent="0.2">
      <c r="B29" s="206" t="s">
        <v>421</v>
      </c>
      <c r="C29" s="122"/>
      <c r="D29" s="89" t="b">
        <v>0</v>
      </c>
      <c r="E29" s="122" t="s">
        <v>773</v>
      </c>
      <c r="F29" s="90" t="s">
        <v>773</v>
      </c>
      <c r="G29" s="207" t="str">
        <f t="shared" si="1"/>
        <v>Scenario: Foundries_SS</v>
      </c>
      <c r="H29" s="217" t="s">
        <v>402</v>
      </c>
      <c r="I29" s="287" t="str">
        <f t="shared" si="3"/>
        <v>Constant</v>
      </c>
      <c r="J29" s="223" t="str">
        <f t="shared" si="4"/>
        <v>FALSE</v>
      </c>
      <c r="K29" s="234" t="str">
        <f t="shared" si="0"/>
        <v xml:space="preserve">  </v>
      </c>
    </row>
    <row r="30" spans="2:11" ht="25.5" x14ac:dyDescent="0.2">
      <c r="B30" s="206" t="s">
        <v>565</v>
      </c>
      <c r="C30" s="122"/>
      <c r="D30" s="89">
        <v>0</v>
      </c>
      <c r="E30" s="122" t="s">
        <v>773</v>
      </c>
      <c r="F30" s="90" t="s">
        <v>773</v>
      </c>
      <c r="G30" s="207" t="str">
        <f t="shared" si="1"/>
        <v>Scenario: Foundries_SS</v>
      </c>
      <c r="H30" s="217" t="s">
        <v>403</v>
      </c>
      <c r="I30" s="287" t="str">
        <f t="shared" si="3"/>
        <v>Constant</v>
      </c>
      <c r="J30" s="223" t="str">
        <f t="shared" si="4"/>
        <v>0</v>
      </c>
      <c r="K30" s="234" t="str">
        <f t="shared" si="0"/>
        <v xml:space="preserve">  </v>
      </c>
    </row>
    <row r="31" spans="2:11" x14ac:dyDescent="0.2">
      <c r="B31" s="206" t="s">
        <v>422</v>
      </c>
      <c r="C31" s="122"/>
      <c r="D31" s="89" t="b">
        <v>1</v>
      </c>
      <c r="E31" s="122" t="s">
        <v>773</v>
      </c>
      <c r="F31" s="90" t="s">
        <v>773</v>
      </c>
      <c r="G31" s="207" t="str">
        <f t="shared" si="1"/>
        <v>Scenario: Foundries_SS</v>
      </c>
      <c r="H31" s="217" t="s">
        <v>404</v>
      </c>
      <c r="I31" s="287" t="str">
        <f t="shared" si="3"/>
        <v>Constant</v>
      </c>
      <c r="J31" s="223" t="str">
        <f t="shared" si="4"/>
        <v>TRUE</v>
      </c>
      <c r="K31" s="234" t="str">
        <f t="shared" si="0"/>
        <v xml:space="preserve">  </v>
      </c>
    </row>
    <row r="32" spans="2:11" x14ac:dyDescent="0.2">
      <c r="B32" s="206" t="s">
        <v>423</v>
      </c>
      <c r="C32" s="122"/>
      <c r="D32" s="89" t="b">
        <v>1</v>
      </c>
      <c r="E32" s="122" t="s">
        <v>773</v>
      </c>
      <c r="F32" s="90" t="s">
        <v>773</v>
      </c>
      <c r="G32" s="207" t="str">
        <f t="shared" si="1"/>
        <v>Scenario: Foundries_SS</v>
      </c>
      <c r="H32" s="217" t="s">
        <v>405</v>
      </c>
      <c r="I32" s="287" t="str">
        <f t="shared" si="3"/>
        <v>Constant</v>
      </c>
      <c r="J32" s="223" t="str">
        <f t="shared" si="4"/>
        <v>TRUE</v>
      </c>
      <c r="K32" s="234" t="str">
        <f t="shared" si="0"/>
        <v xml:space="preserve">  </v>
      </c>
    </row>
    <row r="33" spans="1:11" x14ac:dyDescent="0.2">
      <c r="B33" s="206" t="s">
        <v>424</v>
      </c>
      <c r="C33" s="122"/>
      <c r="D33" s="89" t="b">
        <v>1</v>
      </c>
      <c r="E33" s="122" t="s">
        <v>773</v>
      </c>
      <c r="F33" s="90" t="s">
        <v>773</v>
      </c>
      <c r="G33" s="207" t="str">
        <f t="shared" si="1"/>
        <v>Scenario: Foundries_SS</v>
      </c>
      <c r="H33" s="217" t="s">
        <v>406</v>
      </c>
      <c r="I33" s="287" t="str">
        <f t="shared" si="3"/>
        <v>Constant</v>
      </c>
      <c r="J33" s="223" t="str">
        <f t="shared" si="4"/>
        <v>TRUE</v>
      </c>
      <c r="K33" s="234" t="str">
        <f t="shared" si="0"/>
        <v xml:space="preserve">  </v>
      </c>
    </row>
    <row r="34" spans="1:11" x14ac:dyDescent="0.2">
      <c r="B34" s="206" t="s">
        <v>425</v>
      </c>
      <c r="C34" s="122"/>
      <c r="D34" s="89" t="b">
        <v>1</v>
      </c>
      <c r="E34" s="122" t="s">
        <v>773</v>
      </c>
      <c r="F34" s="90" t="s">
        <v>773</v>
      </c>
      <c r="G34" s="207" t="str">
        <f t="shared" si="1"/>
        <v>Scenario: Foundries_SS</v>
      </c>
      <c r="H34" s="217" t="s">
        <v>407</v>
      </c>
      <c r="I34" s="287" t="str">
        <f t="shared" si="3"/>
        <v>Constant</v>
      </c>
      <c r="J34" s="223" t="str">
        <f t="shared" si="4"/>
        <v>TRUE</v>
      </c>
      <c r="K34" s="234" t="str">
        <f t="shared" si="0"/>
        <v xml:space="preserve">  </v>
      </c>
    </row>
    <row r="35" spans="1:11" x14ac:dyDescent="0.2">
      <c r="B35" s="206" t="s">
        <v>566</v>
      </c>
      <c r="C35" s="122"/>
      <c r="D35" s="89">
        <v>4</v>
      </c>
      <c r="E35" s="122" t="s">
        <v>773</v>
      </c>
      <c r="F35" s="90" t="s">
        <v>773</v>
      </c>
      <c r="G35" s="207" t="str">
        <f t="shared" si="1"/>
        <v>Scenario: Foundries_SS</v>
      </c>
      <c r="H35" s="217" t="s">
        <v>408</v>
      </c>
      <c r="I35" s="287" t="str">
        <f t="shared" si="3"/>
        <v>Constant</v>
      </c>
      <c r="J35" s="223" t="str">
        <f t="shared" si="4"/>
        <v>4</v>
      </c>
      <c r="K35" s="234" t="str">
        <f t="shared" si="0"/>
        <v xml:space="preserve">  </v>
      </c>
    </row>
    <row r="36" spans="1:11" ht="12.75" customHeight="1" x14ac:dyDescent="0.2">
      <c r="B36" s="202" t="s">
        <v>1</v>
      </c>
      <c r="C36" s="201"/>
      <c r="D36" s="201"/>
      <c r="E36" s="201" t="s">
        <v>773</v>
      </c>
      <c r="F36" s="140" t="s">
        <v>773</v>
      </c>
      <c r="J36" s="107"/>
    </row>
    <row r="37" spans="1:11" x14ac:dyDescent="0.2">
      <c r="E37" s="90" t="s">
        <v>773</v>
      </c>
      <c r="F37" s="90" t="s">
        <v>773</v>
      </c>
      <c r="J37" s="107"/>
    </row>
    <row r="38" spans="1:11" ht="15.75" x14ac:dyDescent="0.25">
      <c r="A38" s="4" t="str">
        <f>"TRIM.FaTE Meteorological inputs for " &amp; pretty_scenario_name</f>
        <v>TRIM.FaTE Meteorological inputs for Foundries_SS</v>
      </c>
      <c r="E38" s="90" t="s">
        <v>773</v>
      </c>
      <c r="F38" s="90" t="s">
        <v>773</v>
      </c>
      <c r="J38" s="107"/>
    </row>
    <row r="39" spans="1:11" x14ac:dyDescent="0.2">
      <c r="B39" s="12" t="s">
        <v>147</v>
      </c>
      <c r="C39" s="12" t="s">
        <v>81</v>
      </c>
      <c r="D39" s="12" t="s">
        <v>136</v>
      </c>
      <c r="E39" s="12" t="s">
        <v>773</v>
      </c>
      <c r="F39" s="90" t="s">
        <v>773</v>
      </c>
      <c r="J39" s="140"/>
      <c r="K39" s="140"/>
    </row>
    <row r="40" spans="1:11" x14ac:dyDescent="0.2">
      <c r="B40" s="35" t="s">
        <v>148</v>
      </c>
      <c r="C40" s="34" t="s">
        <v>149</v>
      </c>
      <c r="D40" s="18">
        <v>298</v>
      </c>
      <c r="E40" s="33" t="s">
        <v>773</v>
      </c>
      <c r="F40" s="90" t="s">
        <v>773</v>
      </c>
      <c r="J40" s="223" t="str">
        <f t="shared" ref="J40:J48" si="5">"" &amp; D40</f>
        <v>298</v>
      </c>
    </row>
    <row r="41" spans="1:11" x14ac:dyDescent="0.2">
      <c r="B41" s="35" t="s">
        <v>151</v>
      </c>
      <c r="C41" s="34" t="s">
        <v>152</v>
      </c>
      <c r="D41" s="413" t="s">
        <v>756</v>
      </c>
      <c r="E41" s="35" t="s">
        <v>773</v>
      </c>
      <c r="F41" s="90" t="s">
        <v>773</v>
      </c>
      <c r="G41" s="90"/>
      <c r="H41" s="90"/>
      <c r="I41" s="90"/>
      <c r="J41" s="223" t="str">
        <f t="shared" si="5"/>
        <v>1.6 From File</v>
      </c>
    </row>
    <row r="42" spans="1:11" x14ac:dyDescent="0.2">
      <c r="B42" s="33" t="s">
        <v>153</v>
      </c>
      <c r="C42" s="34" t="s">
        <v>152</v>
      </c>
      <c r="D42" s="81">
        <v>0</v>
      </c>
      <c r="E42" s="33" t="s">
        <v>773</v>
      </c>
      <c r="F42" s="90" t="s">
        <v>773</v>
      </c>
      <c r="G42" s="90"/>
      <c r="H42" s="90"/>
      <c r="I42" s="90"/>
      <c r="J42" s="223" t="str">
        <f t="shared" si="5"/>
        <v>0</v>
      </c>
    </row>
    <row r="43" spans="1:11" ht="25.5" x14ac:dyDescent="0.2">
      <c r="B43" s="35" t="s">
        <v>154</v>
      </c>
      <c r="C43" s="36" t="s">
        <v>155</v>
      </c>
      <c r="D43" s="82" t="s">
        <v>518</v>
      </c>
      <c r="E43" s="35" t="s">
        <v>773</v>
      </c>
      <c r="F43" s="90" t="s">
        <v>773</v>
      </c>
      <c r="G43" s="90"/>
      <c r="H43" s="90"/>
      <c r="I43" s="90"/>
      <c r="J43" s="223" t="str">
        <f t="shared" si="5"/>
        <v>3-days-on, 4-days-off.</v>
      </c>
    </row>
    <row r="44" spans="1:11" ht="127.5" x14ac:dyDescent="0.2">
      <c r="B44" s="35" t="s">
        <v>447</v>
      </c>
      <c r="C44" s="36" t="s">
        <v>241</v>
      </c>
      <c r="D44" s="82" t="s">
        <v>156</v>
      </c>
      <c r="E44" s="242" t="s">
        <v>686</v>
      </c>
      <c r="G44" s="90"/>
      <c r="H44" s="90"/>
      <c r="I44" s="90"/>
      <c r="J44" s="223" t="str">
        <f t="shared" si="5"/>
        <v>varies daily</v>
      </c>
    </row>
    <row r="45" spans="1:11" ht="51" x14ac:dyDescent="0.2">
      <c r="B45" s="33" t="s">
        <v>157</v>
      </c>
      <c r="C45" s="34" t="s">
        <v>14</v>
      </c>
      <c r="D45" s="413">
        <v>226</v>
      </c>
      <c r="E45" s="35" t="s">
        <v>687</v>
      </c>
      <c r="G45" s="90"/>
      <c r="H45" s="90"/>
      <c r="I45" s="90"/>
      <c r="J45" s="223" t="str">
        <f t="shared" si="5"/>
        <v>226</v>
      </c>
    </row>
    <row r="46" spans="1:11" ht="40.5" customHeight="1" x14ac:dyDescent="0.2">
      <c r="B46" s="35" t="s">
        <v>158</v>
      </c>
      <c r="C46" s="36" t="s">
        <v>144</v>
      </c>
      <c r="D46" s="83">
        <v>0</v>
      </c>
      <c r="E46" s="35" t="s">
        <v>159</v>
      </c>
      <c r="G46" s="207" t="str">
        <f>"Scenario: " &amp; scenario_name</f>
        <v>Scenario: Foundries_SS</v>
      </c>
      <c r="H46" s="35" t="s">
        <v>158</v>
      </c>
      <c r="I46" s="287" t="str">
        <f>IF(ISERROR(FIND(",", J46)), "Constant", "InputFromFile")</f>
        <v>Constant</v>
      </c>
      <c r="J46" s="223" t="str">
        <f t="shared" si="5"/>
        <v>0</v>
      </c>
    </row>
    <row r="47" spans="1:11" ht="38.25" x14ac:dyDescent="0.2">
      <c r="B47" s="35" t="s">
        <v>160</v>
      </c>
      <c r="C47" s="36" t="s">
        <v>144</v>
      </c>
      <c r="D47" s="83">
        <v>0</v>
      </c>
      <c r="E47" s="35" t="s">
        <v>159</v>
      </c>
      <c r="G47" s="207" t="str">
        <f>"Scenario: " &amp; scenario_name</f>
        <v>Scenario: Foundries_SS</v>
      </c>
      <c r="H47" s="35" t="s">
        <v>160</v>
      </c>
      <c r="I47" s="287" t="str">
        <f>IF(ISERROR(FIND(",", J47)), "Constant", "InputFromFile")</f>
        <v>Constant</v>
      </c>
      <c r="J47" s="223" t="str">
        <f t="shared" si="5"/>
        <v>0</v>
      </c>
    </row>
    <row r="48" spans="1:11" ht="51" x14ac:dyDescent="0.2">
      <c r="B48" s="214" t="s">
        <v>153</v>
      </c>
      <c r="C48" s="195" t="s">
        <v>152</v>
      </c>
      <c r="D48" s="216">
        <v>0</v>
      </c>
      <c r="E48" s="35" t="s">
        <v>567</v>
      </c>
      <c r="G48" s="207" t="str">
        <f t="shared" ref="G48:G59" si="6">"Scenario: " &amp; scenario_name</f>
        <v>Scenario: Foundries_SS</v>
      </c>
      <c r="H48" s="217" t="s">
        <v>444</v>
      </c>
      <c r="I48" s="287" t="str">
        <f>IF(ISERROR(FIND(",", J48)), "Constant", "InputFromFile")</f>
        <v>Constant</v>
      </c>
      <c r="J48" s="223" t="str">
        <f t="shared" si="5"/>
        <v>0</v>
      </c>
      <c r="K48" s="234" t="str">
        <f>E48 &amp; ""</f>
        <v>Constant 0 m/sec. Professional judgment; vertical wind speed not used by any of the algorithms in the current version of the TRIM.FaTE library.</v>
      </c>
    </row>
    <row r="49" spans="1:11" x14ac:dyDescent="0.2">
      <c r="B49" s="35" t="s">
        <v>467</v>
      </c>
      <c r="C49" s="36" t="s">
        <v>105</v>
      </c>
      <c r="D49" s="356">
        <v>0.78400000000000003</v>
      </c>
      <c r="E49" s="35" t="s">
        <v>837</v>
      </c>
      <c r="G49" s="90"/>
      <c r="H49" s="90"/>
      <c r="I49" s="90"/>
      <c r="J49" s="223" t="str">
        <f>"" &amp; D49</f>
        <v>0.784</v>
      </c>
    </row>
    <row r="50" spans="1:11" ht="25.5" x14ac:dyDescent="0.2">
      <c r="B50" s="35" t="s">
        <v>470</v>
      </c>
      <c r="C50" s="36" t="s">
        <v>144</v>
      </c>
      <c r="D50" s="226">
        <v>0.35</v>
      </c>
      <c r="E50" s="35" t="s">
        <v>213</v>
      </c>
      <c r="G50" s="90"/>
      <c r="H50" s="90"/>
      <c r="I50" s="90"/>
      <c r="J50" s="223" t="str">
        <f>"" &amp; D50</f>
        <v>0.35</v>
      </c>
    </row>
    <row r="51" spans="1:11" ht="25.5" x14ac:dyDescent="0.2">
      <c r="B51" s="470" t="s">
        <v>471</v>
      </c>
      <c r="C51" s="36" t="s">
        <v>144</v>
      </c>
      <c r="D51" s="226">
        <v>0.18635437203376554</v>
      </c>
      <c r="E51" s="35" t="s">
        <v>468</v>
      </c>
      <c r="G51" s="90"/>
      <c r="H51" s="90"/>
      <c r="I51" s="90"/>
      <c r="J51" s="223" t="str">
        <f>"" &amp; D51</f>
        <v>0.186354372033766</v>
      </c>
    </row>
    <row r="52" spans="1:11" ht="25.5" x14ac:dyDescent="0.2">
      <c r="B52" s="470" t="s">
        <v>472</v>
      </c>
      <c r="C52" s="36" t="s">
        <v>144</v>
      </c>
      <c r="D52" s="403">
        <v>0.20264693800521549</v>
      </c>
      <c r="E52" s="35" t="s">
        <v>469</v>
      </c>
      <c r="G52" s="90"/>
      <c r="H52" s="90"/>
      <c r="I52" s="90"/>
      <c r="J52" s="223" t="str">
        <f>"" &amp; D52</f>
        <v>0.202646938005215</v>
      </c>
    </row>
    <row r="53" spans="1:11" ht="72.599999999999994" customHeight="1" x14ac:dyDescent="0.2">
      <c r="B53" s="35" t="s">
        <v>427</v>
      </c>
      <c r="C53" s="36" t="s">
        <v>428</v>
      </c>
      <c r="D53" s="428" t="s">
        <v>843</v>
      </c>
      <c r="E53" s="35" t="s">
        <v>568</v>
      </c>
      <c r="G53" s="90"/>
      <c r="H53" s="90"/>
      <c r="I53" s="90"/>
      <c r="J53" s="223" t="str">
        <f>SUBSTITUTE(D53, "\", "\\")</f>
        <v>C:\\RTR\\Foundries\\TRIM\\ISF_met_MI_20181219.CSV</v>
      </c>
    </row>
    <row r="54" spans="1:11" x14ac:dyDescent="0.2">
      <c r="B54" s="35" t="s">
        <v>433</v>
      </c>
      <c r="C54" s="36" t="s">
        <v>429</v>
      </c>
      <c r="D54" s="216" t="s">
        <v>439</v>
      </c>
      <c r="E54" s="35" t="s">
        <v>715</v>
      </c>
      <c r="G54" s="207" t="str">
        <f>"Scenario: " &amp; scenario_name</f>
        <v>Scenario: Foundries_SS</v>
      </c>
      <c r="H54" s="217" t="s">
        <v>442</v>
      </c>
      <c r="I54" s="287" t="str">
        <f t="shared" ref="I54:I61" si="7">IF(ISERROR(FIND(",", J54)), "Constant", "InputFromFile")</f>
        <v>InputFromFile</v>
      </c>
      <c r="J54" s="223" t="str">
        <f t="shared" ref="J54:J60" si="8">metdata_file &amp; ", " &amp; D54 &amp; ", " &amp; quoted(",")</f>
        <v>C:\\RTR\\Foundries\\TRIM\\ISF_met_MI_20181219.CSV, AirTemperature, ","</v>
      </c>
      <c r="K54" s="234" t="str">
        <f t="shared" ref="K54:K60" si="9">E54 &amp; ""</f>
        <v>Site-specific time series met data</v>
      </c>
    </row>
    <row r="55" spans="1:11" ht="25.5" x14ac:dyDescent="0.2">
      <c r="B55" s="214" t="s">
        <v>432</v>
      </c>
      <c r="C55" s="195" t="s">
        <v>430</v>
      </c>
      <c r="D55" s="216" t="s">
        <v>440</v>
      </c>
      <c r="E55" s="35" t="s">
        <v>715</v>
      </c>
      <c r="G55" s="207" t="str">
        <f t="shared" si="6"/>
        <v>Scenario: Foundries_SS</v>
      </c>
      <c r="H55" s="217" t="s">
        <v>443</v>
      </c>
      <c r="I55" s="287" t="str">
        <f t="shared" si="7"/>
        <v>InputFromFile</v>
      </c>
      <c r="J55" s="223" t="str">
        <f t="shared" si="8"/>
        <v>C:\\RTR\\Foundries\\TRIM\\ISF_met_MI_20181219.CSV, HorizontalWindSpeed, ","</v>
      </c>
      <c r="K55" s="234" t="str">
        <f t="shared" si="9"/>
        <v>Site-specific time series met data</v>
      </c>
    </row>
    <row r="56" spans="1:11" ht="25.5" x14ac:dyDescent="0.2">
      <c r="B56" s="214" t="s">
        <v>431</v>
      </c>
      <c r="C56" s="195" t="s">
        <v>434</v>
      </c>
      <c r="D56" s="216" t="s">
        <v>345</v>
      </c>
      <c r="E56" s="35" t="s">
        <v>715</v>
      </c>
      <c r="G56" s="207" t="str">
        <f t="shared" si="6"/>
        <v>Scenario: Foundries_SS</v>
      </c>
      <c r="H56" s="217" t="s">
        <v>445</v>
      </c>
      <c r="I56" s="287" t="str">
        <f t="shared" si="7"/>
        <v>InputFromFile</v>
      </c>
      <c r="J56" s="223" t="str">
        <f t="shared" si="8"/>
        <v>C:\\RTR\\Foundries\\TRIM\\ISF_met_MI_20181219.CSV, WindDirection, ","</v>
      </c>
      <c r="K56" s="234" t="str">
        <f t="shared" si="9"/>
        <v>Site-specific time series met data</v>
      </c>
    </row>
    <row r="57" spans="1:11" x14ac:dyDescent="0.2">
      <c r="B57" s="214" t="s">
        <v>448</v>
      </c>
      <c r="C57" s="195" t="s">
        <v>435</v>
      </c>
      <c r="D57" s="216" t="s">
        <v>344</v>
      </c>
      <c r="E57" s="35" t="s">
        <v>715</v>
      </c>
      <c r="G57" s="207" t="str">
        <f t="shared" si="6"/>
        <v>Scenario: Foundries_SS</v>
      </c>
      <c r="H57" s="217" t="s">
        <v>344</v>
      </c>
      <c r="I57" s="287" t="str">
        <f t="shared" si="7"/>
        <v>InputFromFile</v>
      </c>
      <c r="J57" s="223" t="str">
        <f t="shared" si="8"/>
        <v>C:\\RTR\\Foundries\\TRIM\\ISF_met_MI_20181219.CSV, Rain, ","</v>
      </c>
      <c r="K57" s="234" t="str">
        <f t="shared" si="9"/>
        <v>Site-specific time series met data</v>
      </c>
    </row>
    <row r="58" spans="1:11" x14ac:dyDescent="0.2">
      <c r="B58" s="35" t="s">
        <v>449</v>
      </c>
      <c r="C58" s="36" t="s">
        <v>437</v>
      </c>
      <c r="D58" s="215" t="s">
        <v>450</v>
      </c>
      <c r="E58" s="35" t="s">
        <v>715</v>
      </c>
      <c r="G58" s="207" t="str">
        <f t="shared" si="6"/>
        <v>Scenario: Foundries_SS</v>
      </c>
      <c r="H58" s="218" t="s">
        <v>441</v>
      </c>
      <c r="I58" s="287" t="str">
        <f t="shared" si="7"/>
        <v>InputFromFile</v>
      </c>
      <c r="J58" s="223" t="str">
        <f t="shared" si="8"/>
        <v>C:\\RTR\\Foundries\\TRIM\\ISF_met_MI_20181219.CSV, CumulativeRain, ","</v>
      </c>
      <c r="K58" s="234" t="str">
        <f t="shared" si="9"/>
        <v>Site-specific time series met data</v>
      </c>
    </row>
    <row r="59" spans="1:11" x14ac:dyDescent="0.2">
      <c r="B59" s="35" t="s">
        <v>485</v>
      </c>
      <c r="C59" s="36" t="s">
        <v>144</v>
      </c>
      <c r="D59" s="216" t="s">
        <v>484</v>
      </c>
      <c r="E59" s="35" t="s">
        <v>715</v>
      </c>
      <c r="G59" s="207" t="str">
        <f t="shared" si="6"/>
        <v>Scenario: Foundries_SS</v>
      </c>
      <c r="H59" s="218" t="s">
        <v>409</v>
      </c>
      <c r="I59" s="287" t="str">
        <f t="shared" si="7"/>
        <v>InputFromFile</v>
      </c>
      <c r="J59" s="223" t="str">
        <f t="shared" si="8"/>
        <v>C:\\RTR\\Foundries\\TRIM\\ISF_met_MI_20181219.CSV, IsDay, ","</v>
      </c>
      <c r="K59" s="234" t="str">
        <f t="shared" si="9"/>
        <v>Site-specific time series met data</v>
      </c>
    </row>
    <row r="60" spans="1:11" x14ac:dyDescent="0.2">
      <c r="B60" s="214" t="s">
        <v>436</v>
      </c>
      <c r="C60" s="195" t="s">
        <v>437</v>
      </c>
      <c r="D60" s="216" t="s">
        <v>438</v>
      </c>
      <c r="E60" s="35" t="s">
        <v>715</v>
      </c>
      <c r="G60" s="218" t="s">
        <v>452</v>
      </c>
      <c r="H60" s="218" t="s">
        <v>446</v>
      </c>
      <c r="I60" s="287" t="str">
        <f t="shared" si="7"/>
        <v>InputFromFile</v>
      </c>
      <c r="J60" s="223" t="str">
        <f t="shared" si="8"/>
        <v>C:\\RTR\\Foundries\\TRIM\\ISF_met_MI_20181219.CSV, MixingHeight, ","</v>
      </c>
      <c r="K60" s="234" t="str">
        <f t="shared" si="9"/>
        <v>Site-specific time series met data</v>
      </c>
    </row>
    <row r="61" spans="1:11" ht="38.25" x14ac:dyDescent="0.2">
      <c r="B61" s="214" t="s">
        <v>624</v>
      </c>
      <c r="C61" s="108"/>
      <c r="D61"/>
      <c r="E61" s="269"/>
      <c r="G61" s="218" t="s">
        <v>625</v>
      </c>
      <c r="H61" s="218" t="s">
        <v>626</v>
      </c>
      <c r="I61" s="287" t="str">
        <f t="shared" si="7"/>
        <v>InputFromFile</v>
      </c>
      <c r="J61" s="223" t="str">
        <f>mixing_height</f>
        <v>C:\\RTR\\Foundries\\TRIM\\ISF_met_MI_20181219.CSV, MixingHeight, ","</v>
      </c>
      <c r="K61" s="234" t="str">
        <f>K60</f>
        <v>Site-specific time series met data</v>
      </c>
    </row>
    <row r="62" spans="1:11" x14ac:dyDescent="0.2">
      <c r="B62" s="94"/>
      <c r="C62" s="94"/>
    </row>
    <row r="63" spans="1:11" ht="15.75" x14ac:dyDescent="0.25">
      <c r="A63" s="4" t="str">
        <f>"TRIM.FaTE Air Parameters for " &amp; pretty_scenario_name</f>
        <v>TRIM.FaTE Air Parameters for Foundries_SS</v>
      </c>
    </row>
    <row r="64" spans="1:11" x14ac:dyDescent="0.2">
      <c r="B64" s="12" t="s">
        <v>135</v>
      </c>
      <c r="C64" s="12" t="s">
        <v>81</v>
      </c>
      <c r="D64" s="12" t="s">
        <v>136</v>
      </c>
      <c r="E64" s="12" t="s">
        <v>137</v>
      </c>
    </row>
    <row r="65" spans="1:11" ht="14.25" x14ac:dyDescent="0.2">
      <c r="B65" s="43" t="s">
        <v>138</v>
      </c>
      <c r="C65" s="32" t="s">
        <v>238</v>
      </c>
      <c r="D65" s="24">
        <v>6.1500000000000001E-8</v>
      </c>
      <c r="E65" s="43" t="s">
        <v>139</v>
      </c>
      <c r="G65" s="218" t="s">
        <v>453</v>
      </c>
      <c r="H65" s="218" t="s">
        <v>454</v>
      </c>
      <c r="I65" s="287" t="str">
        <f>IF(ISERROR(FIND(",", J65)), "Constant", "InputFromFile")</f>
        <v>Constant</v>
      </c>
      <c r="J65" s="223" t="str">
        <f>"" &amp; D65</f>
        <v>0.0000000615</v>
      </c>
      <c r="K65" s="234" t="str">
        <f>E65 &amp; ""</f>
        <v>Bidleman 1988</v>
      </c>
    </row>
    <row r="66" spans="1:11" ht="14.25" x14ac:dyDescent="0.2">
      <c r="B66" s="43" t="s">
        <v>140</v>
      </c>
      <c r="C66" s="32" t="s">
        <v>239</v>
      </c>
      <c r="D66" s="80">
        <v>1.1999999999999999E-3</v>
      </c>
      <c r="E66" s="43" t="s">
        <v>141</v>
      </c>
      <c r="G66" s="218" t="s">
        <v>453</v>
      </c>
      <c r="H66" s="217" t="s">
        <v>455</v>
      </c>
      <c r="I66" s="287" t="str">
        <f>IF(ISERROR(FIND(",", J66)), "Constant", "InputFromFile")</f>
        <v>Constant</v>
      </c>
      <c r="J66" s="223" t="str">
        <f>"" &amp; D66</f>
        <v>0.0012</v>
      </c>
      <c r="K66" s="234" t="str">
        <f>E66 &amp; ""</f>
        <v>U.S. EPA 1997</v>
      </c>
    </row>
    <row r="67" spans="1:11" ht="14.25" x14ac:dyDescent="0.2">
      <c r="B67" s="43" t="s">
        <v>142</v>
      </c>
      <c r="C67" s="32" t="s">
        <v>240</v>
      </c>
      <c r="D67" s="84">
        <v>1400</v>
      </c>
      <c r="E67" s="43" t="s">
        <v>139</v>
      </c>
      <c r="G67" s="218" t="s">
        <v>453</v>
      </c>
      <c r="H67" s="217" t="s">
        <v>456</v>
      </c>
      <c r="I67" s="287" t="str">
        <f>IF(ISERROR(FIND(",", J67)), "Constant", "InputFromFile")</f>
        <v>Constant</v>
      </c>
      <c r="J67" s="223" t="str">
        <f>"" &amp; D67</f>
        <v>1400</v>
      </c>
      <c r="K67" s="234" t="str">
        <f>E67 &amp; ""</f>
        <v>Bidleman 1988</v>
      </c>
    </row>
    <row r="68" spans="1:11" ht="25.5" x14ac:dyDescent="0.2">
      <c r="B68" s="43" t="s">
        <v>143</v>
      </c>
      <c r="C68" s="32" t="s">
        <v>144</v>
      </c>
      <c r="D68" s="80">
        <v>0.2</v>
      </c>
      <c r="E68" s="43" t="s">
        <v>145</v>
      </c>
      <c r="G68" s="218" t="s">
        <v>453</v>
      </c>
      <c r="H68" s="217" t="s">
        <v>457</v>
      </c>
      <c r="I68" s="287" t="str">
        <f>IF(ISERROR(FIND(",", J68)), "Constant", "InputFromFile")</f>
        <v>Constant</v>
      </c>
      <c r="J68" s="223" t="str">
        <f>"" &amp; D68</f>
        <v>0.2</v>
      </c>
      <c r="K68" s="234" t="str">
        <f>E68 &amp; ""</f>
        <v>Harner and Bidleman 1998</v>
      </c>
    </row>
    <row r="69" spans="1:11" ht="25.5" x14ac:dyDescent="0.2">
      <c r="B69" s="149" t="s">
        <v>617</v>
      </c>
      <c r="C69" s="32" t="s">
        <v>14</v>
      </c>
      <c r="D69" s="82">
        <v>800</v>
      </c>
      <c r="E69" s="43" t="s">
        <v>146</v>
      </c>
      <c r="G69" s="90"/>
      <c r="H69" s="90"/>
      <c r="I69" s="90"/>
      <c r="J69" s="223" t="str">
        <f>"" &amp; D69</f>
        <v>800</v>
      </c>
    </row>
    <row r="71" spans="1:11" ht="15.75" x14ac:dyDescent="0.25">
      <c r="A71" s="4" t="str">
        <f>"TRIM.FaTE Soil and Groundwater Parameters for " &amp; pretty_scenario_name</f>
        <v>TRIM.FaTE Soil and Groundwater Parameters for Foundries_SS</v>
      </c>
    </row>
    <row r="72" spans="1:11" x14ac:dyDescent="0.2">
      <c r="B72" s="12" t="s">
        <v>135</v>
      </c>
      <c r="C72" s="12" t="s">
        <v>81</v>
      </c>
      <c r="D72" s="25" t="s">
        <v>136</v>
      </c>
      <c r="E72" s="12" t="s">
        <v>137</v>
      </c>
    </row>
    <row r="73" spans="1:11" ht="12.75" customHeight="1" x14ac:dyDescent="0.2">
      <c r="B73" s="208" t="s">
        <v>171</v>
      </c>
      <c r="C73" s="209"/>
      <c r="D73" s="209"/>
      <c r="E73" s="210"/>
      <c r="G73" s="90"/>
      <c r="H73" s="90"/>
      <c r="I73" s="90"/>
    </row>
    <row r="74" spans="1:11" ht="14.25" x14ac:dyDescent="0.2">
      <c r="B74" s="23" t="s">
        <v>165</v>
      </c>
      <c r="C74" s="31" t="s">
        <v>14</v>
      </c>
      <c r="D74" s="47">
        <v>0.01</v>
      </c>
      <c r="E74" s="37" t="s">
        <v>181</v>
      </c>
      <c r="G74" s="90"/>
      <c r="H74" s="90"/>
      <c r="I74" s="90"/>
      <c r="J74" s="223" t="str">
        <f>"" &amp; D74</f>
        <v>0.01</v>
      </c>
    </row>
    <row r="75" spans="1:11" ht="14.25" x14ac:dyDescent="0.2">
      <c r="B75" s="23" t="s">
        <v>249</v>
      </c>
      <c r="C75" s="31" t="s">
        <v>14</v>
      </c>
      <c r="D75" s="86">
        <v>0.2</v>
      </c>
      <c r="E75" s="37" t="s">
        <v>150</v>
      </c>
      <c r="G75" s="90"/>
      <c r="H75" s="90"/>
      <c r="I75" s="90"/>
      <c r="J75" s="223" t="str">
        <f>"" &amp; D75</f>
        <v>0.2</v>
      </c>
    </row>
    <row r="76" spans="1:11" x14ac:dyDescent="0.2">
      <c r="B76" s="211" t="s">
        <v>202</v>
      </c>
      <c r="C76" s="212"/>
      <c r="D76" s="212"/>
      <c r="E76" s="213"/>
      <c r="G76" s="90"/>
      <c r="H76" s="90"/>
      <c r="I76" s="90"/>
      <c r="K76" s="90"/>
    </row>
    <row r="77" spans="1:11" ht="14.25" x14ac:dyDescent="0.2">
      <c r="B77" s="23" t="s">
        <v>165</v>
      </c>
      <c r="C77" s="40" t="s">
        <v>14</v>
      </c>
      <c r="D77" s="47">
        <v>0.79</v>
      </c>
      <c r="E77" s="37" t="s">
        <v>206</v>
      </c>
      <c r="G77" s="90"/>
      <c r="H77" s="90"/>
      <c r="I77" s="90"/>
      <c r="J77" s="223" t="str">
        <f t="shared" ref="J77:J82" si="10">"" &amp; D77</f>
        <v>0.79</v>
      </c>
    </row>
    <row r="78" spans="1:11" ht="14.25" x14ac:dyDescent="0.2">
      <c r="B78" s="23" t="s">
        <v>249</v>
      </c>
      <c r="C78" s="40" t="s">
        <v>14</v>
      </c>
      <c r="D78" s="47">
        <v>0.6</v>
      </c>
      <c r="E78" s="37" t="s">
        <v>207</v>
      </c>
      <c r="G78" s="90"/>
      <c r="H78" s="90"/>
      <c r="I78" s="90"/>
      <c r="J78" s="223" t="str">
        <f t="shared" si="10"/>
        <v>0.6</v>
      </c>
    </row>
    <row r="79" spans="1:11" x14ac:dyDescent="0.2">
      <c r="B79" s="211" t="s">
        <v>208</v>
      </c>
      <c r="C79" s="212"/>
      <c r="D79" s="212"/>
      <c r="E79" s="213"/>
      <c r="G79" s="90"/>
      <c r="H79" s="90"/>
      <c r="I79" s="90"/>
    </row>
    <row r="80" spans="1:11" ht="14.25" x14ac:dyDescent="0.2">
      <c r="B80" s="37" t="s">
        <v>166</v>
      </c>
      <c r="C80" s="31" t="s">
        <v>14</v>
      </c>
      <c r="D80" s="47">
        <v>1.4</v>
      </c>
      <c r="E80" s="37" t="s">
        <v>209</v>
      </c>
      <c r="G80" s="90"/>
      <c r="H80" s="90"/>
      <c r="I80" s="90"/>
      <c r="J80" s="223" t="str">
        <f t="shared" si="10"/>
        <v>1.4</v>
      </c>
    </row>
    <row r="81" spans="1:11" x14ac:dyDescent="0.2">
      <c r="B81" s="211" t="s">
        <v>211</v>
      </c>
      <c r="C81" s="212"/>
      <c r="D81" s="212"/>
      <c r="E81" s="213"/>
      <c r="G81" s="90"/>
      <c r="H81" s="90"/>
      <c r="I81" s="90"/>
    </row>
    <row r="82" spans="1:11" ht="14.25" x14ac:dyDescent="0.2">
      <c r="B82" s="41" t="s">
        <v>166</v>
      </c>
      <c r="C82" s="38" t="s">
        <v>14</v>
      </c>
      <c r="D82" s="85">
        <v>3</v>
      </c>
      <c r="E82" s="39" t="s">
        <v>205</v>
      </c>
      <c r="G82" s="90"/>
      <c r="H82" s="90"/>
      <c r="I82" s="90"/>
      <c r="J82" s="223" t="str">
        <f t="shared" si="10"/>
        <v>3</v>
      </c>
    </row>
    <row r="83" spans="1:11" ht="13.5" x14ac:dyDescent="0.2">
      <c r="B83" s="495" t="s">
        <v>247</v>
      </c>
      <c r="C83" s="495"/>
      <c r="D83" s="495"/>
      <c r="E83" s="495"/>
    </row>
    <row r="84" spans="1:11" ht="13.5" x14ac:dyDescent="0.2">
      <c r="B84" s="219" t="s">
        <v>248</v>
      </c>
      <c r="C84" s="220"/>
      <c r="D84" s="221"/>
      <c r="E84" s="222"/>
    </row>
    <row r="85" spans="1:11" ht="13.5" x14ac:dyDescent="0.2">
      <c r="B85" s="219"/>
      <c r="C85" s="220"/>
      <c r="D85" s="221"/>
      <c r="E85" s="222"/>
    </row>
    <row r="86" spans="1:11" ht="15.75" x14ac:dyDescent="0.25">
      <c r="A86" s="4" t="str">
        <f>"TRIM.FaTE Plant Parameters for Coniferous Forests in " &amp; pretty_scenario_name</f>
        <v>TRIM.FaTE Plant Parameters for Coniferous Forests in Foundries_SS</v>
      </c>
    </row>
    <row r="87" spans="1:11" x14ac:dyDescent="0.2">
      <c r="B87" s="192" t="s">
        <v>135</v>
      </c>
      <c r="C87" s="192" t="s">
        <v>81</v>
      </c>
      <c r="D87" s="193" t="s">
        <v>136</v>
      </c>
      <c r="E87" s="192" t="s">
        <v>137</v>
      </c>
    </row>
    <row r="88" spans="1:11" ht="51" x14ac:dyDescent="0.2">
      <c r="B88" s="242" t="s">
        <v>506</v>
      </c>
      <c r="C88" s="243" t="s">
        <v>507</v>
      </c>
      <c r="D88" s="82"/>
      <c r="E88" s="36" t="s">
        <v>570</v>
      </c>
      <c r="G88" s="241"/>
      <c r="H88" s="241"/>
      <c r="I88" s="241"/>
      <c r="J88" s="223" t="str">
        <f>SUBSTITUTE(D88, "\", "\\")</f>
        <v/>
      </c>
      <c r="K88" s="234"/>
    </row>
    <row r="89" spans="1:11" ht="38.25" x14ac:dyDescent="0.2">
      <c r="B89" s="42" t="s">
        <v>216</v>
      </c>
      <c r="C89" s="243" t="s">
        <v>508</v>
      </c>
      <c r="D89" s="88">
        <v>1</v>
      </c>
      <c r="E89" s="36" t="s">
        <v>511</v>
      </c>
      <c r="G89" s="150" t="s">
        <v>501</v>
      </c>
      <c r="H89" s="150" t="s">
        <v>502</v>
      </c>
      <c r="I89" s="287" t="str">
        <f>IF(ISERROR(FIND(",", J89)), "Constant", "InputFromFile")</f>
        <v>Constant</v>
      </c>
      <c r="J89" s="223" t="str">
        <f>IF(LEN(J88)&lt;1, D89 &amp; "", J88 &amp; ", " &amp; D89 &amp; ", " &amp; quoted(","))</f>
        <v>1</v>
      </c>
      <c r="K89" s="234" t="str">
        <f>E89 &amp; ""</f>
        <v>Coniferous plants assumed to be constantly growing</v>
      </c>
    </row>
    <row r="90" spans="1:11" ht="38.25" x14ac:dyDescent="0.2">
      <c r="B90" s="242" t="s">
        <v>555</v>
      </c>
      <c r="C90" s="243" t="s">
        <v>508</v>
      </c>
      <c r="D90" s="88">
        <v>1</v>
      </c>
      <c r="E90" s="36"/>
      <c r="G90" s="150" t="s">
        <v>501</v>
      </c>
      <c r="H90" s="150" t="s">
        <v>554</v>
      </c>
      <c r="I90" s="287" t="str">
        <f>IF(ISERROR(FIND(",", J90)), "Constant", "InputFromFile")</f>
        <v>Constant</v>
      </c>
      <c r="J90" s="223" t="str">
        <f>D90 &amp; ""</f>
        <v>1</v>
      </c>
      <c r="K90" s="234" t="str">
        <f>E90 &amp; ""</f>
        <v/>
      </c>
    </row>
    <row r="91" spans="1:11" ht="38.25" x14ac:dyDescent="0.2">
      <c r="B91" s="242" t="s">
        <v>556</v>
      </c>
      <c r="C91" s="243" t="s">
        <v>508</v>
      </c>
      <c r="D91" s="88">
        <v>1</v>
      </c>
      <c r="E91" s="36"/>
      <c r="G91" s="150" t="s">
        <v>501</v>
      </c>
      <c r="H91" s="150" t="s">
        <v>557</v>
      </c>
      <c r="I91" s="287" t="str">
        <f>IF(ISERROR(FIND(",", J91)), "Constant", "InputFromFile")</f>
        <v>Constant</v>
      </c>
      <c r="J91" s="223" t="str">
        <f>D91 &amp; ""</f>
        <v>1</v>
      </c>
      <c r="K91" s="234" t="str">
        <f>E91 &amp; ""</f>
        <v/>
      </c>
    </row>
    <row r="92" spans="1:11" ht="51" x14ac:dyDescent="0.2">
      <c r="B92" s="242" t="s">
        <v>510</v>
      </c>
      <c r="C92" s="243" t="s">
        <v>507</v>
      </c>
      <c r="D92" s="82"/>
      <c r="E92" s="36" t="s">
        <v>569</v>
      </c>
      <c r="G92" s="90"/>
      <c r="H92" s="90"/>
      <c r="I92" s="90"/>
      <c r="J92" s="223" t="str">
        <f>SUBSTITUTE(D92, "\", "\\")</f>
        <v/>
      </c>
      <c r="K92" s="234"/>
    </row>
    <row r="93" spans="1:11" ht="25.5" x14ac:dyDescent="0.2">
      <c r="B93" s="42" t="s">
        <v>218</v>
      </c>
      <c r="C93" s="32" t="s">
        <v>219</v>
      </c>
      <c r="D93" s="88">
        <v>2.0999999999999999E-3</v>
      </c>
      <c r="E93" s="31" t="s">
        <v>222</v>
      </c>
      <c r="G93" s="150" t="s">
        <v>642</v>
      </c>
      <c r="H93" s="150" t="s">
        <v>504</v>
      </c>
      <c r="I93" s="287" t="str">
        <f>IF(ISERROR(FIND(",", J93)), "Constant", "InputFromFile")</f>
        <v>Constant</v>
      </c>
      <c r="J93" s="223" t="str">
        <f>IF(LEN(J92)&lt;1, D93 &amp; "", J92 &amp; ", " &amp; D93 &amp; ", " &amp; quoted(","))</f>
        <v>0.0021</v>
      </c>
      <c r="K93" s="234" t="str">
        <f>E93 &amp; ""</f>
        <v>value assumes 1st-order relationship and that 99% of leaves fall over 6 years</v>
      </c>
    </row>
    <row r="94" spans="1:11" ht="38.25" x14ac:dyDescent="0.2">
      <c r="B94" s="23" t="s">
        <v>217</v>
      </c>
      <c r="C94" s="194" t="s">
        <v>509</v>
      </c>
      <c r="D94" s="80" t="b">
        <v>0</v>
      </c>
      <c r="E94" s="37" t="s">
        <v>187</v>
      </c>
      <c r="G94" s="150" t="s">
        <v>501</v>
      </c>
      <c r="H94" s="150" t="s">
        <v>503</v>
      </c>
      <c r="I94" s="287" t="str">
        <f>IF(ISERROR(FIND(",", J94)), "Constant", "InputFromFile")</f>
        <v>Constant</v>
      </c>
      <c r="J94" s="223" t="str">
        <f>"" &amp; D94</f>
        <v>FALSE</v>
      </c>
      <c r="K94" s="234" t="str">
        <f>E94 &amp; ""</f>
        <v>Professional judgment.</v>
      </c>
    </row>
    <row r="95" spans="1:11" ht="25.5" x14ac:dyDescent="0.2">
      <c r="B95" s="37" t="s">
        <v>220</v>
      </c>
      <c r="C95" s="31" t="s">
        <v>144</v>
      </c>
      <c r="D95" s="80">
        <v>0.2</v>
      </c>
      <c r="E95" s="37" t="s">
        <v>221</v>
      </c>
      <c r="G95" s="150" t="s">
        <v>501</v>
      </c>
      <c r="H95" s="150" t="s">
        <v>505</v>
      </c>
      <c r="I95" s="287" t="str">
        <f>IF(ISERROR(FIND(",", J95)), "Constant", "InputFromFile")</f>
        <v>Constant</v>
      </c>
      <c r="J95" s="223" t="str">
        <f>IF(J94, "0", D95 &amp; "")</f>
        <v>0.2</v>
      </c>
      <c r="K95" s="234" t="str">
        <f>E95 &amp; ""</f>
        <v>Calculated based on 5 years of local met data, 1987-1991.</v>
      </c>
    </row>
    <row r="98" spans="1:11" ht="15.75" x14ac:dyDescent="0.25">
      <c r="A98" s="4" t="str">
        <f>"TRIM.FaTE Plant Parameters for Deciduous Forests in " &amp; pretty_scenario_name</f>
        <v>TRIM.FaTE Plant Parameters for Deciduous Forests in Foundries_SS</v>
      </c>
    </row>
    <row r="99" spans="1:11" x14ac:dyDescent="0.2">
      <c r="B99" s="192" t="s">
        <v>135</v>
      </c>
      <c r="C99" s="192" t="s">
        <v>81</v>
      </c>
      <c r="D99" s="193" t="s">
        <v>136</v>
      </c>
      <c r="E99" s="192" t="s">
        <v>137</v>
      </c>
    </row>
    <row r="100" spans="1:11" ht="51" x14ac:dyDescent="0.2">
      <c r="B100" s="242" t="s">
        <v>506</v>
      </c>
      <c r="C100" s="243" t="s">
        <v>507</v>
      </c>
      <c r="D100" s="424" t="s">
        <v>844</v>
      </c>
      <c r="E100" s="36" t="s">
        <v>570</v>
      </c>
      <c r="G100" s="241"/>
      <c r="H100" s="241"/>
      <c r="I100" s="241"/>
      <c r="J100" s="223" t="str">
        <f>SUBSTITUTE(D100, "\", "\\")</f>
        <v xml:space="preserve">C:\\RTR\\Foundries\\TRIM\\AllowExchange_Foundries.csv  </v>
      </c>
      <c r="K100" s="234"/>
    </row>
    <row r="101" spans="1:11" ht="38.25" x14ac:dyDescent="0.2">
      <c r="B101" s="42" t="s">
        <v>216</v>
      </c>
      <c r="C101" s="243" t="s">
        <v>508</v>
      </c>
      <c r="D101" s="82" t="s">
        <v>512</v>
      </c>
      <c r="E101" s="36" t="s">
        <v>515</v>
      </c>
      <c r="G101" s="150" t="s">
        <v>514</v>
      </c>
      <c r="H101" s="150" t="s">
        <v>502</v>
      </c>
      <c r="I101" s="287" t="str">
        <f>IF(ISERROR(FIND(",", J101)), "Constant", "InputFromFile")</f>
        <v>InputFromFile</v>
      </c>
      <c r="J101" s="223" t="str">
        <f>IF(LEN(J100)&lt;1, D101 &amp; "", J100 &amp; ", " &amp; D101 &amp; ", " &amp; quoted(","))</f>
        <v>C:\\RTR\\Foundries\\TRIM\\AllowExchange_Foundries.csv  , AllowExchange, ","</v>
      </c>
      <c r="K101" s="234" t="str">
        <f>TEXT(E101, ";;;@")</f>
        <v>Begins March 9 (set to 1), ends November 7 (set to 0).  Nation-wide 80th percentile.</v>
      </c>
    </row>
    <row r="102" spans="1:11" ht="38.25" x14ac:dyDescent="0.2">
      <c r="B102" s="242" t="s">
        <v>555</v>
      </c>
      <c r="C102" s="243" t="s">
        <v>508</v>
      </c>
      <c r="D102" s="88">
        <v>1</v>
      </c>
      <c r="E102" s="36"/>
      <c r="G102" s="150" t="s">
        <v>514</v>
      </c>
      <c r="H102" s="150" t="s">
        <v>554</v>
      </c>
      <c r="I102" s="287" t="str">
        <f>IF(ISERROR(FIND(",", J102)), "Constant", "InputFromFile")</f>
        <v>Constant</v>
      </c>
      <c r="J102" s="223" t="str">
        <f>D102 &amp; ""</f>
        <v>1</v>
      </c>
      <c r="K102" s="234" t="str">
        <f>TEXT(E102, ";;;@")</f>
        <v/>
      </c>
    </row>
    <row r="103" spans="1:11" ht="38.25" x14ac:dyDescent="0.2">
      <c r="B103" s="242" t="s">
        <v>556</v>
      </c>
      <c r="C103" s="243" t="s">
        <v>508</v>
      </c>
      <c r="D103" s="88">
        <v>1</v>
      </c>
      <c r="E103" s="36"/>
      <c r="G103" s="150" t="s">
        <v>514</v>
      </c>
      <c r="H103" s="150" t="s">
        <v>557</v>
      </c>
      <c r="I103" s="287" t="str">
        <f>IF(ISERROR(FIND(",", J103)), "Constant", "InputFromFile")</f>
        <v>Constant</v>
      </c>
      <c r="J103" s="223" t="str">
        <f>D103 &amp; ""</f>
        <v>1</v>
      </c>
      <c r="K103" s="234" t="str">
        <f>TEXT(E103, ";;;@")</f>
        <v/>
      </c>
    </row>
    <row r="104" spans="1:11" ht="51" x14ac:dyDescent="0.2">
      <c r="B104" s="242" t="s">
        <v>510</v>
      </c>
      <c r="C104" s="243" t="s">
        <v>507</v>
      </c>
      <c r="D104" s="424" t="s">
        <v>845</v>
      </c>
      <c r="E104" s="36" t="s">
        <v>569</v>
      </c>
      <c r="G104" s="90"/>
      <c r="H104" s="90"/>
      <c r="I104" s="90"/>
      <c r="J104" s="223" t="str">
        <f>SUBSTITUTE(D104, "\", "\\")</f>
        <v>C:\\RTR\\Foundries\\TRIM\\LitterFallRate_Foundries.csv</v>
      </c>
      <c r="K104" s="234"/>
    </row>
    <row r="105" spans="1:11" ht="38.25" x14ac:dyDescent="0.2">
      <c r="B105" s="42" t="s">
        <v>218</v>
      </c>
      <c r="C105" s="32" t="s">
        <v>219</v>
      </c>
      <c r="D105" s="82" t="s">
        <v>513</v>
      </c>
      <c r="E105" s="36" t="s">
        <v>516</v>
      </c>
      <c r="G105" s="150" t="s">
        <v>641</v>
      </c>
      <c r="H105" s="150" t="s">
        <v>504</v>
      </c>
      <c r="I105" s="287" t="str">
        <f>IF(ISERROR(FIND(",", J105)), "Constant", "InputFromFile")</f>
        <v>InputFromFile</v>
      </c>
      <c r="J105" s="223" t="str">
        <f>IF(LEN(J104)&lt;1, D105 &amp; "", J104 &amp; ", " &amp; D105 &amp; ", " &amp; quoted(","))</f>
        <v>C:\\RTR\\Foundries\\TRIM\\LitterFallRate_Foundries.csv, LitterfallRate, ","</v>
      </c>
      <c r="K105" s="234" t="str">
        <f>TEXT(E105, ";;;@")</f>
        <v>Begins November 7, ends December 6; rate = 0.15/day during this time (value assumes 99 percent of leaves fall in 30 days).</v>
      </c>
    </row>
    <row r="106" spans="1:11" ht="38.25" x14ac:dyDescent="0.2">
      <c r="B106" s="23" t="s">
        <v>217</v>
      </c>
      <c r="C106" s="194" t="s">
        <v>509</v>
      </c>
      <c r="D106" s="80" t="b">
        <v>0</v>
      </c>
      <c r="E106" s="37" t="s">
        <v>187</v>
      </c>
      <c r="G106" s="150" t="s">
        <v>514</v>
      </c>
      <c r="H106" s="150" t="s">
        <v>503</v>
      </c>
      <c r="I106" s="287" t="str">
        <f>IF(ISERROR(FIND(",", J106)), "Constant", "InputFromFile")</f>
        <v>Constant</v>
      </c>
      <c r="J106" s="223" t="str">
        <f>"" &amp; D106</f>
        <v>FALSE</v>
      </c>
      <c r="K106" s="234" t="str">
        <f>TEXT(E106, ";;;@")</f>
        <v>Professional judgment.</v>
      </c>
    </row>
    <row r="107" spans="1:11" ht="25.5" x14ac:dyDescent="0.2">
      <c r="B107" s="37" t="s">
        <v>220</v>
      </c>
      <c r="C107" s="31" t="s">
        <v>144</v>
      </c>
      <c r="D107" s="82">
        <v>0.2</v>
      </c>
      <c r="E107" s="37" t="s">
        <v>221</v>
      </c>
      <c r="G107" s="150" t="s">
        <v>514</v>
      </c>
      <c r="H107" s="150" t="s">
        <v>505</v>
      </c>
      <c r="I107" s="287" t="str">
        <f>IF(ISERROR(FIND(",", J107)), "Constant", "InputFromFile")</f>
        <v>Constant</v>
      </c>
      <c r="J107" s="223" t="str">
        <f>IF(J106, "0", D107 &amp; "")</f>
        <v>0.2</v>
      </c>
      <c r="K107" s="234" t="s">
        <v>338</v>
      </c>
    </row>
    <row r="110" spans="1:11" ht="15.75" x14ac:dyDescent="0.25">
      <c r="A110" s="4" t="str">
        <f>"TRIM.FaTE Plant Parameters for Grasses/Herbs in " &amp; pretty_scenario_name</f>
        <v>TRIM.FaTE Plant Parameters for Grasses/Herbs in Foundries_SS</v>
      </c>
    </row>
    <row r="111" spans="1:11" x14ac:dyDescent="0.2">
      <c r="B111" s="192" t="s">
        <v>135</v>
      </c>
      <c r="C111" s="192" t="s">
        <v>81</v>
      </c>
      <c r="D111" s="193" t="s">
        <v>136</v>
      </c>
      <c r="E111" s="192" t="s">
        <v>137</v>
      </c>
    </row>
    <row r="112" spans="1:11" ht="51" x14ac:dyDescent="0.2">
      <c r="B112" s="242" t="s">
        <v>506</v>
      </c>
      <c r="C112" s="243" t="s">
        <v>507</v>
      </c>
      <c r="D112" s="424" t="s">
        <v>844</v>
      </c>
      <c r="E112" s="36" t="s">
        <v>570</v>
      </c>
      <c r="G112" s="241"/>
      <c r="H112" s="241"/>
      <c r="I112" s="241"/>
      <c r="J112" s="223" t="str">
        <f>SUBSTITUTE(D112, "\", "\\")</f>
        <v xml:space="preserve">C:\\RTR\\Foundries\\TRIM\\AllowExchange_Foundries.csv  </v>
      </c>
      <c r="K112" s="234"/>
    </row>
    <row r="113" spans="1:11" ht="38.25" x14ac:dyDescent="0.2">
      <c r="B113" s="42" t="s">
        <v>216</v>
      </c>
      <c r="C113" s="243" t="s">
        <v>508</v>
      </c>
      <c r="D113" s="82" t="s">
        <v>512</v>
      </c>
      <c r="E113" s="36" t="s">
        <v>515</v>
      </c>
      <c r="G113" s="150" t="s">
        <v>517</v>
      </c>
      <c r="H113" s="150" t="s">
        <v>502</v>
      </c>
      <c r="I113" s="287" t="str">
        <f>IF(ISERROR(FIND(",", J113)), "Constant", "InputFromFile")</f>
        <v>InputFromFile</v>
      </c>
      <c r="J113" s="223" t="str">
        <f>IF(LEN(J112)&lt;1, D113 &amp; "", J112 &amp; ", " &amp; D113 &amp; ", " &amp; quoted(","))</f>
        <v>C:\\RTR\\Foundries\\TRIM\\AllowExchange_Foundries.csv  , AllowExchange, ","</v>
      </c>
      <c r="K113" s="234" t="str">
        <f>TEXT(E113, ";;;@")</f>
        <v>Begins March 9 (set to 1), ends November 7 (set to 0).  Nation-wide 80th percentile.</v>
      </c>
    </row>
    <row r="114" spans="1:11" ht="38.25" x14ac:dyDescent="0.2">
      <c r="B114" s="242" t="s">
        <v>555</v>
      </c>
      <c r="C114" s="243" t="s">
        <v>508</v>
      </c>
      <c r="D114" s="88">
        <v>1</v>
      </c>
      <c r="E114" s="36"/>
      <c r="G114" s="150" t="s">
        <v>517</v>
      </c>
      <c r="H114" s="150" t="s">
        <v>554</v>
      </c>
      <c r="I114" s="287" t="str">
        <f>IF(ISERROR(FIND(",", J114)), "Constant", "InputFromFile")</f>
        <v>Constant</v>
      </c>
      <c r="J114" s="223" t="str">
        <f>D114 &amp; ""</f>
        <v>1</v>
      </c>
      <c r="K114" s="234" t="str">
        <f t="shared" ref="K114:K119" si="11">TEXT(E114, ";;;@")</f>
        <v/>
      </c>
    </row>
    <row r="115" spans="1:11" ht="38.25" x14ac:dyDescent="0.2">
      <c r="B115" s="242" t="s">
        <v>556</v>
      </c>
      <c r="C115" s="243" t="s">
        <v>508</v>
      </c>
      <c r="D115" s="88">
        <v>1</v>
      </c>
      <c r="E115" s="36"/>
      <c r="G115" s="150" t="s">
        <v>517</v>
      </c>
      <c r="H115" s="150" t="s">
        <v>557</v>
      </c>
      <c r="I115" s="287" t="str">
        <f>IF(ISERROR(FIND(",", J115)), "Constant", "InputFromFile")</f>
        <v>Constant</v>
      </c>
      <c r="J115" s="223" t="str">
        <f>D115 &amp; ""</f>
        <v>1</v>
      </c>
      <c r="K115" s="234" t="str">
        <f t="shared" si="11"/>
        <v/>
      </c>
    </row>
    <row r="116" spans="1:11" ht="51" x14ac:dyDescent="0.2">
      <c r="B116" s="242" t="s">
        <v>510</v>
      </c>
      <c r="C116" s="243" t="s">
        <v>507</v>
      </c>
      <c r="D116" s="424" t="s">
        <v>845</v>
      </c>
      <c r="E116" s="36" t="s">
        <v>569</v>
      </c>
      <c r="G116" s="90"/>
      <c r="H116" s="90"/>
      <c r="I116" s="90"/>
      <c r="J116" s="223" t="str">
        <f>SUBSTITUTE(D116, "\", "\\")</f>
        <v>C:\\RTR\\Foundries\\TRIM\\LitterFallRate_Foundries.csv</v>
      </c>
      <c r="K116" s="234"/>
    </row>
    <row r="117" spans="1:11" ht="38.25" x14ac:dyDescent="0.2">
      <c r="B117" s="42" t="s">
        <v>218</v>
      </c>
      <c r="C117" s="32" t="s">
        <v>219</v>
      </c>
      <c r="D117" s="82" t="s">
        <v>513</v>
      </c>
      <c r="E117" s="36" t="s">
        <v>516</v>
      </c>
      <c r="G117" s="150" t="s">
        <v>640</v>
      </c>
      <c r="H117" s="150" t="s">
        <v>504</v>
      </c>
      <c r="I117" s="287" t="str">
        <f>IF(ISERROR(FIND(",", J117)), "Constant", "InputFromFile")</f>
        <v>InputFromFile</v>
      </c>
      <c r="J117" s="223" t="str">
        <f>IF(LEN(J116)&lt;1, D117 &amp; "", J116 &amp; ", " &amp; D117 &amp; ", " &amp; quoted(","))</f>
        <v>C:\\RTR\\Foundries\\TRIM\\LitterFallRate_Foundries.csv, LitterfallRate, ","</v>
      </c>
      <c r="K117" s="234" t="str">
        <f t="shared" si="11"/>
        <v>Begins November 7, ends December 6; rate = 0.15/day during this time (value assumes 99 percent of leaves fall in 30 days).</v>
      </c>
    </row>
    <row r="118" spans="1:11" ht="38.25" x14ac:dyDescent="0.2">
      <c r="B118" s="23" t="s">
        <v>217</v>
      </c>
      <c r="C118" s="194" t="s">
        <v>509</v>
      </c>
      <c r="D118" s="80" t="b">
        <v>0</v>
      </c>
      <c r="E118" s="37" t="s">
        <v>187</v>
      </c>
      <c r="G118" s="150" t="s">
        <v>517</v>
      </c>
      <c r="H118" s="150" t="s">
        <v>503</v>
      </c>
      <c r="I118" s="287" t="str">
        <f>IF(ISERROR(FIND(",", J118)), "Constant", "InputFromFile")</f>
        <v>Constant</v>
      </c>
      <c r="J118" s="223" t="str">
        <f>"" &amp; D118</f>
        <v>FALSE</v>
      </c>
      <c r="K118" s="234" t="str">
        <f t="shared" si="11"/>
        <v>Professional judgment.</v>
      </c>
    </row>
    <row r="119" spans="1:11" ht="25.5" x14ac:dyDescent="0.2">
      <c r="B119" s="37" t="s">
        <v>220</v>
      </c>
      <c r="C119" s="31" t="s">
        <v>144</v>
      </c>
      <c r="D119" s="82">
        <v>0.2</v>
      </c>
      <c r="E119" s="37" t="s">
        <v>221</v>
      </c>
      <c r="G119" s="150" t="s">
        <v>517</v>
      </c>
      <c r="H119" s="150" t="s">
        <v>505</v>
      </c>
      <c r="I119" s="287" t="str">
        <f>IF(ISERROR(FIND(",", J119)), "Constant", "InputFromFile")</f>
        <v>Constant</v>
      </c>
      <c r="J119" s="223" t="str">
        <f>IF(J118, "0", D119 &amp; "")</f>
        <v>0.2</v>
      </c>
      <c r="K119" s="234" t="str">
        <f t="shared" si="11"/>
        <v>Calculated based on 5 years of local met data, 1987-1991.</v>
      </c>
    </row>
    <row r="121" spans="1:11" ht="15.75" x14ac:dyDescent="0.25">
      <c r="A121" s="4" t="str">
        <f>"TRIM.FaTE Plant Parameters for Agriculture - General in " &amp; pretty_scenario_name</f>
        <v>TRIM.FaTE Plant Parameters for Agriculture - General in Foundries_SS</v>
      </c>
    </row>
    <row r="122" spans="1:11" x14ac:dyDescent="0.2">
      <c r="B122" s="273" t="s">
        <v>135</v>
      </c>
      <c r="C122" s="273" t="s">
        <v>81</v>
      </c>
      <c r="D122" s="274" t="s">
        <v>136</v>
      </c>
      <c r="E122" s="273" t="s">
        <v>137</v>
      </c>
    </row>
    <row r="123" spans="1:11" ht="51" x14ac:dyDescent="0.2">
      <c r="B123" s="242" t="s">
        <v>506</v>
      </c>
      <c r="C123" s="243" t="s">
        <v>507</v>
      </c>
      <c r="D123" s="424" t="s">
        <v>844</v>
      </c>
      <c r="E123" s="36" t="s">
        <v>570</v>
      </c>
      <c r="G123" s="241"/>
      <c r="H123" s="241"/>
      <c r="I123" s="241"/>
      <c r="J123" s="223" t="str">
        <f>SUBSTITUTE(D123, "\", "\\")</f>
        <v xml:space="preserve">C:\\RTR\\Foundries\\TRIM\\AllowExchange_Foundries.csv  </v>
      </c>
      <c r="K123" s="234"/>
    </row>
    <row r="124" spans="1:11" ht="38.25" x14ac:dyDescent="0.2">
      <c r="B124" s="42" t="s">
        <v>216</v>
      </c>
      <c r="C124" s="243" t="s">
        <v>508</v>
      </c>
      <c r="D124" s="82" t="s">
        <v>512</v>
      </c>
      <c r="E124" s="36" t="s">
        <v>515</v>
      </c>
      <c r="G124" s="150" t="s">
        <v>631</v>
      </c>
      <c r="H124" s="150" t="s">
        <v>502</v>
      </c>
      <c r="I124" s="287" t="str">
        <f>IF(ISERROR(FIND(",", J124)), "Constant", "InputFromFile")</f>
        <v>InputFromFile</v>
      </c>
      <c r="J124" s="223" t="str">
        <f>IF(LEN(J123)&lt;1, D124 &amp; "", J123 &amp; ", " &amp; D124 &amp; ", " &amp; quoted(","))</f>
        <v>C:\\RTR\\Foundries\\TRIM\\AllowExchange_Foundries.csv  , AllowExchange, ","</v>
      </c>
      <c r="K124" s="234" t="str">
        <f>TEXT(E124, ";;;@")</f>
        <v>Begins March 9 (set to 1), ends November 7 (set to 0).  Nation-wide 80th percentile.</v>
      </c>
    </row>
    <row r="125" spans="1:11" ht="38.25" x14ac:dyDescent="0.2">
      <c r="B125" s="242" t="s">
        <v>555</v>
      </c>
      <c r="C125" s="243" t="s">
        <v>508</v>
      </c>
      <c r="D125" s="88">
        <v>1</v>
      </c>
      <c r="E125" s="36"/>
      <c r="G125" s="150" t="s">
        <v>631</v>
      </c>
      <c r="H125" s="150" t="s">
        <v>554</v>
      </c>
      <c r="I125" s="287" t="str">
        <f>IF(ISERROR(FIND(",", J125)), "Constant", "InputFromFile")</f>
        <v>Constant</v>
      </c>
      <c r="J125" s="223" t="str">
        <f>D125 &amp; ""</f>
        <v>1</v>
      </c>
      <c r="K125" s="234" t="str">
        <f>TEXT(E125, ";;;@")</f>
        <v/>
      </c>
    </row>
    <row r="126" spans="1:11" ht="38.25" x14ac:dyDescent="0.2">
      <c r="B126" s="242" t="s">
        <v>556</v>
      </c>
      <c r="C126" s="243" t="s">
        <v>508</v>
      </c>
      <c r="D126" s="88">
        <v>1</v>
      </c>
      <c r="E126" s="36"/>
      <c r="G126" s="150" t="s">
        <v>631</v>
      </c>
      <c r="H126" s="150" t="s">
        <v>557</v>
      </c>
      <c r="I126" s="287" t="str">
        <f>IF(ISERROR(FIND(",", J126)), "Constant", "InputFromFile")</f>
        <v>Constant</v>
      </c>
      <c r="J126" s="223" t="str">
        <f>D126 &amp; ""</f>
        <v>1</v>
      </c>
      <c r="K126" s="234" t="str">
        <f>TEXT(E126, ";;;@")</f>
        <v/>
      </c>
    </row>
    <row r="127" spans="1:11" ht="51" x14ac:dyDescent="0.2">
      <c r="B127" s="242" t="s">
        <v>510</v>
      </c>
      <c r="C127" s="243" t="s">
        <v>507</v>
      </c>
      <c r="D127" s="424" t="s">
        <v>845</v>
      </c>
      <c r="E127" s="36" t="s">
        <v>569</v>
      </c>
      <c r="G127" s="90"/>
      <c r="H127" s="90"/>
      <c r="I127" s="90"/>
      <c r="J127" s="223" t="str">
        <f>SUBSTITUTE(D127, "\", "\\")</f>
        <v>C:\\RTR\\Foundries\\TRIM\\LitterFallRate_Foundries.csv</v>
      </c>
      <c r="K127" s="234"/>
    </row>
    <row r="128" spans="1:11" ht="38.25" x14ac:dyDescent="0.2">
      <c r="B128" s="42" t="s">
        <v>218</v>
      </c>
      <c r="C128" s="32" t="s">
        <v>219</v>
      </c>
      <c r="D128" s="82" t="s">
        <v>513</v>
      </c>
      <c r="E128" s="36" t="s">
        <v>516</v>
      </c>
      <c r="G128" s="150" t="s">
        <v>631</v>
      </c>
      <c r="H128" s="150" t="s">
        <v>504</v>
      </c>
      <c r="I128" s="287" t="str">
        <f>IF(ISERROR(FIND(",", J128)), "Constant", "InputFromFile")</f>
        <v>InputFromFile</v>
      </c>
      <c r="J128" s="223" t="str">
        <f>IF(LEN(J127)&lt;1, D128 &amp; "", J127 &amp; ", " &amp; D128 &amp; ", " &amp; quoted(","))</f>
        <v>C:\\RTR\\Foundries\\TRIM\\LitterFallRate_Foundries.csv, LitterfallRate, ","</v>
      </c>
      <c r="K128" s="234" t="str">
        <f>TEXT(E128, ";;;@")</f>
        <v>Begins November 7, ends December 6; rate = 0.15/day during this time (value assumes 99 percent of leaves fall in 30 days).</v>
      </c>
    </row>
    <row r="129" spans="1:11" ht="38.25" x14ac:dyDescent="0.2">
      <c r="B129" s="23" t="s">
        <v>217</v>
      </c>
      <c r="C129" s="194" t="s">
        <v>509</v>
      </c>
      <c r="D129" s="80" t="b">
        <v>0</v>
      </c>
      <c r="E129" s="37" t="s">
        <v>187</v>
      </c>
      <c r="G129" s="150" t="s">
        <v>631</v>
      </c>
      <c r="H129" s="150" t="s">
        <v>503</v>
      </c>
      <c r="I129" s="287" t="str">
        <f>IF(ISERROR(FIND(",", J129)), "Constant", "InputFromFile")</f>
        <v>Constant</v>
      </c>
      <c r="J129" s="223" t="str">
        <f>"" &amp; D129</f>
        <v>FALSE</v>
      </c>
      <c r="K129" s="234" t="str">
        <f>TEXT(E129, ";;;@")</f>
        <v>Professional judgment.</v>
      </c>
    </row>
    <row r="130" spans="1:11" ht="25.5" x14ac:dyDescent="0.2">
      <c r="B130" s="37" t="s">
        <v>220</v>
      </c>
      <c r="C130" s="31" t="s">
        <v>144</v>
      </c>
      <c r="D130" s="82">
        <v>0.2</v>
      </c>
      <c r="E130" s="37" t="s">
        <v>221</v>
      </c>
      <c r="G130" s="150" t="s">
        <v>631</v>
      </c>
      <c r="H130" s="150" t="s">
        <v>505</v>
      </c>
      <c r="I130" s="287" t="str">
        <f>IF(ISERROR(FIND(",", J130)), "Constant", "InputFromFile")</f>
        <v>Constant</v>
      </c>
      <c r="J130" s="223" t="str">
        <f>IF(J129, "0", D130 &amp; "")</f>
        <v>0.2</v>
      </c>
      <c r="K130" s="234" t="str">
        <f>TEXT(E130, ";;;@")</f>
        <v>Calculated based on 5 years of local met data, 1987-1991.</v>
      </c>
    </row>
    <row r="131" spans="1:11" x14ac:dyDescent="0.2">
      <c r="B131" s="276"/>
      <c r="C131" s="277"/>
      <c r="D131" s="108"/>
      <c r="E131" s="276"/>
      <c r="G131" s="241"/>
      <c r="H131" s="241"/>
      <c r="I131" s="241"/>
      <c r="K131" s="197"/>
    </row>
    <row r="132" spans="1:11" ht="15.75" x14ac:dyDescent="0.25">
      <c r="A132" s="4" t="str">
        <f>"Additional TRIM.FaTE Parameters for " &amp; pretty_scenario_name</f>
        <v>Additional TRIM.FaTE Parameters for Foundries_SS</v>
      </c>
    </row>
    <row r="133" spans="1:11" x14ac:dyDescent="0.2">
      <c r="A133" s="94" t="s">
        <v>639</v>
      </c>
    </row>
    <row r="134" spans="1:11" x14ac:dyDescent="0.2">
      <c r="B134" s="232" t="s">
        <v>135</v>
      </c>
      <c r="C134" s="232" t="s">
        <v>81</v>
      </c>
      <c r="D134" s="233" t="s">
        <v>136</v>
      </c>
      <c r="E134" s="232" t="s">
        <v>137</v>
      </c>
    </row>
    <row r="135" spans="1:11" ht="25.5" x14ac:dyDescent="0.2">
      <c r="B135" s="37" t="s">
        <v>548</v>
      </c>
      <c r="C135" s="31" t="s">
        <v>144</v>
      </c>
      <c r="D135" s="83" t="s">
        <v>644</v>
      </c>
      <c r="E135" s="35" t="s">
        <v>553</v>
      </c>
      <c r="G135" s="150" t="s">
        <v>552</v>
      </c>
      <c r="H135" s="150" t="s">
        <v>550</v>
      </c>
      <c r="I135" s="150" t="s">
        <v>646</v>
      </c>
      <c r="J135" s="223" t="str">
        <f>"" &amp; D135</f>
        <v>1-0.448</v>
      </c>
      <c r="K135" s="234" t="str">
        <f>E135 &amp; ""</f>
        <v>From previous screening setup workbook. Source unknown.</v>
      </c>
    </row>
    <row r="136" spans="1:11" ht="25.5" x14ac:dyDescent="0.2">
      <c r="B136" s="37" t="s">
        <v>549</v>
      </c>
      <c r="C136" s="31" t="s">
        <v>144</v>
      </c>
      <c r="D136" s="83" t="s">
        <v>645</v>
      </c>
      <c r="E136" s="35" t="s">
        <v>553</v>
      </c>
      <c r="G136" s="150" t="s">
        <v>552</v>
      </c>
      <c r="H136" s="150" t="s">
        <v>551</v>
      </c>
      <c r="I136" s="150" t="s">
        <v>646</v>
      </c>
      <c r="J136" s="223" t="str">
        <f>"" &amp; D136</f>
        <v>1-0.391</v>
      </c>
      <c r="K136" s="234" t="str">
        <f>E136 &amp; ""</f>
        <v>From previous screening setup workbook. Source unknown.</v>
      </c>
    </row>
    <row r="137" spans="1:11" x14ac:dyDescent="0.2">
      <c r="B137" s="35" t="s">
        <v>647</v>
      </c>
      <c r="C137" s="31" t="s">
        <v>144</v>
      </c>
      <c r="D137" s="83">
        <v>0</v>
      </c>
      <c r="E137" s="35" t="s">
        <v>649</v>
      </c>
      <c r="G137" s="150" t="s">
        <v>651</v>
      </c>
      <c r="H137" s="150" t="s">
        <v>652</v>
      </c>
      <c r="I137" s="150" t="s">
        <v>646</v>
      </c>
      <c r="J137" s="223" t="str">
        <f>"" &amp; D137</f>
        <v>0</v>
      </c>
      <c r="K137" s="234" t="str">
        <f>E137 &amp; ""</f>
        <v>Source parcel erosion disabled</v>
      </c>
    </row>
    <row r="138" spans="1:11" x14ac:dyDescent="0.2">
      <c r="B138" s="35" t="s">
        <v>648</v>
      </c>
      <c r="C138" s="31" t="s">
        <v>144</v>
      </c>
      <c r="D138" s="83">
        <v>0</v>
      </c>
      <c r="E138" s="35" t="s">
        <v>650</v>
      </c>
      <c r="G138" s="150" t="s">
        <v>651</v>
      </c>
      <c r="H138" s="150" t="s">
        <v>463</v>
      </c>
      <c r="I138" s="150" t="s">
        <v>646</v>
      </c>
      <c r="J138" s="223" t="str">
        <f>"" &amp; D138</f>
        <v>0</v>
      </c>
      <c r="K138" s="234" t="str">
        <f>E138 &amp; ""</f>
        <v>Source parcel runoff disabled</v>
      </c>
    </row>
  </sheetData>
  <dataConsolidate/>
  <mergeCells count="5">
    <mergeCell ref="B83:E83"/>
    <mergeCell ref="B2:E2"/>
    <mergeCell ref="L2:O2"/>
    <mergeCell ref="F2:K2"/>
    <mergeCell ref="B3:E3"/>
  </mergeCells>
  <dataValidations count="18">
    <dataValidation type="date" allowBlank="1" showInputMessage="1" showErrorMessage="1" errorTitle="Invalid date" error="Enter an HTML evaluation date between the start date and end date of the scenario." promptTitle="HTML evaluation point" prompt="This is the date and time at which the properties and transfer factors will be computed for the HTML output files. It must be some time between the start and end dates." sqref="D14" xr:uid="{00000000-0002-0000-0300-000000000000}">
      <formula1>D12</formula1>
      <formula2>D13</formula2>
    </dataValidation>
    <dataValidation type="date" operator="greaterThan" allowBlank="1" showInputMessage="1" showErrorMessage="1" errorTitle="Invalid date" error="Enter a date sometime after the start date." promptTitle="End date/time" prompt="Enter the date and time the model will stop. This must be some time after the start time." sqref="D13" xr:uid="{00000000-0002-0000-0300-000001000000}">
      <formula1>D12</formula1>
    </dataValidation>
    <dataValidation type="custom" allowBlank="1" showInputMessage="1" showErrorMessage="1" promptTitle="Data value/column" prompt="Enter a number (if constant), or data file column name (if time-varying)." sqref="D117 D93 D89:D91 D105 D101:D103 D113:D115 D128 D124:D126" xr:uid="{00000000-0002-0000-0300-000002000000}">
      <formula1>IF(ISBLANK(D88), ISNUMBER(D89), ISTEXT(D89))</formula1>
    </dataValidation>
    <dataValidation type="custom" showInputMessage="1" showErrorMessage="1" errorTitle="Invalid entry" error="Please enter a number." promptTitle="Wet dep intercep. frac." prompt="Enter the wet deposition interception fraction (if not caluclated). If set to caluclate, this will be ignored." sqref="D95 D107 D119 D130:D131" xr:uid="{00000000-0002-0000-0300-000003000000}">
      <formula1>IF(NOT(D94), ISNUMBER(D95), TRUE)</formula1>
    </dataValidation>
    <dataValidation type="list" allowBlank="1" showInputMessage="1" showErrorMessage="1" errorTitle="Invalid entry" error="Please select either TRUE or FALSE" promptTitle="Calcutate interception frac." prompt="Select whether TRIM.FaTE should calculate the WET deposition interception fraction for this type of plant coverage. If FALSE, user must enter a number below." sqref="D94 D129 D118 D106" xr:uid="{00000000-0002-0000-0300-000004000000}">
      <formula1>"TRUE,FALSE"</formula1>
    </dataValidation>
    <dataValidation allowBlank="1" showInputMessage="1" showErrorMessage="1" promptTitle="Data file" prompt="Enter a valid path to a time-varying CSV data file. This must be in TRIM.FaTE format, using commas as delimiters. Leave blank to use a constant value." sqref="D88 D100 D116 D123 D92 D104 D112 D127" xr:uid="{00000000-0002-0000-0300-000005000000}"/>
    <dataValidation allowBlank="1" showInputMessage="1" showErrorMessage="1" promptTitle="Column header" prompt="Enter the CSV column header (exactly as it appears in the data file) for this parameter." sqref="D48 D59:D60 D54:D57" xr:uid="{00000000-0002-0000-0300-000006000000}"/>
    <dataValidation allowBlank="1" showInputMessage="1" showErrorMessage="1" promptTitle="Reported value" prompt="This will be reported in the tables, but not directly used in the model. TRIM.FaTE will pull actual numbers from the time-varying text file." sqref="D58 D40:D45" xr:uid="{00000000-0002-0000-0300-000007000000}"/>
    <dataValidation allowBlank="1" showInputMessage="1" showErrorMessage="1" promptTitle="MetData file" prompt="Enter the path to the meteorology data file. This is the CSV file containing time-varying met data. See TRIM.FaTE user's guide for format details." sqref="D53" xr:uid="{00000000-0002-0000-0300-000008000000}"/>
    <dataValidation allowBlank="1" showInputMessage="1" showErrorMessage="1" promptTitle="Precipitation rate" prompt="This will be used in runoff/erosion calculations. Actual precipitation is read from the met data file." sqref="D49" xr:uid="{00000000-0002-0000-0300-000009000000}"/>
    <dataValidation type="decimal" allowBlank="1" showInputMessage="1" showErrorMessage="1" promptTitle="Precipitation fraction" prompt="This will be used in runoff/erosion calculations." sqref="D50:D52" xr:uid="{00000000-0002-0000-0300-00000A000000}">
      <formula1>0</formula1>
      <formula2>1</formula2>
    </dataValidation>
    <dataValidation allowBlank="1" showInputMessage="1" promptTitle="Time zone" prompt="Enter the time zone for this scenario." sqref="D15" xr:uid="{00000000-0002-0000-0300-00000B000000}"/>
    <dataValidation allowBlank="1" showInputMessage="1" promptTitle="Start date/time" prompt="Enter the date and time the model run will start." sqref="D12" xr:uid="{00000000-0002-0000-0300-00000C000000}"/>
    <dataValidation allowBlank="1" showInputMessage="1" promptTitle="Description" prompt="Enter a brief description of this scenario. This will be included in the header of all export files." sqref="D9" xr:uid="{00000000-0002-0000-0300-00000D000000}"/>
    <dataValidation allowBlank="1" showInputMessage="1" errorTitle="Invalid scenario name" error="Please enter a scenario name without spaces." promptTitle="Output directory" prompt="Specify the folder where TRIM.FaTE should save its results." sqref="D11" xr:uid="{00000000-0002-0000-0300-00000E000000}"/>
    <dataValidation allowBlank="1" showInputMessage="1" errorTitle="Invalid scenario name" error="Please enter a scenario name without spaces." promptTitle="Pretty scenario name" prompt="Enter a nice, human-readable name for this scenario." sqref="D7:D8" xr:uid="{00000000-0002-0000-0300-00000F000000}"/>
    <dataValidation type="decimal" allowBlank="1" showInputMessage="1" showErrorMessage="1" errorTitle="Invalid entry" error="Please enter a value between 0 and 1000." promptTitle="Default air height" prompt="This is the value used in the Volume Elements file, it will be over-ridden at run-time by the mixing height." sqref="D69" xr:uid="{00000000-0002-0000-0300-000010000000}">
      <formula1>0</formula1>
      <formula2>1000</formula2>
    </dataValidation>
    <dataValidation type="textLength" operator="greaterThan" showInputMessage="1" errorTitle="Invalid scenario name" error="Please enter a scenario name without spaces." promptTitle="Setup file directory" prompt="Specify the folder where exported files should be saved." sqref="D10" xr:uid="{00000000-0002-0000-0300-000011000000}">
      <formula1>3</formula1>
    </dataValidation>
  </dataValidations>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indexed="43"/>
  </sheetPr>
  <dimension ref="A1:U126"/>
  <sheetViews>
    <sheetView showGridLines="0" tabSelected="1" showWhiteSpace="0" zoomScale="70" zoomScaleNormal="70" workbookViewId="0">
      <selection activeCell="I30" sqref="I30"/>
    </sheetView>
  </sheetViews>
  <sheetFormatPr defaultColWidth="9.28515625" defaultRowHeight="12.75" x14ac:dyDescent="0.2"/>
  <cols>
    <col min="1" max="1" width="4.28515625" style="1" customWidth="1"/>
    <col min="2" max="2" width="9.28515625" style="91"/>
    <col min="3" max="3" width="11.28515625" style="1" bestFit="1" customWidth="1"/>
    <col min="4" max="4" width="11.7109375" style="1" customWidth="1"/>
    <col min="5" max="5" width="11" style="1" customWidth="1"/>
    <col min="6" max="6" width="12.28515625" style="1" customWidth="1"/>
    <col min="7" max="7" width="4.28515625" style="1" customWidth="1"/>
    <col min="8" max="8" width="27.28515625" style="1" customWidth="1"/>
    <col min="9" max="9" width="14" style="1" customWidth="1"/>
    <col min="10" max="10" width="15.7109375" style="1" bestFit="1" customWidth="1"/>
    <col min="11" max="11" width="68.28515625" style="1" bestFit="1" customWidth="1"/>
    <col min="12" max="12" width="12.28515625" style="1" customWidth="1"/>
    <col min="13" max="13" width="11.28515625" style="51" bestFit="1" customWidth="1"/>
    <col min="14" max="14" width="8.5703125" style="1" bestFit="1" customWidth="1"/>
    <col min="15" max="15" width="9.7109375" style="1" bestFit="1" customWidth="1"/>
    <col min="16" max="16" width="8.5703125" style="1" bestFit="1" customWidth="1"/>
    <col min="17" max="17" width="9.7109375" style="1" bestFit="1" customWidth="1"/>
    <col min="18" max="19" width="4.28515625" style="1" customWidth="1"/>
    <col min="20" max="20" width="21.28515625" style="1" customWidth="1"/>
    <col min="21" max="21" width="17.7109375" style="1" bestFit="1" customWidth="1"/>
    <col min="22" max="16384" width="9.28515625" style="1"/>
  </cols>
  <sheetData>
    <row r="1" spans="1:21" ht="13.5" thickBot="1" x14ac:dyDescent="0.25">
      <c r="A1" s="54" t="s">
        <v>13</v>
      </c>
      <c r="M1" s="1"/>
    </row>
    <row r="2" spans="1:21" ht="28.5" customHeight="1" thickBot="1" x14ac:dyDescent="0.25">
      <c r="B2" s="496" t="s">
        <v>791</v>
      </c>
      <c r="C2" s="497"/>
      <c r="D2" s="497"/>
      <c r="E2" s="498"/>
      <c r="F2" s="514" t="s">
        <v>232</v>
      </c>
      <c r="G2" s="502"/>
      <c r="H2" s="502"/>
      <c r="I2" s="502"/>
      <c r="J2" s="502"/>
      <c r="K2" s="503"/>
      <c r="L2" s="510" t="s">
        <v>233</v>
      </c>
      <c r="M2" s="511"/>
      <c r="N2" s="511"/>
      <c r="O2" s="512"/>
      <c r="P2" s="504" t="s">
        <v>685</v>
      </c>
      <c r="Q2" s="505"/>
      <c r="R2" s="506"/>
      <c r="S2" s="56"/>
    </row>
    <row r="3" spans="1:21" x14ac:dyDescent="0.2">
      <c r="M3" s="1"/>
    </row>
    <row r="4" spans="1:21" ht="12.75" customHeight="1" x14ac:dyDescent="0.2">
      <c r="B4" s="515" t="s">
        <v>359</v>
      </c>
      <c r="C4" s="516"/>
      <c r="D4" s="517" t="s">
        <v>836</v>
      </c>
      <c r="E4" s="517"/>
      <c r="F4" s="517"/>
      <c r="M4" s="1"/>
    </row>
    <row r="5" spans="1:21" x14ac:dyDescent="0.2">
      <c r="M5" s="1"/>
    </row>
    <row r="6" spans="1:21" ht="15.75" x14ac:dyDescent="0.25">
      <c r="B6" s="93" t="s">
        <v>262</v>
      </c>
      <c r="H6" s="4" t="s">
        <v>263</v>
      </c>
      <c r="I6" s="4"/>
      <c r="J6" s="4"/>
      <c r="M6" s="1"/>
      <c r="T6" s="4" t="s">
        <v>572</v>
      </c>
    </row>
    <row r="7" spans="1:21" s="96" customFormat="1" x14ac:dyDescent="0.2">
      <c r="B7" s="96" t="s">
        <v>268</v>
      </c>
      <c r="H7" s="96" t="s">
        <v>270</v>
      </c>
      <c r="T7" s="96" t="s">
        <v>573</v>
      </c>
    </row>
    <row r="8" spans="1:21" ht="25.5" x14ac:dyDescent="0.2">
      <c r="B8" s="513" t="s">
        <v>264</v>
      </c>
      <c r="C8" s="513" t="s">
        <v>272</v>
      </c>
      <c r="D8" s="513"/>
      <c r="E8" s="513" t="s">
        <v>273</v>
      </c>
      <c r="F8" s="513"/>
      <c r="H8" s="12" t="s">
        <v>267</v>
      </c>
      <c r="I8" s="97" t="s">
        <v>289</v>
      </c>
      <c r="J8" s="79" t="s">
        <v>282</v>
      </c>
      <c r="K8" s="79" t="s">
        <v>269</v>
      </c>
      <c r="L8" s="79" t="s">
        <v>15</v>
      </c>
      <c r="M8" s="79" t="s">
        <v>271</v>
      </c>
      <c r="N8" s="20" t="s">
        <v>274</v>
      </c>
      <c r="O8" s="20" t="s">
        <v>18</v>
      </c>
      <c r="P8" s="20" t="s">
        <v>19</v>
      </c>
      <c r="Q8" s="20" t="s">
        <v>40</v>
      </c>
      <c r="T8" s="252" t="s">
        <v>571</v>
      </c>
      <c r="U8" s="123" t="s">
        <v>658</v>
      </c>
    </row>
    <row r="9" spans="1:21" x14ac:dyDescent="0.2">
      <c r="B9" s="513"/>
      <c r="C9" s="12" t="s">
        <v>265</v>
      </c>
      <c r="D9" s="12" t="s">
        <v>266</v>
      </c>
      <c r="E9" s="440">
        <f>U10</f>
        <v>628347.20721653989</v>
      </c>
      <c r="F9" s="440">
        <f>U11</f>
        <v>4899532.3300129734</v>
      </c>
      <c r="H9" s="442" t="s">
        <v>716</v>
      </c>
      <c r="I9" s="408" t="s">
        <v>108</v>
      </c>
      <c r="J9" s="408" t="s">
        <v>26</v>
      </c>
      <c r="K9" s="443" t="s">
        <v>817</v>
      </c>
      <c r="L9" s="95">
        <f t="shared" ref="L9:L16" si="0">CountPoints(K9)</f>
        <v>6</v>
      </c>
      <c r="M9" s="331">
        <f>ComputeEnclosedArea(K9)</f>
        <v>9510336.7447571121</v>
      </c>
      <c r="N9" s="332">
        <f t="shared" ref="N9:N21" si="1">M9/1000000</f>
        <v>9.5103367447571117</v>
      </c>
      <c r="O9" s="333">
        <f t="shared" ref="O9:O21" si="2">M9/10000</f>
        <v>951.03367447571122</v>
      </c>
      <c r="P9" s="337">
        <f t="shared" ref="P9:P21" si="3">M9/4046.85642</f>
        <v>2350.0553905881129</v>
      </c>
      <c r="Q9" s="334">
        <f t="shared" ref="Q9:Q21" si="4">SQRT(M9)</f>
        <v>3083.8833870231074</v>
      </c>
      <c r="T9" s="252" t="s">
        <v>17</v>
      </c>
      <c r="U9" s="408" t="s">
        <v>716</v>
      </c>
    </row>
    <row r="10" spans="1:21" x14ac:dyDescent="0.2">
      <c r="B10" s="92" t="str">
        <f t="shared" ref="B10:B45" si="5">"p" &amp; (ROW() - ROW($B$10) + 1)</f>
        <v>p1</v>
      </c>
      <c r="C10" s="330">
        <f t="shared" ref="C10:C45" si="6">$E10-layout_offset_E</f>
        <v>-5292.7146625398891</v>
      </c>
      <c r="D10" s="330">
        <f t="shared" ref="D10:D45" si="7">$F10-layout_offset_N</f>
        <v>119.72036702651531</v>
      </c>
      <c r="E10" s="441">
        <v>623054.492554</v>
      </c>
      <c r="F10" s="441">
        <v>4899652.0503799999</v>
      </c>
      <c r="H10" s="442" t="s">
        <v>718</v>
      </c>
      <c r="I10" s="408" t="s">
        <v>285</v>
      </c>
      <c r="J10" s="408" t="s">
        <v>284</v>
      </c>
      <c r="K10" s="444" t="s">
        <v>818</v>
      </c>
      <c r="L10" s="95">
        <f t="shared" si="0"/>
        <v>4</v>
      </c>
      <c r="M10" s="331">
        <f>ComputeEnclosedArea(K10)</f>
        <v>6180161.1574881524</v>
      </c>
      <c r="N10" s="332">
        <f t="shared" si="1"/>
        <v>6.1801611574881523</v>
      </c>
      <c r="O10" s="333">
        <f t="shared" si="2"/>
        <v>618.0161157488152</v>
      </c>
      <c r="P10" s="337">
        <f t="shared" si="3"/>
        <v>1527.1510812553495</v>
      </c>
      <c r="Q10" s="334">
        <f t="shared" si="4"/>
        <v>2485.9929922443771</v>
      </c>
      <c r="T10" s="253" t="s">
        <v>603</v>
      </c>
      <c r="U10" s="329">
        <f>ComputeCentroidX(INDEX(parcel_point_lists, MATCH(U$9, parcel_names, 0)))</f>
        <v>628347.20721653989</v>
      </c>
    </row>
    <row r="11" spans="1:21" ht="12.75" customHeight="1" x14ac:dyDescent="0.2">
      <c r="B11" s="92" t="str">
        <f t="shared" si="5"/>
        <v>p2</v>
      </c>
      <c r="C11" s="330">
        <f t="shared" si="6"/>
        <v>-5071.9151145399082</v>
      </c>
      <c r="D11" s="330">
        <f t="shared" si="7"/>
        <v>-438.34663297329098</v>
      </c>
      <c r="E11" s="441">
        <v>623275.29210199998</v>
      </c>
      <c r="F11" s="441">
        <v>4899093.9833800001</v>
      </c>
      <c r="H11" s="442" t="s">
        <v>719</v>
      </c>
      <c r="I11" s="408" t="s">
        <v>109</v>
      </c>
      <c r="J11" s="408" t="s">
        <v>284</v>
      </c>
      <c r="K11" s="444" t="s">
        <v>819</v>
      </c>
      <c r="L11" s="95">
        <f t="shared" si="0"/>
        <v>3</v>
      </c>
      <c r="M11" s="331">
        <f>ComputeEnclosedArea(K11)</f>
        <v>5266085.6598947123</v>
      </c>
      <c r="N11" s="332">
        <f t="shared" si="1"/>
        <v>5.2660856598947126</v>
      </c>
      <c r="O11" s="333">
        <f t="shared" si="2"/>
        <v>526.60856598947123</v>
      </c>
      <c r="P11" s="337">
        <f t="shared" si="3"/>
        <v>1301.2781065987788</v>
      </c>
      <c r="Q11" s="334">
        <f t="shared" si="4"/>
        <v>2294.7953416143046</v>
      </c>
      <c r="T11" s="253" t="s">
        <v>604</v>
      </c>
      <c r="U11" s="329">
        <f>ComputeCentroidY(INDEX(parcel_point_lists, MATCH(U$9, parcel_names, 0)))</f>
        <v>4899532.3300129734</v>
      </c>
    </row>
    <row r="12" spans="1:21" x14ac:dyDescent="0.2">
      <c r="B12" s="92" t="str">
        <f t="shared" si="5"/>
        <v>p3</v>
      </c>
      <c r="C12" s="330">
        <f t="shared" si="6"/>
        <v>-6993.8529705399415</v>
      </c>
      <c r="D12" s="330">
        <f t="shared" si="7"/>
        <v>-1109.9546129731461</v>
      </c>
      <c r="E12" s="441">
        <v>621353.35424599994</v>
      </c>
      <c r="F12" s="441">
        <v>4898422.3754000003</v>
      </c>
      <c r="H12" s="442" t="s">
        <v>803</v>
      </c>
      <c r="I12" s="408" t="s">
        <v>286</v>
      </c>
      <c r="J12" s="408" t="s">
        <v>773</v>
      </c>
      <c r="K12" s="444" t="s">
        <v>820</v>
      </c>
      <c r="L12" s="95">
        <f t="shared" si="0"/>
        <v>6</v>
      </c>
      <c r="M12" s="331">
        <f t="shared" ref="M12:M21" si="8">ComputeEnclosedArea(K12)</f>
        <v>4813963.1433037445</v>
      </c>
      <c r="N12" s="332">
        <f t="shared" si="1"/>
        <v>4.8139631433037442</v>
      </c>
      <c r="O12" s="333">
        <f t="shared" si="2"/>
        <v>481.39631433037442</v>
      </c>
      <c r="P12" s="337">
        <f t="shared" si="3"/>
        <v>1189.5561996004158</v>
      </c>
      <c r="Q12" s="334">
        <f t="shared" si="4"/>
        <v>2194.0745528134967</v>
      </c>
      <c r="T12" s="252" t="s">
        <v>602</v>
      </c>
      <c r="U12" s="55">
        <v>80</v>
      </c>
    </row>
    <row r="13" spans="1:21" ht="13.15" customHeight="1" x14ac:dyDescent="0.2">
      <c r="B13" s="92" t="str">
        <f t="shared" si="5"/>
        <v>p4</v>
      </c>
      <c r="C13" s="330">
        <f t="shared" si="6"/>
        <v>-7712.9555465398589</v>
      </c>
      <c r="D13" s="330">
        <f t="shared" si="7"/>
        <v>-56.826532972976565</v>
      </c>
      <c r="E13" s="441">
        <v>620634.25167000003</v>
      </c>
      <c r="F13" s="441">
        <v>4899475.5034800004</v>
      </c>
      <c r="H13" s="442" t="s">
        <v>804</v>
      </c>
      <c r="I13" s="408" t="s">
        <v>287</v>
      </c>
      <c r="J13" s="408" t="s">
        <v>773</v>
      </c>
      <c r="K13" s="444" t="s">
        <v>821</v>
      </c>
      <c r="L13" s="95">
        <f t="shared" si="0"/>
        <v>8</v>
      </c>
      <c r="M13" s="331">
        <f t="shared" si="8"/>
        <v>10664823.79644721</v>
      </c>
      <c r="N13" s="332">
        <f t="shared" si="1"/>
        <v>10.664823796447211</v>
      </c>
      <c r="O13" s="333">
        <f t="shared" si="2"/>
        <v>1066.482379644721</v>
      </c>
      <c r="P13" s="337">
        <f t="shared" si="3"/>
        <v>2635.3353540640837</v>
      </c>
      <c r="Q13" s="334">
        <f t="shared" si="4"/>
        <v>3265.7041807927444</v>
      </c>
      <c r="S13" s="507" t="s">
        <v>600</v>
      </c>
      <c r="T13" s="2" t="s">
        <v>659</v>
      </c>
      <c r="U13" s="327">
        <v>0</v>
      </c>
    </row>
    <row r="14" spans="1:21" x14ac:dyDescent="0.2">
      <c r="B14" s="92" t="str">
        <f t="shared" si="5"/>
        <v>p5</v>
      </c>
      <c r="C14" s="330">
        <f t="shared" si="6"/>
        <v>-9374.6533805398503</v>
      </c>
      <c r="D14" s="330">
        <f t="shared" si="7"/>
        <v>-333.26290297321975</v>
      </c>
      <c r="E14" s="441">
        <v>618972.55383600004</v>
      </c>
      <c r="F14" s="441">
        <v>4899199.0671100002</v>
      </c>
      <c r="H14" s="442" t="s">
        <v>805</v>
      </c>
      <c r="I14" s="408" t="s">
        <v>285</v>
      </c>
      <c r="J14" s="408" t="s">
        <v>284</v>
      </c>
      <c r="K14" s="444" t="s">
        <v>822</v>
      </c>
      <c r="L14" s="95">
        <f t="shared" si="0"/>
        <v>7</v>
      </c>
      <c r="M14" s="331">
        <f t="shared" si="8"/>
        <v>8331779.6721657179</v>
      </c>
      <c r="N14" s="332">
        <f t="shared" si="1"/>
        <v>8.3317796721657178</v>
      </c>
      <c r="O14" s="333">
        <f t="shared" si="2"/>
        <v>833.1779672165718</v>
      </c>
      <c r="P14" s="337">
        <f t="shared" si="3"/>
        <v>2058.8275954118772</v>
      </c>
      <c r="Q14" s="334">
        <f t="shared" si="4"/>
        <v>2886.4822313961536</v>
      </c>
      <c r="S14" s="508"/>
      <c r="T14" s="2" t="s">
        <v>667</v>
      </c>
      <c r="U14" s="327">
        <v>0</v>
      </c>
    </row>
    <row r="15" spans="1:21" x14ac:dyDescent="0.2">
      <c r="B15" s="92" t="str">
        <f t="shared" si="5"/>
        <v>p6</v>
      </c>
      <c r="C15" s="330">
        <f t="shared" si="6"/>
        <v>-8276.7767015398713</v>
      </c>
      <c r="D15" s="330">
        <f t="shared" si="7"/>
        <v>2639.0426370268688</v>
      </c>
      <c r="E15" s="441">
        <v>620070.43051500001</v>
      </c>
      <c r="F15" s="441">
        <v>4902171.3726500003</v>
      </c>
      <c r="H15" s="442" t="s">
        <v>806</v>
      </c>
      <c r="I15" s="408" t="s">
        <v>285</v>
      </c>
      <c r="J15" s="408" t="s">
        <v>26</v>
      </c>
      <c r="K15" s="444" t="s">
        <v>823</v>
      </c>
      <c r="L15" s="95">
        <f t="shared" si="0"/>
        <v>6</v>
      </c>
      <c r="M15" s="331">
        <f t="shared" si="8"/>
        <v>27646137.495466657</v>
      </c>
      <c r="N15" s="332">
        <f t="shared" si="1"/>
        <v>27.646137495466657</v>
      </c>
      <c r="O15" s="333">
        <f t="shared" si="2"/>
        <v>2764.6137495466655</v>
      </c>
      <c r="P15" s="337">
        <f t="shared" si="3"/>
        <v>6831.5093559624374</v>
      </c>
      <c r="Q15" s="334">
        <f t="shared" si="4"/>
        <v>5257.959442166386</v>
      </c>
      <c r="S15" s="508"/>
      <c r="T15" s="2" t="s">
        <v>660</v>
      </c>
      <c r="U15" s="327">
        <v>0</v>
      </c>
    </row>
    <row r="16" spans="1:21" x14ac:dyDescent="0.2">
      <c r="B16" s="92" t="str">
        <f t="shared" si="5"/>
        <v>p7</v>
      </c>
      <c r="C16" s="330">
        <f t="shared" si="6"/>
        <v>-7260.8276755398838</v>
      </c>
      <c r="D16" s="330">
        <f t="shared" si="7"/>
        <v>3313.6323570264503</v>
      </c>
      <c r="E16" s="441">
        <v>621086.379541</v>
      </c>
      <c r="F16" s="441">
        <v>4902845.9623699998</v>
      </c>
      <c r="H16" s="442" t="s">
        <v>807</v>
      </c>
      <c r="I16" s="408" t="s">
        <v>285</v>
      </c>
      <c r="J16" s="408" t="s">
        <v>26</v>
      </c>
      <c r="K16" s="444" t="s">
        <v>824</v>
      </c>
      <c r="L16" s="95">
        <f t="shared" si="0"/>
        <v>6</v>
      </c>
      <c r="M16" s="331">
        <f t="shared" si="8"/>
        <v>14733478.925060868</v>
      </c>
      <c r="N16" s="332">
        <f t="shared" si="1"/>
        <v>14.733478925060869</v>
      </c>
      <c r="O16" s="333">
        <f t="shared" si="2"/>
        <v>1473.3478925060867</v>
      </c>
      <c r="P16" s="337">
        <f t="shared" si="3"/>
        <v>3640.7219322747478</v>
      </c>
      <c r="Q16" s="334">
        <f t="shared" si="4"/>
        <v>3838.4214105620122</v>
      </c>
      <c r="S16" s="508"/>
      <c r="T16" s="2" t="s">
        <v>661</v>
      </c>
      <c r="U16" s="327">
        <v>0</v>
      </c>
    </row>
    <row r="17" spans="2:21" x14ac:dyDescent="0.2">
      <c r="B17" s="92" t="str">
        <f t="shared" si="5"/>
        <v>p8</v>
      </c>
      <c r="C17" s="330">
        <f t="shared" si="6"/>
        <v>-6428.1572415399132</v>
      </c>
      <c r="D17" s="330">
        <f t="shared" si="7"/>
        <v>2775.6738370265812</v>
      </c>
      <c r="E17" s="441">
        <v>621919.04997499997</v>
      </c>
      <c r="F17" s="441">
        <v>4902308.00385</v>
      </c>
      <c r="H17" s="442" t="s">
        <v>808</v>
      </c>
      <c r="I17" s="408" t="s">
        <v>285</v>
      </c>
      <c r="J17" s="408" t="s">
        <v>26</v>
      </c>
      <c r="K17" s="444" t="s">
        <v>825</v>
      </c>
      <c r="L17" s="95">
        <f>CountPoints(K17)</f>
        <v>3</v>
      </c>
      <c r="M17" s="331">
        <f t="shared" si="8"/>
        <v>3632465.2791630328</v>
      </c>
      <c r="N17" s="332">
        <f t="shared" si="1"/>
        <v>3.632465279163033</v>
      </c>
      <c r="O17" s="333">
        <f t="shared" si="2"/>
        <v>363.24652791630325</v>
      </c>
      <c r="P17" s="337">
        <f t="shared" si="3"/>
        <v>897.60171900613977</v>
      </c>
      <c r="Q17" s="334">
        <f t="shared" si="4"/>
        <v>1905.9027465122749</v>
      </c>
      <c r="S17" s="508"/>
      <c r="T17" s="2" t="s">
        <v>574</v>
      </c>
      <c r="U17" s="327">
        <v>0</v>
      </c>
    </row>
    <row r="18" spans="2:21" x14ac:dyDescent="0.2">
      <c r="B18" s="92" t="str">
        <f t="shared" si="5"/>
        <v>p9</v>
      </c>
      <c r="C18" s="330">
        <f t="shared" si="6"/>
        <v>-4387.6383925399277</v>
      </c>
      <c r="D18" s="330">
        <f t="shared" si="7"/>
        <v>-712.56023297365755</v>
      </c>
      <c r="E18" s="441">
        <v>623959.56882399996</v>
      </c>
      <c r="F18" s="441">
        <v>4898819.7697799997</v>
      </c>
      <c r="H18" s="442" t="s">
        <v>809</v>
      </c>
      <c r="I18" s="408" t="s">
        <v>285</v>
      </c>
      <c r="J18" s="408" t="s">
        <v>284</v>
      </c>
      <c r="K18" s="444" t="s">
        <v>826</v>
      </c>
      <c r="L18" s="95">
        <f>CountPoints(K18)</f>
        <v>4</v>
      </c>
      <c r="M18" s="331">
        <f>ComputeEnclosedArea(K18)</f>
        <v>8461424.0238580704</v>
      </c>
      <c r="N18" s="332">
        <f>M18/1000000</f>
        <v>8.4614240238580702</v>
      </c>
      <c r="O18" s="333">
        <f>M18/10000</f>
        <v>846.14240238580703</v>
      </c>
      <c r="P18" s="337">
        <f>M18/4046.85642</f>
        <v>2090.863412410878</v>
      </c>
      <c r="Q18" s="334">
        <f>SQRT(M18)</f>
        <v>2908.8526988931685</v>
      </c>
      <c r="S18" s="508"/>
      <c r="T18" s="2" t="s">
        <v>575</v>
      </c>
      <c r="U18" s="327">
        <v>0</v>
      </c>
    </row>
    <row r="19" spans="2:21" x14ac:dyDescent="0.2">
      <c r="B19" s="92" t="str">
        <f t="shared" si="5"/>
        <v>p10</v>
      </c>
      <c r="C19" s="330">
        <f t="shared" si="6"/>
        <v>-4589.8132595398929</v>
      </c>
      <c r="D19" s="330">
        <f t="shared" si="7"/>
        <v>185.93474702630192</v>
      </c>
      <c r="E19" s="441">
        <v>623757.39395699999</v>
      </c>
      <c r="F19" s="441">
        <v>4899718.2647599997</v>
      </c>
      <c r="H19" s="442" t="s">
        <v>810</v>
      </c>
      <c r="I19" s="408" t="s">
        <v>285</v>
      </c>
      <c r="J19" s="408" t="s">
        <v>284</v>
      </c>
      <c r="K19" s="444" t="s">
        <v>827</v>
      </c>
      <c r="L19" s="95">
        <f>CountPoints(K19)</f>
        <v>7</v>
      </c>
      <c r="M19" s="331">
        <f t="shared" si="8"/>
        <v>21284418.040311679</v>
      </c>
      <c r="N19" s="332">
        <f t="shared" si="1"/>
        <v>21.284418040311678</v>
      </c>
      <c r="O19" s="333">
        <f t="shared" si="2"/>
        <v>2128.441804031168</v>
      </c>
      <c r="P19" s="337">
        <f t="shared" si="3"/>
        <v>5259.4942422769918</v>
      </c>
      <c r="Q19" s="334">
        <f t="shared" si="4"/>
        <v>4613.5038788660058</v>
      </c>
      <c r="S19" s="508"/>
      <c r="T19" s="2" t="s">
        <v>576</v>
      </c>
      <c r="U19" s="327">
        <v>0</v>
      </c>
    </row>
    <row r="20" spans="2:21" x14ac:dyDescent="0.2">
      <c r="B20" s="92" t="str">
        <f t="shared" si="5"/>
        <v>p11</v>
      </c>
      <c r="C20" s="330">
        <f t="shared" si="6"/>
        <v>-3533.4781065399293</v>
      </c>
      <c r="D20" s="330">
        <f t="shared" si="7"/>
        <v>903.12230702675879</v>
      </c>
      <c r="E20" s="441">
        <v>624813.72910999996</v>
      </c>
      <c r="F20" s="441">
        <v>4900435.4523200002</v>
      </c>
      <c r="H20" s="442" t="s">
        <v>811</v>
      </c>
      <c r="I20" s="408" t="s">
        <v>285</v>
      </c>
      <c r="J20" s="408" t="s">
        <v>284</v>
      </c>
      <c r="K20" s="444" t="s">
        <v>828</v>
      </c>
      <c r="L20" s="95">
        <f>CountPoints(K20)</f>
        <v>5</v>
      </c>
      <c r="M20" s="331">
        <f t="shared" si="8"/>
        <v>20620168.451205432</v>
      </c>
      <c r="N20" s="332">
        <f t="shared" si="1"/>
        <v>20.620168451205434</v>
      </c>
      <c r="O20" s="333">
        <f t="shared" si="2"/>
        <v>2062.0168451205432</v>
      </c>
      <c r="P20" s="337">
        <f t="shared" si="3"/>
        <v>5095.3545940741415</v>
      </c>
      <c r="Q20" s="334">
        <f t="shared" si="4"/>
        <v>4540.9435639749399</v>
      </c>
      <c r="S20" s="508"/>
      <c r="T20" s="2" t="s">
        <v>577</v>
      </c>
      <c r="U20" s="327">
        <v>0</v>
      </c>
    </row>
    <row r="21" spans="2:21" x14ac:dyDescent="0.2">
      <c r="B21" s="92" t="str">
        <f t="shared" si="5"/>
        <v>p12</v>
      </c>
      <c r="C21" s="330">
        <f t="shared" si="6"/>
        <v>-1095.1405855398625</v>
      </c>
      <c r="D21" s="330">
        <f t="shared" si="7"/>
        <v>1421.5821870267391</v>
      </c>
      <c r="E21" s="441">
        <v>627252.06663100002</v>
      </c>
      <c r="F21" s="441">
        <v>4900953.9122000001</v>
      </c>
      <c r="H21" s="442" t="s">
        <v>717</v>
      </c>
      <c r="I21" s="408" t="s">
        <v>285</v>
      </c>
      <c r="J21" s="408" t="s">
        <v>26</v>
      </c>
      <c r="K21" s="444" t="s">
        <v>829</v>
      </c>
      <c r="L21" s="95">
        <f>CountPoints(K21)</f>
        <v>4</v>
      </c>
      <c r="M21" s="331">
        <f t="shared" si="8"/>
        <v>483133.14199053124</v>
      </c>
      <c r="N21" s="332">
        <f t="shared" si="1"/>
        <v>0.48313314199053126</v>
      </c>
      <c r="O21" s="333">
        <f t="shared" si="2"/>
        <v>48.313314199053124</v>
      </c>
      <c r="P21" s="337">
        <f t="shared" si="3"/>
        <v>119.38479942180189</v>
      </c>
      <c r="Q21" s="334">
        <f t="shared" si="4"/>
        <v>695.07779563911492</v>
      </c>
      <c r="S21" s="508"/>
      <c r="T21" s="2" t="s">
        <v>578</v>
      </c>
      <c r="U21" s="327">
        <v>0</v>
      </c>
    </row>
    <row r="22" spans="2:21" x14ac:dyDescent="0.2">
      <c r="B22" s="92" t="str">
        <f t="shared" si="5"/>
        <v>p13</v>
      </c>
      <c r="C22" s="330">
        <f t="shared" si="6"/>
        <v>-609.74781053990591</v>
      </c>
      <c r="D22" s="330">
        <f t="shared" si="7"/>
        <v>795.41429702658206</v>
      </c>
      <c r="E22" s="441">
        <v>627737.45940599998</v>
      </c>
      <c r="F22" s="441">
        <v>4900327.74431</v>
      </c>
      <c r="H22" s="442" t="s">
        <v>720</v>
      </c>
      <c r="I22" s="408" t="s">
        <v>285</v>
      </c>
      <c r="J22" s="408" t="s">
        <v>26</v>
      </c>
      <c r="K22" s="444" t="s">
        <v>830</v>
      </c>
      <c r="L22" s="95">
        <f t="shared" ref="L22:L27" si="9">CountPoints(K22)</f>
        <v>4</v>
      </c>
      <c r="M22" s="331">
        <f t="shared" ref="M22:M27" si="10">ComputeEnclosedArea(K22)</f>
        <v>6779524.0775474794</v>
      </c>
      <c r="N22" s="332">
        <f t="shared" ref="N22:N27" si="11">M22/1000000</f>
        <v>6.779524077547479</v>
      </c>
      <c r="O22" s="333">
        <f t="shared" ref="O22:O27" si="12">M22/10000</f>
        <v>677.95240775474792</v>
      </c>
      <c r="P22" s="337">
        <f t="shared" ref="P22:P27" si="13">M22/4046.85642</f>
        <v>1675.256884341718</v>
      </c>
      <c r="Q22" s="334">
        <f t="shared" ref="Q22:Q27" si="14">SQRT(M22)</f>
        <v>2603.7519231961173</v>
      </c>
      <c r="S22" s="508"/>
      <c r="T22" s="2" t="s">
        <v>579</v>
      </c>
      <c r="U22" s="327">
        <v>0</v>
      </c>
    </row>
    <row r="23" spans="2:21" x14ac:dyDescent="0.2">
      <c r="B23" s="92" t="str">
        <f t="shared" si="5"/>
        <v>p14</v>
      </c>
      <c r="C23" s="330">
        <f t="shared" si="6"/>
        <v>-2335.5436615399085</v>
      </c>
      <c r="D23" s="330">
        <f t="shared" si="7"/>
        <v>-406.84077297337353</v>
      </c>
      <c r="E23" s="441">
        <v>626011.66355499998</v>
      </c>
      <c r="F23" s="441">
        <v>4899125.48924</v>
      </c>
      <c r="H23" s="442" t="s">
        <v>812</v>
      </c>
      <c r="I23" s="408" t="s">
        <v>285</v>
      </c>
      <c r="J23" s="408" t="s">
        <v>26</v>
      </c>
      <c r="K23" s="444" t="s">
        <v>831</v>
      </c>
      <c r="L23" s="95">
        <f t="shared" si="9"/>
        <v>4</v>
      </c>
      <c r="M23" s="331">
        <f t="shared" si="10"/>
        <v>21263896.650649726</v>
      </c>
      <c r="N23" s="332">
        <f t="shared" si="11"/>
        <v>21.263896650649727</v>
      </c>
      <c r="O23" s="333">
        <f t="shared" si="12"/>
        <v>2126.3896650649726</v>
      </c>
      <c r="P23" s="337">
        <f t="shared" si="13"/>
        <v>5254.4232964533312</v>
      </c>
      <c r="Q23" s="334">
        <f t="shared" si="14"/>
        <v>4611.2792856917404</v>
      </c>
      <c r="S23" s="508"/>
      <c r="T23" s="2" t="s">
        <v>580</v>
      </c>
      <c r="U23" s="327">
        <v>0</v>
      </c>
    </row>
    <row r="24" spans="2:21" x14ac:dyDescent="0.2">
      <c r="B24" s="92" t="str">
        <f t="shared" si="5"/>
        <v>p15</v>
      </c>
      <c r="C24" s="330">
        <f t="shared" si="6"/>
        <v>-9895.8182445398998</v>
      </c>
      <c r="D24" s="330">
        <f t="shared" si="7"/>
        <v>-3328.6961329737678</v>
      </c>
      <c r="E24" s="441">
        <v>618451.38897199999</v>
      </c>
      <c r="F24" s="441">
        <v>4896203.6338799996</v>
      </c>
      <c r="H24" s="442" t="s">
        <v>813</v>
      </c>
      <c r="I24" s="408" t="s">
        <v>285</v>
      </c>
      <c r="J24" s="408" t="s">
        <v>26</v>
      </c>
      <c r="K24" s="444" t="s">
        <v>832</v>
      </c>
      <c r="L24" s="95">
        <f t="shared" si="9"/>
        <v>4</v>
      </c>
      <c r="M24" s="331">
        <f t="shared" si="10"/>
        <v>11239629.609998185</v>
      </c>
      <c r="N24" s="332">
        <f t="shared" si="11"/>
        <v>11.239629609998186</v>
      </c>
      <c r="O24" s="333">
        <f t="shared" si="12"/>
        <v>1123.9629609998185</v>
      </c>
      <c r="P24" s="337">
        <f t="shared" si="13"/>
        <v>2777.3729639753774</v>
      </c>
      <c r="Q24" s="334">
        <f t="shared" si="14"/>
        <v>3352.5556833553392</v>
      </c>
      <c r="S24" s="508"/>
      <c r="T24" s="2" t="s">
        <v>581</v>
      </c>
      <c r="U24" s="327">
        <v>0</v>
      </c>
    </row>
    <row r="25" spans="2:21" x14ac:dyDescent="0.2">
      <c r="B25" s="92" t="str">
        <f t="shared" si="5"/>
        <v>p16</v>
      </c>
      <c r="C25" s="330">
        <f t="shared" si="6"/>
        <v>-14848.936657539918</v>
      </c>
      <c r="D25" s="330">
        <f t="shared" si="7"/>
        <v>-1939.9289329731837</v>
      </c>
      <c r="E25" s="441">
        <v>613498.27055899997</v>
      </c>
      <c r="F25" s="441">
        <v>4897592.4010800002</v>
      </c>
      <c r="H25" s="442" t="s">
        <v>814</v>
      </c>
      <c r="I25" s="408" t="s">
        <v>285</v>
      </c>
      <c r="J25" s="408" t="s">
        <v>284</v>
      </c>
      <c r="K25" s="444" t="s">
        <v>833</v>
      </c>
      <c r="L25" s="95">
        <f t="shared" si="9"/>
        <v>7</v>
      </c>
      <c r="M25" s="331">
        <f t="shared" si="10"/>
        <v>10634288.0921451</v>
      </c>
      <c r="N25" s="332">
        <f t="shared" si="11"/>
        <v>10.6342880921451</v>
      </c>
      <c r="O25" s="333">
        <f t="shared" si="12"/>
        <v>1063.42880921451</v>
      </c>
      <c r="P25" s="337">
        <f t="shared" si="13"/>
        <v>2627.7898171996671</v>
      </c>
      <c r="Q25" s="334">
        <f t="shared" si="14"/>
        <v>3261.0256196701521</v>
      </c>
      <c r="S25" s="508"/>
      <c r="T25" s="2" t="s">
        <v>582</v>
      </c>
      <c r="U25" s="327">
        <v>0</v>
      </c>
    </row>
    <row r="26" spans="2:21" x14ac:dyDescent="0.2">
      <c r="B26" s="92" t="str">
        <f t="shared" si="5"/>
        <v>p17</v>
      </c>
      <c r="C26" s="330">
        <f t="shared" si="6"/>
        <v>-13856.743503539939</v>
      </c>
      <c r="D26" s="330">
        <f t="shared" si="7"/>
        <v>1596.3846470266581</v>
      </c>
      <c r="E26" s="441">
        <v>614490.46371299995</v>
      </c>
      <c r="F26" s="441">
        <v>4901128.7146600001</v>
      </c>
      <c r="H26" s="442" t="s">
        <v>815</v>
      </c>
      <c r="I26" s="408" t="s">
        <v>285</v>
      </c>
      <c r="J26" s="408" t="s">
        <v>284</v>
      </c>
      <c r="K26" s="444" t="s">
        <v>834</v>
      </c>
      <c r="L26" s="95">
        <f t="shared" si="9"/>
        <v>5</v>
      </c>
      <c r="M26" s="331">
        <f t="shared" si="10"/>
        <v>30825008.327948619</v>
      </c>
      <c r="N26" s="332">
        <f t="shared" si="11"/>
        <v>30.82500832794862</v>
      </c>
      <c r="O26" s="333">
        <f t="shared" si="12"/>
        <v>3082.5008327948617</v>
      </c>
      <c r="P26" s="337">
        <f t="shared" si="13"/>
        <v>7617.0254461235909</v>
      </c>
      <c r="Q26" s="334">
        <f t="shared" si="14"/>
        <v>5552.0274069882453</v>
      </c>
      <c r="S26" s="508"/>
      <c r="T26" s="2" t="s">
        <v>662</v>
      </c>
      <c r="U26" s="327">
        <v>0</v>
      </c>
    </row>
    <row r="27" spans="2:21" x14ac:dyDescent="0.2">
      <c r="B27" s="92" t="str">
        <f t="shared" si="5"/>
        <v>p18</v>
      </c>
      <c r="C27" s="330">
        <f t="shared" si="6"/>
        <v>-6526.8338725399226</v>
      </c>
      <c r="D27" s="330">
        <f t="shared" si="7"/>
        <v>3926.2356970263645</v>
      </c>
      <c r="E27" s="441">
        <v>621820.37334399996</v>
      </c>
      <c r="F27" s="441">
        <v>4903458.5657099998</v>
      </c>
      <c r="H27" s="442" t="s">
        <v>816</v>
      </c>
      <c r="I27" s="408" t="s">
        <v>285</v>
      </c>
      <c r="J27" s="408" t="s">
        <v>284</v>
      </c>
      <c r="K27" s="444" t="s">
        <v>835</v>
      </c>
      <c r="L27" s="95">
        <f t="shared" si="9"/>
        <v>4</v>
      </c>
      <c r="M27" s="331">
        <f t="shared" si="10"/>
        <v>16662585.706417479</v>
      </c>
      <c r="N27" s="332">
        <f t="shared" si="11"/>
        <v>16.662585706417477</v>
      </c>
      <c r="O27" s="333">
        <f t="shared" si="12"/>
        <v>1666.2585706417478</v>
      </c>
      <c r="P27" s="337">
        <f t="shared" si="13"/>
        <v>4117.4145996554726</v>
      </c>
      <c r="Q27" s="334">
        <f t="shared" si="14"/>
        <v>4081.9830605255429</v>
      </c>
      <c r="S27" s="508"/>
      <c r="T27" s="2" t="s">
        <v>663</v>
      </c>
      <c r="U27" s="327">
        <v>0</v>
      </c>
    </row>
    <row r="28" spans="2:21" ht="15" x14ac:dyDescent="0.25">
      <c r="B28" s="92" t="str">
        <f t="shared" si="5"/>
        <v>p19</v>
      </c>
      <c r="C28" s="330">
        <f t="shared" si="6"/>
        <v>-10719.993478539865</v>
      </c>
      <c r="D28" s="330">
        <f t="shared" si="7"/>
        <v>4488.5856070267037</v>
      </c>
      <c r="E28" s="441">
        <v>617627.21373800002</v>
      </c>
      <c r="F28" s="441">
        <v>4904020.9156200001</v>
      </c>
      <c r="K28" s="412"/>
      <c r="S28" s="508"/>
      <c r="T28" s="2" t="s">
        <v>664</v>
      </c>
      <c r="U28" s="327">
        <v>0</v>
      </c>
    </row>
    <row r="29" spans="2:21" ht="15" x14ac:dyDescent="0.25">
      <c r="B29" s="92" t="str">
        <f t="shared" si="5"/>
        <v>p20</v>
      </c>
      <c r="C29" s="330">
        <f t="shared" si="6"/>
        <v>-7345.8092295399401</v>
      </c>
      <c r="D29" s="330">
        <f t="shared" si="7"/>
        <v>5884.7080970266834</v>
      </c>
      <c r="E29" s="441">
        <v>621001.39798699995</v>
      </c>
      <c r="F29" s="441">
        <v>4905417.0381100001</v>
      </c>
      <c r="K29" s="412"/>
      <c r="S29" s="508"/>
      <c r="T29" s="2" t="s">
        <v>668</v>
      </c>
      <c r="U29" s="327">
        <v>0</v>
      </c>
    </row>
    <row r="30" spans="2:21" ht="15" x14ac:dyDescent="0.25">
      <c r="B30" s="92" t="str">
        <f t="shared" si="5"/>
        <v>p21</v>
      </c>
      <c r="C30" s="330">
        <f t="shared" si="6"/>
        <v>-5664.7079355398891</v>
      </c>
      <c r="D30" s="330">
        <f t="shared" si="7"/>
        <v>-2438.8300829734653</v>
      </c>
      <c r="E30" s="441">
        <v>622682.499281</v>
      </c>
      <c r="F30" s="441">
        <v>4897093.4999299999</v>
      </c>
      <c r="K30" s="412"/>
      <c r="S30" s="508"/>
      <c r="T30" s="2" t="s">
        <v>665</v>
      </c>
      <c r="U30" s="327">
        <v>0</v>
      </c>
    </row>
    <row r="31" spans="2:21" ht="15" x14ac:dyDescent="0.25">
      <c r="B31" s="92" t="str">
        <f t="shared" si="5"/>
        <v>p22</v>
      </c>
      <c r="C31" s="330">
        <f t="shared" si="6"/>
        <v>-3599.80708253989</v>
      </c>
      <c r="D31" s="330">
        <f t="shared" si="7"/>
        <v>3180.5890470268205</v>
      </c>
      <c r="E31" s="441">
        <v>624747.400134</v>
      </c>
      <c r="F31" s="441">
        <v>4902712.9190600002</v>
      </c>
      <c r="K31" s="412"/>
      <c r="S31" s="508"/>
      <c r="T31" s="2" t="s">
        <v>669</v>
      </c>
      <c r="U31" s="327">
        <v>0</v>
      </c>
    </row>
    <row r="32" spans="2:21" ht="15" x14ac:dyDescent="0.25">
      <c r="B32" s="92" t="str">
        <f t="shared" si="5"/>
        <v>p23</v>
      </c>
      <c r="C32" s="330">
        <f t="shared" si="6"/>
        <v>-214.31205453991424</v>
      </c>
      <c r="D32" s="330">
        <f t="shared" si="7"/>
        <v>-2238.1363929733634</v>
      </c>
      <c r="E32" s="441">
        <v>628132.89516199997</v>
      </c>
      <c r="F32" s="441">
        <v>4897294.19362</v>
      </c>
      <c r="K32" s="412"/>
      <c r="S32" s="508"/>
      <c r="T32" s="2" t="s">
        <v>666</v>
      </c>
      <c r="U32" s="327">
        <v>0</v>
      </c>
    </row>
    <row r="33" spans="2:21" ht="15" x14ac:dyDescent="0.25">
      <c r="B33" s="92" t="str">
        <f t="shared" si="5"/>
        <v>p24</v>
      </c>
      <c r="C33" s="330">
        <f t="shared" si="6"/>
        <v>-15703.863313539885</v>
      </c>
      <c r="D33" s="330">
        <f t="shared" si="7"/>
        <v>4163.2995070265606</v>
      </c>
      <c r="E33" s="441">
        <v>612643.343903</v>
      </c>
      <c r="F33" s="441">
        <v>4903695.62952</v>
      </c>
      <c r="K33" s="412"/>
      <c r="S33" s="508"/>
      <c r="T33" s="2" t="s">
        <v>583</v>
      </c>
      <c r="U33" s="327">
        <v>0</v>
      </c>
    </row>
    <row r="34" spans="2:21" ht="15" x14ac:dyDescent="0.25">
      <c r="B34" s="92" t="str">
        <f t="shared" si="5"/>
        <v>p25</v>
      </c>
      <c r="C34" s="330">
        <f t="shared" si="6"/>
        <v>-8607.1236995399231</v>
      </c>
      <c r="D34" s="330">
        <f t="shared" si="7"/>
        <v>8255.4237770270556</v>
      </c>
      <c r="E34" s="441">
        <v>619740.08351699996</v>
      </c>
      <c r="F34" s="441">
        <v>4907787.7537900005</v>
      </c>
      <c r="K34" s="412"/>
      <c r="S34" s="508"/>
      <c r="T34" s="2" t="s">
        <v>584</v>
      </c>
      <c r="U34" s="327">
        <v>0</v>
      </c>
    </row>
    <row r="35" spans="2:21" ht="15" x14ac:dyDescent="0.25">
      <c r="B35" s="92" t="str">
        <f t="shared" si="5"/>
        <v>p26</v>
      </c>
      <c r="C35" s="330">
        <f t="shared" si="6"/>
        <v>-1144.3950395399006</v>
      </c>
      <c r="D35" s="330">
        <f t="shared" si="7"/>
        <v>5899.1680670268834</v>
      </c>
      <c r="E35" s="441">
        <v>627202.81217699999</v>
      </c>
      <c r="F35" s="441">
        <v>4905431.4980800003</v>
      </c>
      <c r="K35" s="412"/>
      <c r="S35" s="508"/>
      <c r="T35" s="2" t="s">
        <v>585</v>
      </c>
      <c r="U35" s="327">
        <v>0</v>
      </c>
    </row>
    <row r="36" spans="2:21" ht="15" x14ac:dyDescent="0.25">
      <c r="B36" s="92" t="str">
        <f t="shared" si="5"/>
        <v>p27</v>
      </c>
      <c r="C36" s="330">
        <f t="shared" si="6"/>
        <v>-2951.3329155398533</v>
      </c>
      <c r="D36" s="330">
        <f t="shared" si="7"/>
        <v>8965.6724270265549</v>
      </c>
      <c r="E36" s="441">
        <v>625395.87430100003</v>
      </c>
      <c r="F36" s="441">
        <v>4908498.00244</v>
      </c>
      <c r="K36" s="412"/>
      <c r="S36" s="508"/>
      <c r="T36" s="2" t="s">
        <v>586</v>
      </c>
      <c r="U36" s="327">
        <v>0</v>
      </c>
    </row>
    <row r="37" spans="2:21" ht="15" x14ac:dyDescent="0.25">
      <c r="B37" s="92" t="str">
        <f t="shared" si="5"/>
        <v>p28</v>
      </c>
      <c r="C37" s="330">
        <f t="shared" si="6"/>
        <v>4459.6027964601526</v>
      </c>
      <c r="D37" s="330">
        <f t="shared" si="7"/>
        <v>3128.168387026526</v>
      </c>
      <c r="E37" s="441">
        <v>632806.81001300004</v>
      </c>
      <c r="F37" s="441">
        <v>4902660.4983999999</v>
      </c>
      <c r="K37" s="412"/>
      <c r="S37" s="508"/>
      <c r="T37" s="2" t="s">
        <v>587</v>
      </c>
      <c r="U37" s="327">
        <v>0</v>
      </c>
    </row>
    <row r="38" spans="2:21" ht="15" x14ac:dyDescent="0.25">
      <c r="B38" s="92" t="str">
        <f t="shared" si="5"/>
        <v>p29</v>
      </c>
      <c r="C38" s="330">
        <f t="shared" si="6"/>
        <v>2151.8358364601154</v>
      </c>
      <c r="D38" s="330">
        <f t="shared" si="7"/>
        <v>552.5165170263499</v>
      </c>
      <c r="E38" s="441">
        <v>630499.043053</v>
      </c>
      <c r="F38" s="441">
        <v>4900084.8465299997</v>
      </c>
      <c r="K38" s="412"/>
      <c r="S38" s="508"/>
      <c r="T38" s="2" t="s">
        <v>588</v>
      </c>
      <c r="U38" s="327">
        <v>0</v>
      </c>
    </row>
    <row r="39" spans="2:21" ht="15" x14ac:dyDescent="0.25">
      <c r="B39" s="92" t="str">
        <f t="shared" si="5"/>
        <v>p30</v>
      </c>
      <c r="C39" s="330">
        <f t="shared" si="6"/>
        <v>794.94241546012927</v>
      </c>
      <c r="D39" s="330">
        <f t="shared" si="7"/>
        <v>1968.1508970269933</v>
      </c>
      <c r="E39" s="441">
        <v>629142.14963200002</v>
      </c>
      <c r="F39" s="441">
        <v>4901500.4809100004</v>
      </c>
      <c r="K39" s="412"/>
      <c r="S39" s="508"/>
      <c r="T39" s="2" t="s">
        <v>589</v>
      </c>
      <c r="U39" s="327">
        <v>0</v>
      </c>
    </row>
    <row r="40" spans="2:21" ht="15" x14ac:dyDescent="0.25">
      <c r="B40" s="92" t="str">
        <f t="shared" si="5"/>
        <v>p31</v>
      </c>
      <c r="C40" s="330">
        <f t="shared" si="6"/>
        <v>1080.6408004601253</v>
      </c>
      <c r="D40" s="330">
        <f t="shared" si="7"/>
        <v>3586.2812270270661</v>
      </c>
      <c r="E40" s="441">
        <v>629427.84801700001</v>
      </c>
      <c r="F40" s="441">
        <v>4903118.6112400005</v>
      </c>
      <c r="K40" s="412"/>
      <c r="S40" s="508"/>
      <c r="T40" s="2" t="s">
        <v>590</v>
      </c>
      <c r="U40" s="327">
        <v>0</v>
      </c>
    </row>
    <row r="41" spans="2:21" ht="15" x14ac:dyDescent="0.25">
      <c r="B41" s="92" t="str">
        <f t="shared" si="5"/>
        <v>p32</v>
      </c>
      <c r="C41" s="330">
        <f t="shared" si="6"/>
        <v>696.17040846007876</v>
      </c>
      <c r="D41" s="330">
        <f t="shared" si="7"/>
        <v>6796.1710070269182</v>
      </c>
      <c r="E41" s="441">
        <v>629043.37762499996</v>
      </c>
      <c r="F41" s="441">
        <v>4906328.5010200003</v>
      </c>
      <c r="K41" s="412"/>
      <c r="S41" s="508"/>
      <c r="T41" s="2" t="s">
        <v>591</v>
      </c>
      <c r="U41" s="327">
        <v>0</v>
      </c>
    </row>
    <row r="42" spans="2:21" ht="15" x14ac:dyDescent="0.25">
      <c r="B42" s="92" t="str">
        <f t="shared" si="5"/>
        <v>p33</v>
      </c>
      <c r="C42" s="330">
        <f t="shared" si="6"/>
        <v>4710.8669114600634</v>
      </c>
      <c r="D42" s="330">
        <f t="shared" si="7"/>
        <v>-1155.1941029736772</v>
      </c>
      <c r="E42" s="441">
        <v>633058.07412799995</v>
      </c>
      <c r="F42" s="441">
        <v>4898377.1359099997</v>
      </c>
      <c r="K42" s="412"/>
      <c r="S42" s="508"/>
      <c r="T42" s="2" t="s">
        <v>592</v>
      </c>
      <c r="U42" s="327">
        <v>0</v>
      </c>
    </row>
    <row r="43" spans="2:21" ht="15" x14ac:dyDescent="0.25">
      <c r="B43" s="92" t="str">
        <f t="shared" si="5"/>
        <v>p34</v>
      </c>
      <c r="C43" s="330">
        <f t="shared" si="6"/>
        <v>-4610.7418265398592</v>
      </c>
      <c r="D43" s="330">
        <f t="shared" si="7"/>
        <v>-6549.4347229730338</v>
      </c>
      <c r="E43" s="441">
        <v>623736.46539000003</v>
      </c>
      <c r="F43" s="441">
        <v>4892982.8952900004</v>
      </c>
      <c r="K43" s="412"/>
      <c r="S43" s="508"/>
      <c r="T43" s="2" t="s">
        <v>593</v>
      </c>
      <c r="U43" s="327">
        <v>0</v>
      </c>
    </row>
    <row r="44" spans="2:21" ht="15" x14ac:dyDescent="0.25">
      <c r="B44" s="92" t="str">
        <f t="shared" si="5"/>
        <v>p35</v>
      </c>
      <c r="C44" s="330">
        <f t="shared" si="6"/>
        <v>2723.9845704601612</v>
      </c>
      <c r="D44" s="330">
        <f t="shared" si="7"/>
        <v>-3885.8308629738167</v>
      </c>
      <c r="E44" s="441">
        <v>631071.19178700005</v>
      </c>
      <c r="F44" s="441">
        <v>4895646.4991499996</v>
      </c>
      <c r="K44" s="412"/>
      <c r="S44" s="508"/>
      <c r="T44" s="2" t="s">
        <v>594</v>
      </c>
      <c r="U44" s="327">
        <v>0</v>
      </c>
    </row>
    <row r="45" spans="2:21" ht="15" x14ac:dyDescent="0.25">
      <c r="B45" s="92" t="str">
        <f t="shared" si="5"/>
        <v>p36</v>
      </c>
      <c r="C45" s="330">
        <f t="shared" si="6"/>
        <v>-13391.379912539851</v>
      </c>
      <c r="D45" s="330">
        <f t="shared" si="7"/>
        <v>-5986.0878929737955</v>
      </c>
      <c r="E45" s="441">
        <v>614955.82730400003</v>
      </c>
      <c r="F45" s="441">
        <v>4893546.2421199996</v>
      </c>
      <c r="K45" s="412"/>
      <c r="S45" s="508"/>
      <c r="T45" s="2" t="s">
        <v>595</v>
      </c>
      <c r="U45" s="327">
        <v>0</v>
      </c>
    </row>
    <row r="46" spans="2:21" ht="15" x14ac:dyDescent="0.25">
      <c r="K46" s="412"/>
      <c r="S46" s="508"/>
      <c r="T46" s="2" t="s">
        <v>596</v>
      </c>
      <c r="U46" s="327">
        <v>0</v>
      </c>
    </row>
    <row r="47" spans="2:21" ht="15" x14ac:dyDescent="0.25">
      <c r="K47" s="412"/>
      <c r="S47" s="508"/>
      <c r="T47" s="2" t="s">
        <v>597</v>
      </c>
      <c r="U47" s="327">
        <v>0</v>
      </c>
    </row>
    <row r="48" spans="2:21" ht="15" x14ac:dyDescent="0.25">
      <c r="K48" s="412"/>
      <c r="S48" s="508"/>
      <c r="T48" s="2" t="s">
        <v>598</v>
      </c>
      <c r="U48" s="327">
        <v>0</v>
      </c>
    </row>
    <row r="49" spans="11:21" ht="15" x14ac:dyDescent="0.25">
      <c r="K49" s="412"/>
      <c r="S49" s="509"/>
      <c r="T49" s="2" t="s">
        <v>599</v>
      </c>
      <c r="U49" s="327">
        <v>0</v>
      </c>
    </row>
    <row r="50" spans="11:21" ht="15" x14ac:dyDescent="0.25">
      <c r="K50" s="412"/>
    </row>
    <row r="51" spans="11:21" ht="15" x14ac:dyDescent="0.25">
      <c r="K51" s="412"/>
    </row>
    <row r="52" spans="11:21" ht="15" x14ac:dyDescent="0.25">
      <c r="K52" s="412"/>
    </row>
    <row r="53" spans="11:21" ht="15" x14ac:dyDescent="0.25">
      <c r="K53" s="412"/>
    </row>
    <row r="54" spans="11:21" ht="15" x14ac:dyDescent="0.25">
      <c r="K54" s="412"/>
    </row>
    <row r="55" spans="11:21" ht="15" x14ac:dyDescent="0.25">
      <c r="K55" s="412"/>
    </row>
    <row r="56" spans="11:21" ht="15" x14ac:dyDescent="0.25">
      <c r="K56" s="412"/>
    </row>
    <row r="57" spans="11:21" x14ac:dyDescent="0.2">
      <c r="K57" s="363"/>
    </row>
    <row r="126" spans="1:1" x14ac:dyDescent="0.2">
      <c r="A126" s="363"/>
    </row>
  </sheetData>
  <dataConsolidate/>
  <mergeCells count="10">
    <mergeCell ref="S13:S49"/>
    <mergeCell ref="L2:O2"/>
    <mergeCell ref="C8:D8"/>
    <mergeCell ref="E8:F8"/>
    <mergeCell ref="B8:B9"/>
    <mergeCell ref="B2:E2"/>
    <mergeCell ref="F2:K2"/>
    <mergeCell ref="B4:C4"/>
    <mergeCell ref="D4:F4"/>
    <mergeCell ref="P2:R2"/>
  </mergeCells>
  <phoneticPr fontId="5" type="noConversion"/>
  <dataValidations xWindow="715" yWindow="515" count="10">
    <dataValidation allowBlank="1" showInputMessage="1" promptTitle="Coordinate system" prompt="Enter a note about the coordinate system of these points (UTM zone, ellipsoid) to provide information when importing into TRIM." sqref="D4:F4" xr:uid="{00000000-0002-0000-0400-000000000000}"/>
    <dataValidation type="list" allowBlank="1" showInputMessage="1" showErrorMessage="1" errorTitle="Invalid selection" error="Please select one of the air parcels defined on the left." promptTitle="Source location" prompt="Select the air parcel where this source is located. The stack will be placed at the centroid of this parcel." sqref="U9" xr:uid="{00000000-0002-0000-0400-000001000000}">
      <formula1>air_parcels</formula1>
    </dataValidation>
    <dataValidation type="custom" allowBlank="1" showInputMessage="1" showErrorMessage="1" errorTitle="Invalid entry" error="Please enter a unique name." promptTitle="Source name" prompt="Enter a name for this emissions source. It must be unique, and not already listed in the TRIM.FaTE library." sqref="U8" xr:uid="{00000000-0002-0000-0400-000002000000}">
      <formula1>IF(COUNTIF(source_names, U8)&gt;1, FALSE, TRUE)</formula1>
    </dataValidation>
    <dataValidation type="decimal" operator="greaterThan" allowBlank="1" showInputMessage="1" showErrorMessage="1" errorTitle="Invalid entry" error="Please enter a number greater than zero." promptTitle="Stack elevation" prompt="Enter the stack height/elevation in meters." sqref="U12" xr:uid="{00000000-0002-0000-0400-000003000000}">
      <formula1>0</formula1>
    </dataValidation>
    <dataValidation type="decimal" operator="greaterThanOrEqual" allowBlank="1" showInputMessage="1" showErrorMessage="1" errorTitle="Invalid entry" error="Enter a number greater than zero, or leave blank." promptTitle="Emission rate" prompt="Enter the emission rate for this chemical (in grams per day)." sqref="U13:U49" xr:uid="{00000000-0002-0000-0400-000004000000}">
      <formula1>0</formula1>
    </dataValidation>
    <dataValidation allowBlank="1" showInputMessage="1" showErrorMessage="1" promptTitle="Parcel vertices" prompt="Enter the points (by name) which form the border of this parcel. They must be in order, either clockwise or counter-clockwise, around the perimiter." sqref="K9:K1048576" xr:uid="{00000000-0002-0000-0400-000005000000}"/>
    <dataValidation type="list" allowBlank="1" showInputMessage="1" showErrorMessage="1" promptTitle="Parcel category" prompt="Select whether this parcel will have land/water surface compartments, air compartments, or both." sqref="I9:I1048576" xr:uid="{00000000-0002-0000-0400-000006000000}">
      <formula1>parcel_category_choices</formula1>
    </dataValidation>
    <dataValidation type="custom" allowBlank="1" showInputMessage="1" showErrorMessage="1" errorTitle="Invalid parcel name" error="Please enter a unique parcel name (without spaces)." promptTitle="Parcel name" prompt="Enter a name for this parcel. This should not contain spaces, and must be unique." sqref="H9:H1048576" xr:uid="{00000000-0002-0000-0400-000007000000}">
      <formula1>IF(NOT(ISERROR(FIND(" ", H9))), FALSE, IF(COUNTIF(parcel_names, H9)&gt;1, FALSE, TRUE))</formula1>
    </dataValidation>
    <dataValidation type="list" allowBlank="1" showInputMessage="1" showErrorMessage="1" promptTitle="Land use" prompt="For land parcels, specify how this land is used. For air-only or water parcels, leave blank." sqref="J9:J1048576" xr:uid="{00000000-0002-0000-0400-000008000000}">
      <formula1>IF(FIND("Land", I9)&gt;0, land_use_choices)</formula1>
    </dataValidation>
    <dataValidation allowBlank="1" sqref="P2" xr:uid="{00000000-0002-0000-0400-000009000000}"/>
  </dataValidations>
  <hyperlinks>
    <hyperlink ref="A1" location="'Main'!A1" display="Main" xr:uid="{00000000-0004-0000-0400-000000000000}"/>
  </hyperlinks>
  <pageMargins left="0.75" right="0.75" top="1" bottom="1" header="0.5" footer="0.5"/>
  <pageSetup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54" r:id="rId4" name="Button 38">
              <controlPr defaultSize="0" print="0" autoFill="0" autoPict="0" macro="[0]!UpdateLayout">
                <anchor moveWithCells="1" sizeWithCells="1">
                  <from>
                    <xdr:col>9</xdr:col>
                    <xdr:colOff>742950</xdr:colOff>
                    <xdr:row>3</xdr:row>
                    <xdr:rowOff>28575</xdr:rowOff>
                  </from>
                  <to>
                    <xdr:col>11</xdr:col>
                    <xdr:colOff>323850</xdr:colOff>
                    <xdr:row>5</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7">
    <tabColor indexed="43"/>
  </sheetPr>
  <dimension ref="A1:M18"/>
  <sheetViews>
    <sheetView topLeftCell="A13" workbookViewId="0">
      <selection activeCell="B6" sqref="B6"/>
    </sheetView>
  </sheetViews>
  <sheetFormatPr defaultColWidth="9.28515625" defaultRowHeight="12.75" x14ac:dyDescent="0.2"/>
  <cols>
    <col min="1" max="1" width="12.28515625" style="90" customWidth="1"/>
    <col min="2" max="2" width="28.42578125" style="90" customWidth="1"/>
    <col min="3" max="3" width="29.42578125" style="90" customWidth="1"/>
    <col min="4" max="4" width="28.28515625" style="90" customWidth="1"/>
    <col min="5" max="5" width="30.7109375" style="90" bestFit="1" customWidth="1"/>
    <col min="6" max="16384" width="9.28515625" style="90"/>
  </cols>
  <sheetData>
    <row r="1" spans="1:13" ht="13.5" thickBot="1" x14ac:dyDescent="0.25"/>
    <row r="2" spans="1:13" s="1" customFormat="1" ht="28.5" customHeight="1" thickBot="1" x14ac:dyDescent="0.25">
      <c r="B2" s="496" t="s">
        <v>231</v>
      </c>
      <c r="C2" s="497"/>
      <c r="D2" s="497"/>
      <c r="E2" s="498"/>
      <c r="F2" s="514" t="s">
        <v>232</v>
      </c>
      <c r="G2" s="502"/>
      <c r="H2" s="502"/>
      <c r="I2" s="503"/>
      <c r="J2" s="510" t="s">
        <v>233</v>
      </c>
      <c r="K2" s="511"/>
      <c r="L2" s="511"/>
      <c r="M2" s="512"/>
    </row>
    <row r="4" spans="1:13" ht="15.75" x14ac:dyDescent="0.25">
      <c r="B4" s="4" t="s">
        <v>488</v>
      </c>
    </row>
    <row r="5" spans="1:13" x14ac:dyDescent="0.2">
      <c r="B5" s="94" t="s">
        <v>489</v>
      </c>
    </row>
    <row r="6" spans="1:13" x14ac:dyDescent="0.2">
      <c r="A6" s="100" t="s">
        <v>496</v>
      </c>
      <c r="B6" s="123" t="s">
        <v>357</v>
      </c>
      <c r="C6" s="123" t="s">
        <v>215</v>
      </c>
      <c r="D6" s="123" t="s">
        <v>358</v>
      </c>
      <c r="E6" s="123" t="s">
        <v>618</v>
      </c>
    </row>
    <row r="7" spans="1:13" x14ac:dyDescent="0.2">
      <c r="A7" s="100" t="s">
        <v>497</v>
      </c>
      <c r="B7" s="236" t="s">
        <v>490</v>
      </c>
      <c r="C7" s="240" t="s">
        <v>494</v>
      </c>
      <c r="D7" s="240" t="s">
        <v>498</v>
      </c>
      <c r="E7" s="240" t="s">
        <v>619</v>
      </c>
    </row>
    <row r="8" spans="1:13" x14ac:dyDescent="0.2">
      <c r="B8" s="237" t="s">
        <v>491</v>
      </c>
      <c r="C8" s="238" t="s">
        <v>495</v>
      </c>
      <c r="D8" s="238" t="s">
        <v>499</v>
      </c>
      <c r="E8" s="238" t="s">
        <v>620</v>
      </c>
    </row>
    <row r="9" spans="1:13" x14ac:dyDescent="0.2">
      <c r="B9" s="238" t="s">
        <v>492</v>
      </c>
      <c r="C9" s="238"/>
      <c r="D9" s="238"/>
      <c r="E9" s="238" t="s">
        <v>621</v>
      </c>
    </row>
    <row r="10" spans="1:13" x14ac:dyDescent="0.2">
      <c r="B10" s="238" t="s">
        <v>493</v>
      </c>
      <c r="C10" s="238"/>
      <c r="D10" s="238"/>
      <c r="E10" s="238" t="s">
        <v>622</v>
      </c>
    </row>
    <row r="11" spans="1:13" x14ac:dyDescent="0.2">
      <c r="B11" s="238"/>
      <c r="C11" s="238"/>
      <c r="D11" s="238"/>
      <c r="E11" s="238"/>
    </row>
    <row r="12" spans="1:13" x14ac:dyDescent="0.2">
      <c r="B12" s="238"/>
      <c r="C12" s="238"/>
      <c r="D12" s="238"/>
      <c r="E12" s="238"/>
    </row>
    <row r="13" spans="1:13" x14ac:dyDescent="0.2">
      <c r="B13" s="238"/>
      <c r="C13" s="238"/>
      <c r="D13" s="238"/>
      <c r="E13" s="238"/>
    </row>
    <row r="14" spans="1:13" x14ac:dyDescent="0.2">
      <c r="B14" s="238"/>
      <c r="C14" s="238"/>
      <c r="D14" s="238"/>
      <c r="E14" s="238"/>
    </row>
    <row r="15" spans="1:13" x14ac:dyDescent="0.2">
      <c r="B15" s="238"/>
      <c r="C15" s="238"/>
      <c r="D15" s="238"/>
      <c r="E15" s="238"/>
    </row>
    <row r="16" spans="1:13" x14ac:dyDescent="0.2">
      <c r="B16" s="238"/>
      <c r="C16" s="238"/>
      <c r="D16" s="238"/>
      <c r="E16" s="238"/>
    </row>
    <row r="17" spans="2:5" x14ac:dyDescent="0.2">
      <c r="B17" s="238"/>
      <c r="C17" s="238"/>
      <c r="D17" s="238"/>
      <c r="E17" s="238"/>
    </row>
    <row r="18" spans="2:5" x14ac:dyDescent="0.2">
      <c r="B18" s="239"/>
      <c r="C18" s="239"/>
      <c r="D18" s="239"/>
      <c r="E18" s="239"/>
    </row>
  </sheetData>
  <mergeCells count="3">
    <mergeCell ref="B2:E2"/>
    <mergeCell ref="F2:I2"/>
    <mergeCell ref="J2:M2"/>
  </mergeCells>
  <pageMargins left="0.7" right="0.7" top="0.75" bottom="0.75" header="0.3" footer="0.3"/>
  <pageSetup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FF99"/>
  </sheetPr>
  <dimension ref="A1:P100"/>
  <sheetViews>
    <sheetView zoomScale="70" zoomScaleNormal="70" workbookViewId="0">
      <selection sqref="A1:A3"/>
    </sheetView>
  </sheetViews>
  <sheetFormatPr defaultColWidth="0" defaultRowHeight="12.75" x14ac:dyDescent="0.2"/>
  <cols>
    <col min="1" max="1" width="25.28515625" customWidth="1"/>
    <col min="2" max="2" width="18" customWidth="1"/>
    <col min="3" max="3" width="10" customWidth="1"/>
    <col min="4" max="4" width="12" customWidth="1"/>
    <col min="5" max="5" width="20.42578125" customWidth="1"/>
    <col min="6" max="6" width="12" customWidth="1"/>
    <col min="7" max="7" width="29.28515625" customWidth="1"/>
    <col min="8" max="8" width="8.7109375" customWidth="1"/>
    <col min="9" max="9" width="12" customWidth="1"/>
    <col min="10" max="10" width="13.7109375" customWidth="1"/>
    <col min="11" max="11" width="13" customWidth="1"/>
    <col min="12" max="16" width="8.7109375" customWidth="1"/>
    <col min="17" max="16384" width="8.7109375" hidden="1"/>
  </cols>
  <sheetData>
    <row r="1" spans="1:16" ht="61.9" customHeight="1" x14ac:dyDescent="0.2">
      <c r="A1" s="530" t="s">
        <v>690</v>
      </c>
      <c r="B1" s="532" t="s">
        <v>691</v>
      </c>
      <c r="C1" s="346" t="s">
        <v>705</v>
      </c>
      <c r="D1" s="343" t="s">
        <v>692</v>
      </c>
      <c r="E1" s="343" t="s">
        <v>693</v>
      </c>
      <c r="F1" s="343" t="s">
        <v>694</v>
      </c>
      <c r="G1" s="343" t="s">
        <v>695</v>
      </c>
      <c r="H1" s="343" t="s">
        <v>696</v>
      </c>
      <c r="I1" s="343" t="s">
        <v>697</v>
      </c>
      <c r="J1" s="533" t="s">
        <v>698</v>
      </c>
      <c r="K1" s="534"/>
      <c r="L1" s="90"/>
      <c r="M1" s="90"/>
      <c r="N1" s="90"/>
      <c r="O1" s="90"/>
      <c r="P1" s="90"/>
    </row>
    <row r="2" spans="1:16" ht="24" x14ac:dyDescent="0.2">
      <c r="A2" s="531"/>
      <c r="B2" s="532"/>
      <c r="C2" s="347" t="s">
        <v>706</v>
      </c>
      <c r="D2" s="344" t="s">
        <v>699</v>
      </c>
      <c r="E2" s="345" t="s">
        <v>700</v>
      </c>
      <c r="F2" s="345" t="s">
        <v>701</v>
      </c>
      <c r="G2" s="345" t="s">
        <v>702</v>
      </c>
      <c r="H2" s="345" t="s">
        <v>702</v>
      </c>
      <c r="I2" s="345"/>
      <c r="J2" s="345" t="s">
        <v>703</v>
      </c>
      <c r="K2" s="345" t="s">
        <v>704</v>
      </c>
      <c r="L2" s="90"/>
      <c r="M2" s="90"/>
      <c r="N2" s="90"/>
      <c r="O2" s="90"/>
      <c r="P2" s="90"/>
    </row>
    <row r="3" spans="1:16" ht="82.9" customHeight="1" thickBot="1" x14ac:dyDescent="0.25">
      <c r="A3" s="531"/>
      <c r="B3" s="532"/>
      <c r="C3" s="350" t="s">
        <v>16</v>
      </c>
      <c r="D3" s="344"/>
      <c r="E3" s="345" t="s">
        <v>795</v>
      </c>
      <c r="F3" s="345" t="s">
        <v>796</v>
      </c>
      <c r="G3" s="345" t="s">
        <v>797</v>
      </c>
      <c r="H3" s="357" t="s">
        <v>714</v>
      </c>
      <c r="I3" s="357" t="s">
        <v>714</v>
      </c>
      <c r="J3" s="535" t="s">
        <v>798</v>
      </c>
      <c r="K3" s="536"/>
      <c r="L3" s="90"/>
      <c r="M3" s="90"/>
      <c r="N3" s="90"/>
      <c r="O3" s="90"/>
      <c r="P3" s="90"/>
    </row>
    <row r="4" spans="1:16" ht="13.15" customHeight="1" x14ac:dyDescent="0.2">
      <c r="A4" s="348" t="str">
        <f>INDEX(land_parcels, ROW() - ROW(A$4) +1)</f>
        <v>E1</v>
      </c>
      <c r="B4" s="349" t="str">
        <f>INDEX(parcel_land_uses,MATCH(A4,parcel_names,0))</f>
        <v>grass</v>
      </c>
      <c r="C4" s="351"/>
      <c r="D4" s="359">
        <f>INDEX(parcel_areas_m2, MATCH(A4, parcel_names, 0))</f>
        <v>9510336.7447571121</v>
      </c>
      <c r="E4" s="408">
        <v>85</v>
      </c>
      <c r="F4" s="406">
        <v>0.1171848739495798</v>
      </c>
      <c r="G4" s="409">
        <v>0.6482907159020993</v>
      </c>
      <c r="H4" s="452">
        <f>HLOOKUP($B4,Land!$E$16:$I$21,5,FALSE)</f>
        <v>0.1</v>
      </c>
      <c r="I4" s="453">
        <f>HLOOKUP($B4,Land!$E$16:$I$21,6,FALSE)</f>
        <v>1</v>
      </c>
      <c r="J4" s="353">
        <f>E4*F4*G4*H4*I4</f>
        <v>0.64574385951819813</v>
      </c>
      <c r="K4" s="360">
        <f t="shared" ref="K4:K15" si="0">J4 * kg_per_ton * acre_per_m2 / 365</f>
        <v>3.9659252784407284E-4</v>
      </c>
      <c r="L4" s="102"/>
      <c r="M4" s="537" t="s">
        <v>684</v>
      </c>
      <c r="N4" s="538"/>
      <c r="O4" s="539"/>
    </row>
    <row r="5" spans="1:16" ht="15" x14ac:dyDescent="0.2">
      <c r="A5" s="348" t="str">
        <f>INDEX(land_parcels, ROW() - ROW(A$4) +1)</f>
        <v>E2</v>
      </c>
      <c r="B5" s="349" t="str">
        <f>INDEX(parcel_land_uses,MATCH(A5,parcel_names,0))</f>
        <v>deciduous forest</v>
      </c>
      <c r="C5" s="352"/>
      <c r="D5" s="359">
        <f>INDEX(parcel_areas_m2, MATCH(A5, parcel_names, 0))</f>
        <v>6180161.1574881524</v>
      </c>
      <c r="E5" s="408">
        <v>85</v>
      </c>
      <c r="F5" s="406">
        <v>9.6024689365822161E-2</v>
      </c>
      <c r="G5" s="409">
        <v>0.76160298440370866</v>
      </c>
      <c r="H5" s="452">
        <f>HLOOKUP($B5,Land!$E$16:$I$21,5,FALSE)</f>
        <v>0.1</v>
      </c>
      <c r="I5" s="453">
        <f>HLOOKUP($B5,Land!$E$16:$I$21,6,FALSE)</f>
        <v>1</v>
      </c>
      <c r="J5" s="353">
        <f t="shared" ref="J5:J15" si="1">E5*F5*G5*H5*I5</f>
        <v>0.62162786497831846</v>
      </c>
      <c r="K5" s="360">
        <f t="shared" si="0"/>
        <v>3.817813560534796E-4</v>
      </c>
      <c r="L5" s="102"/>
      <c r="M5" s="540"/>
      <c r="N5" s="541"/>
      <c r="O5" s="542"/>
      <c r="P5" s="90"/>
    </row>
    <row r="6" spans="1:16" ht="13.9" customHeight="1" thickBot="1" x14ac:dyDescent="0.25">
      <c r="A6" s="348" t="str">
        <f>INDEX(land_parcels, ROW() - ROW(A$4) +1)</f>
        <v>N1</v>
      </c>
      <c r="B6" s="349" t="str">
        <f>INDEX(parcel_land_uses,MATCH(A6,parcel_names,0))</f>
        <v>deciduous forest</v>
      </c>
      <c r="C6" s="352"/>
      <c r="D6" s="359">
        <f>INDEX(parcel_areas_m2, MATCH(A6, parcel_names, 0))</f>
        <v>8331779.6721657179</v>
      </c>
      <c r="E6" s="408">
        <v>85</v>
      </c>
      <c r="F6" s="406">
        <v>0.10258637929118986</v>
      </c>
      <c r="G6" s="409">
        <v>0.75277267453019625</v>
      </c>
      <c r="H6" s="452">
        <f>HLOOKUP($B6,Land!$E$16:$I$21,5,FALSE)</f>
        <v>0.1</v>
      </c>
      <c r="I6" s="453">
        <f>HLOOKUP($B6,Land!$E$16:$I$21,6,FALSE)</f>
        <v>1</v>
      </c>
      <c r="J6" s="353">
        <f t="shared" si="1"/>
        <v>0.65640589642988412</v>
      </c>
      <c r="K6" s="360">
        <f t="shared" si="0"/>
        <v>4.0314076536649741E-4</v>
      </c>
      <c r="L6" s="102"/>
      <c r="M6" s="543" t="s">
        <v>685</v>
      </c>
      <c r="N6" s="544"/>
      <c r="O6" s="545"/>
      <c r="P6" s="90"/>
    </row>
    <row r="7" spans="1:16" ht="13.15" customHeight="1" x14ac:dyDescent="0.2">
      <c r="A7" s="348" t="str">
        <f>INDEX(land_parcels, ROW() - ROW(A$4) +1)</f>
        <v>N2</v>
      </c>
      <c r="B7" s="349" t="str">
        <f>INDEX(parcel_land_uses,MATCH(A7,parcel_names,0))</f>
        <v>grass</v>
      </c>
      <c r="C7" s="352"/>
      <c r="D7" s="359">
        <f>INDEX(parcel_areas_m2, MATCH(A7, parcel_names, 0))</f>
        <v>27646137.495466657</v>
      </c>
      <c r="E7" s="408">
        <v>85</v>
      </c>
      <c r="F7" s="407">
        <v>5.3174266766937858E-2</v>
      </c>
      <c r="G7" s="409">
        <v>0.21359085257958402</v>
      </c>
      <c r="H7" s="452">
        <f>HLOOKUP($B7,Land!$E$16:$I$21,5,FALSE)</f>
        <v>0.1</v>
      </c>
      <c r="I7" s="453">
        <f>HLOOKUP($B7,Land!$E$16:$I$21,6,FALSE)</f>
        <v>1</v>
      </c>
      <c r="J7" s="353">
        <f t="shared" si="1"/>
        <v>9.6539064279378251E-2</v>
      </c>
      <c r="K7" s="360">
        <f t="shared" si="0"/>
        <v>5.9290802342009838E-5</v>
      </c>
      <c r="L7" s="102"/>
      <c r="M7" s="518" t="s">
        <v>232</v>
      </c>
      <c r="N7" s="519"/>
      <c r="O7" s="520"/>
      <c r="P7" s="90"/>
    </row>
    <row r="8" spans="1:16" ht="13.5" thickBot="1" x14ac:dyDescent="0.25">
      <c r="A8" s="348" t="str">
        <f>INDEX(land_parcels, ROW() - ROW(A$4) +1)</f>
        <v>NE1</v>
      </c>
      <c r="B8" s="349" t="str">
        <f>INDEX(parcel_land_uses,MATCH(A8,parcel_names,0))</f>
        <v>grass</v>
      </c>
      <c r="C8" s="352"/>
      <c r="D8" s="359">
        <f>INDEX(parcel_areas_m2, MATCH(A8, parcel_names, 0))</f>
        <v>14733478.925060868</v>
      </c>
      <c r="E8" s="408">
        <v>85</v>
      </c>
      <c r="F8" s="406">
        <v>6.7660025954894606E-2</v>
      </c>
      <c r="G8" s="410">
        <v>0.4199061835235835</v>
      </c>
      <c r="H8" s="452">
        <f>HLOOKUP($B8,Land!$E$16:$I$21,5,FALSE)</f>
        <v>0.1</v>
      </c>
      <c r="I8" s="453">
        <f>HLOOKUP($B8,Land!$E$16:$I$21,6,FALSE)</f>
        <v>1</v>
      </c>
      <c r="J8" s="353">
        <f t="shared" si="1"/>
        <v>0.2414923378445244</v>
      </c>
      <c r="K8" s="360">
        <f t="shared" si="0"/>
        <v>1.4831586132649197E-4</v>
      </c>
      <c r="L8" s="102"/>
      <c r="M8" s="521"/>
      <c r="N8" s="522"/>
      <c r="O8" s="523"/>
      <c r="P8" s="90"/>
    </row>
    <row r="9" spans="1:16" ht="13.15" customHeight="1" x14ac:dyDescent="0.2">
      <c r="A9" s="348" t="str">
        <f>INDEX(land_parcels, ROW() - ROW(A$4) +1)</f>
        <v>NE2</v>
      </c>
      <c r="B9" s="349" t="str">
        <f>INDEX(parcel_land_uses,MATCH(A9,parcel_names,0))</f>
        <v>grass</v>
      </c>
      <c r="C9" s="352"/>
      <c r="D9" s="359">
        <f>INDEX(parcel_areas_m2, MATCH(A9, parcel_names, 0))</f>
        <v>3632465.2791630328</v>
      </c>
      <c r="E9" s="408">
        <v>85</v>
      </c>
      <c r="F9" s="408">
        <v>5.3807943129075851E-2</v>
      </c>
      <c r="G9" s="410">
        <v>0.41676992222009918</v>
      </c>
      <c r="H9" s="452">
        <f>HLOOKUP($B9,Land!$E$16:$I$21,5,FALSE)</f>
        <v>0.1</v>
      </c>
      <c r="I9" s="453">
        <f>HLOOKUP($B9,Land!$E$16:$I$21,6,FALSE)</f>
        <v>1</v>
      </c>
      <c r="J9" s="353">
        <f t="shared" si="1"/>
        <v>0.19061702431819194</v>
      </c>
      <c r="K9" s="360">
        <f t="shared" si="0"/>
        <v>1.1707008345518211E-4</v>
      </c>
      <c r="L9" s="102"/>
      <c r="M9" s="524" t="s">
        <v>233</v>
      </c>
      <c r="N9" s="525"/>
      <c r="O9" s="526"/>
      <c r="P9" s="90"/>
    </row>
    <row r="10" spans="1:16" ht="13.5" thickBot="1" x14ac:dyDescent="0.25">
      <c r="A10" s="348" t="str">
        <f>INDEX(land_parcels, ROW() - ROW(A$4) +1)</f>
        <v>NE3</v>
      </c>
      <c r="B10" s="349" t="str">
        <f>INDEX(parcel_land_uses,MATCH(A10,parcel_names,0))</f>
        <v>deciduous forest</v>
      </c>
      <c r="C10" s="352"/>
      <c r="D10" s="359">
        <f>INDEX(parcel_areas_m2, MATCH(A10, parcel_names, 0))</f>
        <v>8461424.0238580704</v>
      </c>
      <c r="E10" s="408">
        <v>85</v>
      </c>
      <c r="F10" s="408">
        <v>0.13201624129930395</v>
      </c>
      <c r="G10" s="410">
        <v>0.95369708198332293</v>
      </c>
      <c r="H10" s="452">
        <f>HLOOKUP($B10,Land!$E$16:$I$21,5,FALSE)</f>
        <v>0.1</v>
      </c>
      <c r="I10" s="453">
        <f>HLOOKUP($B10,Land!$E$16:$I$21,6,FALSE)</f>
        <v>1</v>
      </c>
      <c r="J10" s="353">
        <f t="shared" si="1"/>
        <v>1.0701797848631958</v>
      </c>
      <c r="K10" s="360">
        <f t="shared" si="0"/>
        <v>6.5726572521060086E-4</v>
      </c>
      <c r="L10" s="102"/>
      <c r="M10" s="527"/>
      <c r="N10" s="528"/>
      <c r="O10" s="529"/>
      <c r="P10" s="90"/>
    </row>
    <row r="11" spans="1:16" x14ac:dyDescent="0.2">
      <c r="A11" s="348" t="str">
        <f>INDEX(land_parcels, ROW() - ROW(A$4) +1)</f>
        <v>NW1</v>
      </c>
      <c r="B11" s="349" t="str">
        <f>INDEX(parcel_land_uses,MATCH(A11,parcel_names,0))</f>
        <v>deciduous forest</v>
      </c>
      <c r="C11" s="352"/>
      <c r="D11" s="359">
        <f>INDEX(parcel_areas_m2, MATCH(A11, parcel_names, 0))</f>
        <v>21284418.040311679</v>
      </c>
      <c r="E11" s="408">
        <v>85</v>
      </c>
      <c r="F11" s="408">
        <v>0.10596982182032211</v>
      </c>
      <c r="G11" s="410">
        <v>0.55298020888056643</v>
      </c>
      <c r="H11" s="452">
        <f>HLOOKUP($B11,Land!$E$16:$I$21,5,FALSE)</f>
        <v>0.1</v>
      </c>
      <c r="I11" s="453">
        <f>HLOOKUP($B11,Land!$E$16:$I$21,6,FALSE)</f>
        <v>1</v>
      </c>
      <c r="J11" s="353">
        <f t="shared" si="1"/>
        <v>0.498093320744524</v>
      </c>
      <c r="K11" s="360">
        <f t="shared" si="0"/>
        <v>3.0591090610402054E-4</v>
      </c>
      <c r="L11" s="102"/>
      <c r="M11" s="90"/>
      <c r="N11" s="90"/>
      <c r="O11" s="90"/>
      <c r="P11" s="90"/>
    </row>
    <row r="12" spans="1:16" x14ac:dyDescent="0.2">
      <c r="A12" s="348" t="str">
        <f>INDEX(land_parcels, ROW() - ROW(A$4) +1)</f>
        <v>NW2</v>
      </c>
      <c r="B12" s="349" t="str">
        <f>INDEX(parcel_land_uses,MATCH(A12,parcel_names,0))</f>
        <v>deciduous forest</v>
      </c>
      <c r="C12" s="352"/>
      <c r="D12" s="359">
        <f>INDEX(parcel_areas_m2, MATCH(A12, parcel_names, 0))</f>
        <v>20620168.451205432</v>
      </c>
      <c r="E12" s="408">
        <v>85</v>
      </c>
      <c r="F12" s="408">
        <v>5.4363063921454895E-2</v>
      </c>
      <c r="G12" s="410">
        <v>0.21223383271239812</v>
      </c>
      <c r="H12" s="452">
        <f>HLOOKUP($B12,Land!$E$16:$I$21,5,FALSE)</f>
        <v>0.1</v>
      </c>
      <c r="I12" s="453">
        <f>HLOOKUP($B12,Land!$E$16:$I$21,6,FALSE)</f>
        <v>1</v>
      </c>
      <c r="J12" s="353">
        <f t="shared" si="1"/>
        <v>9.8070292019335453E-2</v>
      </c>
      <c r="K12" s="360">
        <f t="shared" si="0"/>
        <v>6.0231227049335272E-5</v>
      </c>
      <c r="L12" s="102"/>
      <c r="M12" s="90"/>
      <c r="N12" s="90"/>
      <c r="O12" s="90"/>
      <c r="P12" s="90"/>
    </row>
    <row r="13" spans="1:16" x14ac:dyDescent="0.2">
      <c r="A13" s="348" t="str">
        <f>INDEX(land_parcels, ROW() - ROW(A$4) +1)</f>
        <v>S1</v>
      </c>
      <c r="B13" s="349" t="str">
        <f>INDEX(parcel_land_uses,MATCH(A13,parcel_names,0))</f>
        <v>grass</v>
      </c>
      <c r="C13" s="352"/>
      <c r="D13" s="359">
        <f>INDEX(parcel_areas_m2, MATCH(A13, parcel_names, 0))</f>
        <v>483133.14199053124</v>
      </c>
      <c r="E13" s="408">
        <v>85</v>
      </c>
      <c r="F13" s="408">
        <v>4.0963804991959119E-2</v>
      </c>
      <c r="G13" s="410">
        <v>0.52325726165325848</v>
      </c>
      <c r="H13" s="452">
        <f>HLOOKUP($B13,Land!$E$16:$I$21,5,FALSE)</f>
        <v>0.1</v>
      </c>
      <c r="I13" s="453">
        <f>HLOOKUP($B13,Land!$E$16:$I$21,6,FALSE)</f>
        <v>1</v>
      </c>
      <c r="J13" s="353">
        <f t="shared" si="1"/>
        <v>0.1821941716294202</v>
      </c>
      <c r="K13" s="360">
        <f t="shared" si="0"/>
        <v>1.1189707191157936E-4</v>
      </c>
      <c r="L13" s="102"/>
      <c r="M13" s="90"/>
      <c r="N13" s="90"/>
      <c r="O13" s="90"/>
      <c r="P13" s="90"/>
    </row>
    <row r="14" spans="1:16" x14ac:dyDescent="0.2">
      <c r="A14" s="348" t="str">
        <f>INDEX(land_parcels, ROW() - ROW(A$4) +1)</f>
        <v>S2</v>
      </c>
      <c r="B14" s="349" t="str">
        <f>INDEX(parcel_land_uses,MATCH(A14,parcel_names,0))</f>
        <v>grass</v>
      </c>
      <c r="C14" s="352"/>
      <c r="D14" s="359">
        <f>INDEX(parcel_areas_m2, MATCH(A14, parcel_names, 0))</f>
        <v>6779524.0775474794</v>
      </c>
      <c r="E14" s="408">
        <v>85</v>
      </c>
      <c r="F14" s="408">
        <v>5.8789571694599627E-2</v>
      </c>
      <c r="G14" s="410">
        <v>0.24644967093313949</v>
      </c>
      <c r="H14" s="452">
        <f>HLOOKUP($B14,Land!$E$16:$I$21,5,FALSE)</f>
        <v>0.1</v>
      </c>
      <c r="I14" s="453">
        <f>HLOOKUP($B14,Land!$E$16:$I$21,6,FALSE)</f>
        <v>1</v>
      </c>
      <c r="J14" s="353">
        <f t="shared" si="1"/>
        <v>0.12315370008669146</v>
      </c>
      <c r="K14" s="360">
        <f t="shared" si="0"/>
        <v>7.5636549245971314E-5</v>
      </c>
      <c r="L14" s="102"/>
      <c r="M14" s="90"/>
      <c r="N14" s="90"/>
      <c r="O14" s="90"/>
      <c r="P14" s="90"/>
    </row>
    <row r="15" spans="1:16" x14ac:dyDescent="0.2">
      <c r="A15" s="348" t="str">
        <f>INDEX(land_parcels, ROW() - ROW(A$4) +1)</f>
        <v>SE1</v>
      </c>
      <c r="B15" s="349" t="str">
        <f>INDEX(parcel_land_uses,MATCH(A15,parcel_names,0))</f>
        <v>grass</v>
      </c>
      <c r="C15" s="352"/>
      <c r="D15" s="359">
        <f>INDEX(parcel_areas_m2, MATCH(A15, parcel_names, 0))</f>
        <v>21263896.650649726</v>
      </c>
      <c r="E15" s="408">
        <v>85</v>
      </c>
      <c r="F15" s="408">
        <v>0.16498582786035257</v>
      </c>
      <c r="G15" s="410">
        <v>0.59627002655753614</v>
      </c>
      <c r="H15" s="452">
        <f>HLOOKUP($B15,Land!$E$16:$I$21,5,FALSE)</f>
        <v>0.1</v>
      </c>
      <c r="I15" s="453">
        <f>HLOOKUP($B15,Land!$E$16:$I$21,6,FALSE)</f>
        <v>1</v>
      </c>
      <c r="J15" s="353">
        <f t="shared" si="1"/>
        <v>0.83619688365923095</v>
      </c>
      <c r="K15" s="360">
        <f t="shared" si="0"/>
        <v>5.13561888320836E-4</v>
      </c>
      <c r="L15" s="102"/>
      <c r="M15" s="90"/>
      <c r="N15" s="90"/>
      <c r="O15" s="90"/>
      <c r="P15" s="90"/>
    </row>
    <row r="16" spans="1:16" x14ac:dyDescent="0.2">
      <c r="A16" s="348" t="str">
        <f>INDEX(land_parcels, ROW() - ROW(A$4) +1)</f>
        <v>SE2</v>
      </c>
      <c r="B16" s="349" t="str">
        <f>INDEX(parcel_land_uses,MATCH(A16,parcel_names,0))</f>
        <v>grass</v>
      </c>
      <c r="C16" s="352"/>
      <c r="D16" s="359">
        <f>INDEX(parcel_areas_m2, MATCH(A16, parcel_names, 0))</f>
        <v>11239629.609998185</v>
      </c>
      <c r="E16" s="408">
        <v>85</v>
      </c>
      <c r="F16" s="408">
        <v>0.17407931842554711</v>
      </c>
      <c r="G16" s="410">
        <v>1.7335739896237143</v>
      </c>
      <c r="H16" s="452">
        <f>HLOOKUP($B16,Land!$E$16:$I$21,5,FALSE)</f>
        <v>0.1</v>
      </c>
      <c r="I16" s="453">
        <f>HLOOKUP($B16,Land!$E$16:$I$21,6,FALSE)</f>
        <v>1</v>
      </c>
      <c r="J16" s="353">
        <f>E16*F16*G16*H16*I16</f>
        <v>2.5651247177085978</v>
      </c>
      <c r="K16" s="360">
        <f>J16 * kg_per_ton * acre_per_m2 / 365</f>
        <v>1.5754068444265199E-3</v>
      </c>
      <c r="L16" s="102"/>
      <c r="M16" s="90"/>
      <c r="N16" s="90"/>
      <c r="O16" s="90"/>
      <c r="P16" s="90"/>
    </row>
    <row r="17" spans="1:16" x14ac:dyDescent="0.2">
      <c r="A17" s="348" t="str">
        <f>INDEX(land_parcels, ROW() - ROW(A$4) +1)</f>
        <v>SW1</v>
      </c>
      <c r="B17" s="349" t="str">
        <f>INDEX(parcel_land_uses,MATCH(A17,parcel_names,0))</f>
        <v>deciduous forest</v>
      </c>
      <c r="C17" s="352"/>
      <c r="D17" s="359">
        <f>INDEX(parcel_areas_m2, MATCH(A17, parcel_names, 0))</f>
        <v>10634288.0921451</v>
      </c>
      <c r="E17" s="408">
        <v>85</v>
      </c>
      <c r="F17" s="408">
        <v>0.17052494577006502</v>
      </c>
      <c r="G17" s="410">
        <v>2.0080619186653572</v>
      </c>
      <c r="H17" s="452">
        <f>HLOOKUP($B17,Land!$E$16:$I$21,5,FALSE)</f>
        <v>0.1</v>
      </c>
      <c r="I17" s="453">
        <f>HLOOKUP($B17,Land!$E$16:$I$21,6,FALSE)</f>
        <v>1</v>
      </c>
      <c r="J17" s="353">
        <f>E17*F17*G17*H17*I17</f>
        <v>2.9106095231584135</v>
      </c>
      <c r="K17" s="360">
        <f>J17 * kg_per_ton * acre_per_m2 / 365</f>
        <v>1.7875911188961074E-3</v>
      </c>
      <c r="L17" s="102"/>
      <c r="M17" s="90"/>
      <c r="N17" s="90"/>
      <c r="O17" s="90"/>
      <c r="P17" s="90"/>
    </row>
    <row r="18" spans="1:16" x14ac:dyDescent="0.2">
      <c r="A18" s="348" t="str">
        <f>INDEX(land_parcels, ROW() - ROW(A$4) +1)</f>
        <v>SW2</v>
      </c>
      <c r="B18" s="349" t="str">
        <f>INDEX(parcel_land_uses,MATCH(A18,parcel_names,0))</f>
        <v>deciduous forest</v>
      </c>
      <c r="C18" s="352"/>
      <c r="D18" s="359">
        <f>INDEX(parcel_areas_m2, MATCH(A18, parcel_names, 0))</f>
        <v>30825008.327948619</v>
      </c>
      <c r="E18" s="408">
        <v>85</v>
      </c>
      <c r="F18" s="408">
        <v>0.14285347373828175</v>
      </c>
      <c r="G18" s="410">
        <v>0.28182214657285376</v>
      </c>
      <c r="H18" s="452">
        <f>HLOOKUP($B18,Land!$E$16:$I$21,5,FALSE)</f>
        <v>0.1</v>
      </c>
      <c r="I18" s="453">
        <f>HLOOKUP($B18,Land!$E$16:$I$21,6,FALSE)</f>
        <v>1</v>
      </c>
      <c r="J18" s="353">
        <f>E18*F18*G18*H18*I18</f>
        <v>0.34220381722164656</v>
      </c>
      <c r="K18" s="360">
        <f>J18 * kg_per_ton * acre_per_m2 / 365</f>
        <v>2.1016921014329706E-4</v>
      </c>
      <c r="L18" s="102"/>
      <c r="M18" s="90"/>
      <c r="N18" s="90"/>
      <c r="O18" s="90"/>
      <c r="P18" s="90"/>
    </row>
    <row r="19" spans="1:16" x14ac:dyDescent="0.2">
      <c r="A19" s="348" t="str">
        <f>INDEX(land_parcels, ROW() - ROW(A$4) +1)</f>
        <v>W1</v>
      </c>
      <c r="B19" s="349" t="str">
        <f>INDEX(parcel_land_uses,MATCH(A19,parcel_names,0))</f>
        <v>deciduous forest</v>
      </c>
      <c r="C19" s="352"/>
      <c r="D19" s="359">
        <f>INDEX(parcel_areas_m2, MATCH(A19, parcel_names, 0))</f>
        <v>16662585.706417479</v>
      </c>
      <c r="E19" s="408">
        <v>85</v>
      </c>
      <c r="F19" s="408">
        <v>0.12758162452717497</v>
      </c>
      <c r="G19" s="410">
        <v>1.1853934515507092</v>
      </c>
      <c r="H19" s="452">
        <f>HLOOKUP($B19,Land!$E$16:$I$21,5,FALSE)</f>
        <v>0.1</v>
      </c>
      <c r="I19" s="453">
        <f>HLOOKUP($B19,Land!$E$16:$I$21,6,FALSE)</f>
        <v>1</v>
      </c>
      <c r="J19" s="353">
        <f>E19*F19*G19*H19*I19</f>
        <v>1.285492589148074</v>
      </c>
      <c r="K19" s="360">
        <f>J19 * kg_per_ton * acre_per_m2 / 365</f>
        <v>7.8950306369996435E-4</v>
      </c>
      <c r="L19" s="102"/>
      <c r="M19" s="90"/>
      <c r="N19" s="90"/>
      <c r="O19" s="90"/>
      <c r="P19" s="90"/>
    </row>
    <row r="20" spans="1:16" ht="13.9" customHeight="1" x14ac:dyDescent="0.2">
      <c r="A20" s="348" t="e">
        <f>INDEX(land_parcels, ROW() - ROW(A$4) +1)</f>
        <v>#REF!</v>
      </c>
      <c r="B20" s="349" t="e">
        <f>INDEX(parcel_land_uses,MATCH(A20,parcel_names,0))</f>
        <v>#REF!</v>
      </c>
      <c r="C20" s="352"/>
      <c r="D20" s="359" t="e">
        <f>INDEX(parcel_areas_m2, MATCH(A20, parcel_names, 0))</f>
        <v>#REF!</v>
      </c>
      <c r="E20" s="408">
        <v>85</v>
      </c>
      <c r="F20" s="408">
        <v>0.10637774988438926</v>
      </c>
      <c r="G20" s="410">
        <v>0.25310317374423741</v>
      </c>
      <c r="H20" s="452" t="e">
        <f>HLOOKUP($B20,Land!$E$16:$I$21,5,FALSE)</f>
        <v>#REF!</v>
      </c>
      <c r="I20" s="453" t="e">
        <f>HLOOKUP($B20,Land!$E$16:$I$21,6,FALSE)</f>
        <v>#REF!</v>
      </c>
      <c r="J20" s="353" t="e">
        <f>E20*F20*G20*H20*I20</f>
        <v>#REF!</v>
      </c>
      <c r="K20" s="360" t="e">
        <f>J20 * kg_per_ton * acre_per_m2 / 365</f>
        <v>#REF!</v>
      </c>
      <c r="L20" s="102"/>
      <c r="M20" s="90"/>
      <c r="N20" s="90"/>
      <c r="O20" s="90"/>
      <c r="P20" s="90"/>
    </row>
    <row r="21" spans="1:16" x14ac:dyDescent="0.2">
      <c r="A21" s="90"/>
      <c r="B21" s="90"/>
      <c r="C21" s="90"/>
      <c r="D21" s="90"/>
      <c r="E21" s="90"/>
      <c r="F21" s="90"/>
      <c r="G21" s="90"/>
      <c r="H21" s="90"/>
      <c r="I21" s="90"/>
      <c r="J21" s="90"/>
      <c r="K21" s="90"/>
      <c r="L21" s="102"/>
      <c r="M21" s="90"/>
      <c r="N21" s="90"/>
      <c r="O21" s="90"/>
      <c r="P21" s="90"/>
    </row>
    <row r="22" spans="1:16" x14ac:dyDescent="0.2">
      <c r="A22" s="90"/>
      <c r="B22" s="90"/>
      <c r="C22" s="90"/>
      <c r="D22" s="90"/>
      <c r="E22" s="90"/>
      <c r="F22" s="90"/>
      <c r="G22" s="90"/>
      <c r="H22" s="90"/>
      <c r="I22" s="90"/>
      <c r="J22" s="90"/>
      <c r="K22" s="90"/>
      <c r="L22" s="102"/>
      <c r="M22" s="90"/>
      <c r="N22" s="90"/>
      <c r="O22" s="90"/>
      <c r="P22" s="90"/>
    </row>
    <row r="23" spans="1:16" x14ac:dyDescent="0.2">
      <c r="A23" s="90"/>
      <c r="B23" s="90"/>
      <c r="C23" s="90"/>
      <c r="D23" s="90"/>
      <c r="E23" s="90"/>
      <c r="F23" s="90"/>
      <c r="G23" s="90"/>
      <c r="H23" s="90"/>
      <c r="I23" s="90"/>
      <c r="J23" s="90"/>
      <c r="K23" s="90"/>
      <c r="L23" s="102"/>
      <c r="M23" s="90"/>
      <c r="N23" s="90"/>
      <c r="O23" s="90"/>
      <c r="P23" s="90"/>
    </row>
    <row r="24" spans="1:16" x14ac:dyDescent="0.2">
      <c r="A24" s="90"/>
      <c r="B24" s="90"/>
      <c r="C24" s="90"/>
      <c r="D24" s="90"/>
      <c r="E24" s="90"/>
      <c r="F24" s="90"/>
      <c r="G24" s="90"/>
      <c r="H24" s="90"/>
      <c r="I24" s="90"/>
      <c r="J24" s="90"/>
      <c r="K24" s="90"/>
      <c r="L24" s="90"/>
      <c r="M24" s="90"/>
      <c r="N24" s="90"/>
      <c r="O24" s="90"/>
      <c r="P24" s="90"/>
    </row>
    <row r="25" spans="1:16" x14ac:dyDescent="0.2">
      <c r="A25" s="90"/>
      <c r="B25" s="90"/>
      <c r="C25" s="90"/>
      <c r="D25" s="90"/>
      <c r="E25" s="90"/>
      <c r="F25" s="90"/>
      <c r="G25" s="90"/>
      <c r="H25" s="90"/>
      <c r="I25" s="90"/>
      <c r="J25" s="90"/>
      <c r="K25" s="90"/>
      <c r="L25" s="90"/>
      <c r="M25" s="90"/>
      <c r="N25" s="90"/>
      <c r="O25" s="90"/>
      <c r="P25" s="90"/>
    </row>
    <row r="26" spans="1:16" x14ac:dyDescent="0.2">
      <c r="A26" s="90"/>
      <c r="B26" s="90"/>
      <c r="C26" s="90"/>
      <c r="D26" s="90"/>
      <c r="E26" s="90"/>
      <c r="F26" s="90"/>
      <c r="G26" s="90"/>
      <c r="H26" s="90"/>
      <c r="I26" s="90"/>
      <c r="J26" s="90"/>
      <c r="K26" s="90"/>
      <c r="L26" s="90"/>
      <c r="M26" s="90"/>
      <c r="N26" s="90"/>
      <c r="O26" s="90"/>
      <c r="P26" s="90"/>
    </row>
    <row r="27" spans="1:16" x14ac:dyDescent="0.2">
      <c r="A27" s="90"/>
      <c r="B27" s="90"/>
      <c r="C27" s="90"/>
      <c r="D27" s="90"/>
      <c r="E27" s="90"/>
      <c r="F27" s="90"/>
      <c r="G27" s="90"/>
      <c r="H27" s="90"/>
      <c r="I27" s="90"/>
      <c r="J27" s="90"/>
      <c r="K27" s="90"/>
      <c r="L27" s="90"/>
      <c r="M27" s="90"/>
      <c r="N27" s="90"/>
      <c r="O27" s="90"/>
      <c r="P27" s="90"/>
    </row>
    <row r="28" spans="1:16" x14ac:dyDescent="0.2">
      <c r="A28" s="90"/>
      <c r="B28" s="90"/>
      <c r="C28" s="90"/>
      <c r="D28" s="90"/>
      <c r="E28" s="90"/>
      <c r="F28" s="90"/>
      <c r="G28" s="90"/>
      <c r="H28" s="90"/>
      <c r="I28" s="90"/>
      <c r="J28" s="90"/>
      <c r="K28" s="90"/>
      <c r="L28" s="90"/>
      <c r="M28" s="90"/>
      <c r="N28" s="90"/>
      <c r="O28" s="90"/>
      <c r="P28" s="90"/>
    </row>
    <row r="29" spans="1:16" x14ac:dyDescent="0.2">
      <c r="A29" s="90"/>
      <c r="B29" s="90"/>
      <c r="C29" s="90"/>
      <c r="D29" s="90"/>
      <c r="E29" s="90"/>
      <c r="F29" s="90"/>
      <c r="G29" s="90"/>
      <c r="H29" s="90"/>
      <c r="I29" s="90"/>
      <c r="J29" s="90"/>
      <c r="K29" s="90"/>
      <c r="L29" s="90"/>
      <c r="M29" s="90"/>
      <c r="N29" s="90"/>
      <c r="O29" s="90"/>
      <c r="P29" s="90"/>
    </row>
    <row r="30" spans="1:16" x14ac:dyDescent="0.2">
      <c r="A30" s="90"/>
      <c r="B30" s="90"/>
      <c r="C30" s="90"/>
      <c r="D30" s="90"/>
      <c r="E30" s="90"/>
      <c r="F30" s="90"/>
      <c r="G30" s="90"/>
      <c r="H30" s="90"/>
      <c r="I30" s="90"/>
      <c r="J30" s="90"/>
      <c r="K30" s="90"/>
      <c r="L30" s="90"/>
      <c r="M30" s="90"/>
      <c r="N30" s="90"/>
      <c r="O30" s="90"/>
      <c r="P30" s="90"/>
    </row>
    <row r="31" spans="1:16" x14ac:dyDescent="0.2">
      <c r="A31" s="90"/>
      <c r="B31" s="90"/>
      <c r="C31" s="90"/>
      <c r="D31" s="90"/>
      <c r="E31" s="90"/>
      <c r="F31" s="90"/>
      <c r="G31" s="90"/>
      <c r="H31" s="90"/>
      <c r="I31" s="90"/>
      <c r="J31" s="90"/>
      <c r="K31" s="90"/>
      <c r="L31" s="90"/>
      <c r="M31" s="90"/>
      <c r="N31" s="90"/>
      <c r="O31" s="90"/>
      <c r="P31" s="90"/>
    </row>
    <row r="32" spans="1:16" x14ac:dyDescent="0.2">
      <c r="A32" s="90"/>
      <c r="B32" s="90"/>
      <c r="C32" s="90"/>
      <c r="D32" s="90"/>
      <c r="E32" s="90"/>
      <c r="F32" s="90"/>
      <c r="G32" s="90"/>
      <c r="H32" s="90"/>
      <c r="I32" s="90"/>
      <c r="J32" s="90"/>
      <c r="K32" s="90"/>
      <c r="L32" s="90"/>
      <c r="M32" s="90"/>
      <c r="N32" s="90"/>
      <c r="O32" s="90"/>
      <c r="P32" s="90"/>
    </row>
    <row r="33" spans="1:16" x14ac:dyDescent="0.2">
      <c r="A33" s="90"/>
      <c r="B33" s="90"/>
      <c r="C33" s="90"/>
      <c r="D33" s="90"/>
      <c r="E33" s="90"/>
      <c r="F33" s="90"/>
      <c r="G33" s="90"/>
      <c r="H33" s="90"/>
      <c r="I33" s="90"/>
      <c r="J33" s="90"/>
      <c r="K33" s="90"/>
      <c r="L33" s="90"/>
      <c r="M33" s="90"/>
      <c r="N33" s="90"/>
      <c r="O33" s="90"/>
      <c r="P33" s="90"/>
    </row>
    <row r="34" spans="1:16" x14ac:dyDescent="0.2">
      <c r="A34" s="90"/>
      <c r="B34" s="90"/>
      <c r="C34" s="90"/>
      <c r="D34" s="90"/>
      <c r="E34" s="90"/>
      <c r="F34" s="90"/>
      <c r="G34" s="90"/>
      <c r="H34" s="90"/>
      <c r="I34" s="90"/>
      <c r="J34" s="90"/>
      <c r="K34" s="90"/>
      <c r="L34" s="90"/>
      <c r="M34" s="90"/>
      <c r="N34" s="90"/>
      <c r="O34" s="90"/>
      <c r="P34" s="90"/>
    </row>
    <row r="35" spans="1:16" x14ac:dyDescent="0.2">
      <c r="A35" s="90"/>
      <c r="B35" s="90"/>
      <c r="C35" s="90"/>
      <c r="D35" s="90"/>
      <c r="E35" s="90"/>
      <c r="F35" s="90"/>
      <c r="G35" s="90"/>
      <c r="H35" s="90"/>
      <c r="I35" s="90"/>
      <c r="J35" s="90"/>
      <c r="K35" s="90"/>
      <c r="L35" s="90"/>
      <c r="M35" s="90"/>
      <c r="N35" s="90"/>
      <c r="O35" s="90"/>
      <c r="P35" s="90"/>
    </row>
    <row r="36" spans="1:16" x14ac:dyDescent="0.2">
      <c r="A36" s="90"/>
      <c r="B36" s="90"/>
      <c r="C36" s="90"/>
      <c r="D36" s="90"/>
      <c r="E36" s="90"/>
      <c r="F36" s="90"/>
      <c r="G36" s="90"/>
      <c r="H36" s="90"/>
      <c r="I36" s="90"/>
      <c r="J36" s="90"/>
      <c r="K36" s="90"/>
      <c r="L36" s="90"/>
      <c r="M36" s="90"/>
      <c r="N36" s="90"/>
      <c r="O36" s="90"/>
      <c r="P36" s="90"/>
    </row>
    <row r="37" spans="1:16" x14ac:dyDescent="0.2">
      <c r="A37" s="90"/>
      <c r="B37" s="90"/>
      <c r="C37" s="90"/>
      <c r="D37" s="90"/>
      <c r="E37" s="90"/>
      <c r="F37" s="90"/>
      <c r="G37" s="90"/>
      <c r="H37" s="90"/>
      <c r="I37" s="90"/>
      <c r="J37" s="90"/>
      <c r="K37" s="90"/>
      <c r="L37" s="90"/>
      <c r="M37" s="90"/>
      <c r="N37" s="90"/>
      <c r="O37" s="90"/>
      <c r="P37" s="90"/>
    </row>
    <row r="38" spans="1:16" x14ac:dyDescent="0.2">
      <c r="A38" s="90"/>
      <c r="B38" s="90"/>
      <c r="C38" s="90"/>
      <c r="D38" s="90"/>
      <c r="E38" s="90"/>
      <c r="F38" s="90"/>
      <c r="G38" s="90"/>
      <c r="H38" s="90"/>
      <c r="I38" s="90"/>
      <c r="J38" s="90"/>
      <c r="K38" s="90"/>
      <c r="L38" s="90"/>
      <c r="M38" s="90"/>
      <c r="N38" s="90"/>
      <c r="O38" s="90"/>
      <c r="P38" s="90"/>
    </row>
    <row r="39" spans="1:16" x14ac:dyDescent="0.2">
      <c r="A39" s="90"/>
      <c r="B39" s="90"/>
      <c r="C39" s="90"/>
      <c r="D39" s="90"/>
      <c r="E39" s="90"/>
      <c r="F39" s="90"/>
      <c r="G39" s="90"/>
      <c r="H39" s="90"/>
      <c r="I39" s="90"/>
      <c r="J39" s="90"/>
      <c r="K39" s="90"/>
      <c r="L39" s="90"/>
      <c r="M39" s="90"/>
      <c r="N39" s="90"/>
      <c r="O39" s="90"/>
      <c r="P39" s="90"/>
    </row>
    <row r="40" spans="1:16" x14ac:dyDescent="0.2">
      <c r="A40" s="90"/>
      <c r="B40" s="90"/>
      <c r="C40" s="90"/>
      <c r="D40" s="90"/>
      <c r="E40" s="90"/>
      <c r="F40" s="90"/>
      <c r="G40" s="90"/>
      <c r="H40" s="90"/>
      <c r="I40" s="90"/>
      <c r="J40" s="90"/>
      <c r="K40" s="90"/>
      <c r="L40" s="90"/>
      <c r="M40" s="90"/>
      <c r="N40" s="90"/>
      <c r="O40" s="90"/>
      <c r="P40" s="90"/>
    </row>
    <row r="41" spans="1:16" x14ac:dyDescent="0.2">
      <c r="A41" s="90"/>
      <c r="B41" s="90"/>
      <c r="C41" s="90"/>
      <c r="D41" s="90"/>
      <c r="E41" s="90"/>
      <c r="F41" s="90"/>
      <c r="G41" s="90"/>
      <c r="H41" s="90"/>
      <c r="I41" s="90"/>
      <c r="J41" s="90"/>
      <c r="K41" s="90"/>
      <c r="L41" s="90"/>
      <c r="M41" s="90"/>
      <c r="N41" s="90"/>
      <c r="O41" s="90"/>
      <c r="P41" s="90"/>
    </row>
    <row r="42" spans="1:16" x14ac:dyDescent="0.2">
      <c r="A42" s="90"/>
      <c r="B42" s="90"/>
      <c r="C42" s="90"/>
      <c r="D42" s="90"/>
      <c r="E42" s="90"/>
      <c r="F42" s="90"/>
      <c r="G42" s="90"/>
      <c r="H42" s="90"/>
      <c r="I42" s="90"/>
      <c r="J42" s="90"/>
      <c r="K42" s="90"/>
      <c r="L42" s="90"/>
      <c r="M42" s="90"/>
      <c r="N42" s="90"/>
      <c r="O42" s="90"/>
      <c r="P42" s="90"/>
    </row>
    <row r="43" spans="1:16" x14ac:dyDescent="0.2">
      <c r="A43" s="90"/>
      <c r="B43" s="90"/>
      <c r="C43" s="90"/>
      <c r="D43" s="90"/>
      <c r="E43" s="90"/>
      <c r="F43" s="90"/>
      <c r="G43" s="90"/>
      <c r="H43" s="90"/>
      <c r="I43" s="90"/>
      <c r="J43" s="90"/>
      <c r="K43" s="90"/>
      <c r="L43" s="90"/>
      <c r="M43" s="90"/>
      <c r="N43" s="90"/>
      <c r="O43" s="90"/>
      <c r="P43" s="90"/>
    </row>
    <row r="44" spans="1:16" x14ac:dyDescent="0.2">
      <c r="A44" s="90"/>
      <c r="B44" s="90"/>
      <c r="C44" s="90"/>
      <c r="D44" s="90"/>
      <c r="E44" s="90"/>
      <c r="F44" s="90"/>
      <c r="G44" s="90"/>
      <c r="H44" s="90"/>
      <c r="I44" s="90"/>
      <c r="J44" s="90"/>
      <c r="K44" s="90"/>
      <c r="L44" s="90"/>
      <c r="M44" s="90"/>
      <c r="N44" s="90"/>
      <c r="O44" s="90"/>
      <c r="P44" s="90"/>
    </row>
    <row r="45" spans="1:16" x14ac:dyDescent="0.2">
      <c r="A45" s="90"/>
      <c r="B45" s="90"/>
      <c r="C45" s="90"/>
      <c r="D45" s="90"/>
      <c r="E45" s="90"/>
      <c r="F45" s="90"/>
      <c r="G45" s="90"/>
      <c r="H45" s="90"/>
      <c r="I45" s="90"/>
      <c r="J45" s="90"/>
      <c r="K45" s="90"/>
      <c r="L45" s="90"/>
      <c r="M45" s="90"/>
      <c r="N45" s="90"/>
      <c r="O45" s="90"/>
      <c r="P45" s="90"/>
    </row>
    <row r="46" spans="1:16" x14ac:dyDescent="0.2">
      <c r="A46" s="90"/>
      <c r="B46" s="90"/>
      <c r="C46" s="90"/>
      <c r="D46" s="90"/>
      <c r="E46" s="90"/>
      <c r="F46" s="90"/>
      <c r="G46" s="90"/>
      <c r="H46" s="90"/>
      <c r="I46" s="90"/>
      <c r="J46" s="90"/>
      <c r="K46" s="90"/>
      <c r="L46" s="90"/>
      <c r="M46" s="90"/>
      <c r="N46" s="90"/>
      <c r="O46" s="90"/>
      <c r="P46" s="90"/>
    </row>
    <row r="47" spans="1:16" x14ac:dyDescent="0.2">
      <c r="A47" s="90"/>
      <c r="B47" s="90"/>
      <c r="C47" s="90"/>
      <c r="D47" s="90"/>
      <c r="E47" s="90"/>
      <c r="F47" s="90"/>
      <c r="G47" s="90"/>
      <c r="H47" s="90"/>
      <c r="I47" s="90"/>
      <c r="J47" s="90"/>
      <c r="K47" s="90"/>
      <c r="L47" s="90"/>
      <c r="M47" s="90"/>
      <c r="N47" s="90"/>
      <c r="O47" s="90"/>
      <c r="P47" s="90"/>
    </row>
    <row r="48" spans="1:16" x14ac:dyDescent="0.2">
      <c r="A48" s="90"/>
      <c r="B48" s="90"/>
      <c r="C48" s="90"/>
      <c r="D48" s="90"/>
      <c r="E48" s="90"/>
      <c r="F48" s="90"/>
      <c r="G48" s="90"/>
      <c r="H48" s="90"/>
      <c r="I48" s="90"/>
      <c r="J48" s="90"/>
      <c r="K48" s="90"/>
      <c r="L48" s="90"/>
      <c r="M48" s="90"/>
      <c r="N48" s="90"/>
      <c r="O48" s="90"/>
      <c r="P48" s="90"/>
    </row>
    <row r="49" spans="1:16" x14ac:dyDescent="0.2">
      <c r="A49" s="90"/>
      <c r="B49" s="90"/>
      <c r="C49" s="90"/>
      <c r="D49" s="90"/>
      <c r="E49" s="90"/>
      <c r="F49" s="90"/>
      <c r="G49" s="90"/>
      <c r="H49" s="90"/>
      <c r="I49" s="90"/>
      <c r="J49" s="90"/>
      <c r="K49" s="90"/>
      <c r="L49" s="90"/>
      <c r="M49" s="90"/>
      <c r="N49" s="90"/>
      <c r="O49" s="90"/>
      <c r="P49" s="90"/>
    </row>
    <row r="50" spans="1:16" x14ac:dyDescent="0.2">
      <c r="A50" s="90"/>
      <c r="B50" s="90"/>
      <c r="C50" s="90"/>
      <c r="D50" s="90"/>
      <c r="E50" s="90"/>
      <c r="F50" s="90"/>
      <c r="G50" s="90"/>
      <c r="H50" s="90"/>
      <c r="I50" s="90"/>
      <c r="J50" s="90"/>
      <c r="K50" s="90"/>
      <c r="L50" s="90"/>
      <c r="M50" s="90"/>
      <c r="N50" s="90"/>
      <c r="O50" s="90"/>
      <c r="P50" s="90"/>
    </row>
    <row r="51" spans="1:16" x14ac:dyDescent="0.2">
      <c r="A51" s="90"/>
      <c r="B51" s="90"/>
      <c r="C51" s="90"/>
      <c r="D51" s="90"/>
      <c r="E51" s="90"/>
      <c r="F51" s="90"/>
      <c r="G51" s="90"/>
      <c r="H51" s="90"/>
      <c r="I51" s="90"/>
      <c r="J51" s="90"/>
      <c r="K51" s="90"/>
      <c r="L51" s="90"/>
      <c r="M51" s="90"/>
      <c r="N51" s="90"/>
      <c r="O51" s="90"/>
      <c r="P51" s="90"/>
    </row>
    <row r="52" spans="1:16" x14ac:dyDescent="0.2">
      <c r="A52" s="90"/>
      <c r="B52" s="90"/>
      <c r="C52" s="90"/>
      <c r="D52" s="90"/>
      <c r="E52" s="90"/>
      <c r="F52" s="90"/>
      <c r="G52" s="90"/>
      <c r="H52" s="90"/>
      <c r="I52" s="90"/>
      <c r="J52" s="90"/>
      <c r="K52" s="90"/>
      <c r="L52" s="90"/>
      <c r="M52" s="90"/>
      <c r="N52" s="90"/>
      <c r="O52" s="90"/>
      <c r="P52" s="90"/>
    </row>
    <row r="53" spans="1:16" x14ac:dyDescent="0.2">
      <c r="A53" s="90"/>
      <c r="B53" s="90"/>
      <c r="C53" s="90"/>
      <c r="D53" s="90"/>
      <c r="E53" s="90"/>
      <c r="F53" s="90"/>
      <c r="G53" s="90"/>
      <c r="H53" s="90"/>
      <c r="I53" s="90"/>
      <c r="J53" s="90"/>
      <c r="K53" s="90"/>
      <c r="L53" s="90"/>
      <c r="M53" s="90"/>
      <c r="N53" s="90"/>
      <c r="O53" s="90"/>
      <c r="P53" s="90"/>
    </row>
    <row r="54" spans="1:16" x14ac:dyDescent="0.2">
      <c r="A54" s="90"/>
      <c r="B54" s="90"/>
      <c r="C54" s="90"/>
      <c r="D54" s="90"/>
      <c r="E54" s="90"/>
      <c r="F54" s="90"/>
      <c r="G54" s="90"/>
      <c r="H54" s="90"/>
      <c r="I54" s="90"/>
      <c r="J54" s="90"/>
      <c r="K54" s="90"/>
      <c r="L54" s="90"/>
      <c r="M54" s="90"/>
      <c r="N54" s="90"/>
      <c r="O54" s="90"/>
      <c r="P54" s="90"/>
    </row>
    <row r="55" spans="1:16" x14ac:dyDescent="0.2">
      <c r="A55" s="90"/>
      <c r="B55" s="90"/>
      <c r="C55" s="90"/>
      <c r="D55" s="90"/>
      <c r="E55" s="90"/>
      <c r="F55" s="90"/>
      <c r="G55" s="90"/>
      <c r="H55" s="90"/>
      <c r="I55" s="90"/>
      <c r="J55" s="90"/>
      <c r="K55" s="90"/>
      <c r="L55" s="90"/>
      <c r="M55" s="90"/>
      <c r="N55" s="90"/>
      <c r="O55" s="90"/>
      <c r="P55" s="90"/>
    </row>
    <row r="56" spans="1:16" x14ac:dyDescent="0.2">
      <c r="A56" s="90"/>
      <c r="B56" s="90"/>
      <c r="C56" s="90"/>
      <c r="D56" s="90"/>
      <c r="E56" s="90"/>
      <c r="F56" s="90"/>
      <c r="G56" s="90"/>
      <c r="H56" s="90"/>
      <c r="I56" s="90"/>
      <c r="J56" s="90"/>
      <c r="K56" s="90"/>
      <c r="L56" s="90"/>
      <c r="M56" s="90"/>
      <c r="N56" s="90"/>
      <c r="O56" s="90"/>
      <c r="P56" s="90"/>
    </row>
    <row r="57" spans="1:16" x14ac:dyDescent="0.2">
      <c r="A57" s="90"/>
      <c r="B57" s="90"/>
      <c r="C57" s="90"/>
      <c r="D57" s="90"/>
      <c r="E57" s="90"/>
      <c r="F57" s="90"/>
      <c r="G57" s="90"/>
      <c r="H57" s="90"/>
      <c r="I57" s="90"/>
      <c r="J57" s="90"/>
      <c r="K57" s="90"/>
      <c r="L57" s="90"/>
      <c r="M57" s="90"/>
      <c r="N57" s="90"/>
      <c r="O57" s="90"/>
      <c r="P57" s="90"/>
    </row>
    <row r="58" spans="1:16" x14ac:dyDescent="0.2">
      <c r="A58" s="90"/>
      <c r="B58" s="90"/>
      <c r="C58" s="90"/>
      <c r="D58" s="90"/>
      <c r="E58" s="90"/>
      <c r="F58" s="90"/>
      <c r="G58" s="90"/>
      <c r="H58" s="90"/>
      <c r="I58" s="90"/>
      <c r="J58" s="90"/>
      <c r="K58" s="90"/>
      <c r="L58" s="90"/>
      <c r="M58" s="90"/>
      <c r="N58" s="90"/>
      <c r="O58" s="90"/>
      <c r="P58" s="90"/>
    </row>
    <row r="59" spans="1:16" x14ac:dyDescent="0.2">
      <c r="A59" s="90"/>
      <c r="B59" s="90"/>
      <c r="C59" s="90"/>
      <c r="D59" s="90"/>
      <c r="E59" s="90"/>
      <c r="F59" s="90"/>
      <c r="G59" s="90"/>
      <c r="H59" s="90"/>
      <c r="I59" s="90"/>
      <c r="J59" s="90"/>
      <c r="K59" s="90"/>
      <c r="L59" s="90"/>
      <c r="M59" s="90"/>
      <c r="N59" s="90"/>
      <c r="O59" s="90"/>
      <c r="P59" s="90"/>
    </row>
    <row r="60" spans="1:16" x14ac:dyDescent="0.2">
      <c r="A60" s="90"/>
      <c r="B60" s="90"/>
      <c r="C60" s="90"/>
      <c r="D60" s="90"/>
      <c r="E60" s="90"/>
      <c r="F60" s="90"/>
      <c r="G60" s="90"/>
      <c r="H60" s="90"/>
      <c r="I60" s="90"/>
      <c r="J60" s="90"/>
      <c r="K60" s="90"/>
      <c r="L60" s="90"/>
      <c r="M60" s="90"/>
      <c r="N60" s="90"/>
      <c r="O60" s="90"/>
      <c r="P60" s="90"/>
    </row>
    <row r="61" spans="1:16" x14ac:dyDescent="0.2">
      <c r="A61" s="90"/>
      <c r="B61" s="90"/>
      <c r="C61" s="90"/>
      <c r="D61" s="90"/>
      <c r="E61" s="90"/>
      <c r="F61" s="90"/>
      <c r="G61" s="90"/>
      <c r="H61" s="90"/>
      <c r="I61" s="90"/>
      <c r="J61" s="90"/>
      <c r="K61" s="90"/>
      <c r="L61" s="90"/>
      <c r="M61" s="90"/>
      <c r="N61" s="90"/>
      <c r="O61" s="90"/>
      <c r="P61" s="90"/>
    </row>
    <row r="62" spans="1:16" x14ac:dyDescent="0.2">
      <c r="A62" s="90"/>
      <c r="B62" s="90"/>
      <c r="C62" s="90"/>
      <c r="D62" s="90"/>
      <c r="E62" s="90"/>
      <c r="F62" s="90"/>
      <c r="G62" s="90"/>
      <c r="H62" s="90"/>
      <c r="I62" s="90"/>
      <c r="J62" s="90"/>
      <c r="K62" s="90"/>
      <c r="L62" s="90"/>
      <c r="M62" s="90"/>
      <c r="N62" s="90"/>
      <c r="O62" s="90"/>
      <c r="P62" s="90"/>
    </row>
    <row r="63" spans="1:16" x14ac:dyDescent="0.2">
      <c r="A63" s="90"/>
      <c r="B63" s="90"/>
      <c r="C63" s="90"/>
      <c r="D63" s="90"/>
      <c r="E63" s="90"/>
      <c r="F63" s="90"/>
      <c r="G63" s="90"/>
      <c r="H63" s="90"/>
      <c r="I63" s="90"/>
      <c r="J63" s="90"/>
      <c r="K63" s="90"/>
      <c r="L63" s="90"/>
      <c r="M63" s="90"/>
      <c r="N63" s="90"/>
      <c r="O63" s="90"/>
      <c r="P63" s="90"/>
    </row>
    <row r="64" spans="1:16" x14ac:dyDescent="0.2">
      <c r="A64" s="90"/>
      <c r="B64" s="90"/>
      <c r="C64" s="90"/>
      <c r="D64" s="90"/>
      <c r="E64" s="90"/>
      <c r="F64" s="90"/>
      <c r="G64" s="90"/>
      <c r="H64" s="90"/>
      <c r="I64" s="90"/>
      <c r="J64" s="90"/>
      <c r="K64" s="90"/>
      <c r="L64" s="90"/>
      <c r="M64" s="90"/>
      <c r="N64" s="90"/>
      <c r="O64" s="90"/>
      <c r="P64" s="90"/>
    </row>
    <row r="65" spans="1:16" x14ac:dyDescent="0.2">
      <c r="A65" s="90"/>
      <c r="B65" s="90"/>
      <c r="C65" s="90"/>
      <c r="D65" s="90"/>
      <c r="E65" s="90"/>
      <c r="F65" s="90"/>
      <c r="G65" s="90"/>
      <c r="H65" s="90"/>
      <c r="I65" s="90"/>
      <c r="J65" s="90"/>
      <c r="K65" s="90"/>
      <c r="L65" s="90"/>
      <c r="M65" s="90"/>
      <c r="N65" s="90"/>
      <c r="O65" s="90"/>
      <c r="P65" s="90"/>
    </row>
    <row r="66" spans="1:16" x14ac:dyDescent="0.2">
      <c r="A66" s="90"/>
      <c r="B66" s="90"/>
      <c r="C66" s="90"/>
      <c r="D66" s="90"/>
      <c r="E66" s="90"/>
      <c r="F66" s="90"/>
      <c r="G66" s="90"/>
      <c r="H66" s="90"/>
      <c r="I66" s="90"/>
      <c r="J66" s="90"/>
      <c r="K66" s="90"/>
      <c r="L66" s="90"/>
      <c r="M66" s="90"/>
      <c r="N66" s="90"/>
      <c r="O66" s="90"/>
      <c r="P66" s="90"/>
    </row>
    <row r="67" spans="1:16" x14ac:dyDescent="0.2">
      <c r="A67" s="90"/>
      <c r="B67" s="90"/>
      <c r="C67" s="90"/>
      <c r="D67" s="90"/>
      <c r="E67" s="90"/>
      <c r="F67" s="90"/>
      <c r="G67" s="90"/>
      <c r="H67" s="90"/>
      <c r="I67" s="90"/>
      <c r="J67" s="90"/>
      <c r="K67" s="90"/>
      <c r="L67" s="90"/>
      <c r="M67" s="90"/>
      <c r="N67" s="90"/>
      <c r="O67" s="90"/>
      <c r="P67" s="90"/>
    </row>
    <row r="68" spans="1:16" x14ac:dyDescent="0.2">
      <c r="A68" s="90"/>
      <c r="B68" s="90"/>
      <c r="C68" s="90"/>
      <c r="D68" s="90"/>
      <c r="E68" s="90"/>
      <c r="F68" s="90"/>
      <c r="G68" s="90"/>
      <c r="H68" s="90"/>
      <c r="I68" s="90"/>
      <c r="J68" s="90"/>
      <c r="K68" s="90"/>
      <c r="L68" s="90"/>
      <c r="M68" s="90"/>
      <c r="N68" s="90"/>
      <c r="O68" s="90"/>
      <c r="P68" s="90"/>
    </row>
    <row r="69" spans="1:16" x14ac:dyDescent="0.2">
      <c r="A69" s="90"/>
      <c r="B69" s="90"/>
      <c r="C69" s="90"/>
      <c r="D69" s="90"/>
      <c r="E69" s="90"/>
      <c r="F69" s="90"/>
      <c r="G69" s="90"/>
      <c r="H69" s="90"/>
      <c r="I69" s="90"/>
      <c r="J69" s="90"/>
      <c r="K69" s="90"/>
      <c r="L69" s="90"/>
      <c r="M69" s="90"/>
      <c r="N69" s="90"/>
      <c r="O69" s="90"/>
      <c r="P69" s="90"/>
    </row>
    <row r="70" spans="1:16" x14ac:dyDescent="0.2">
      <c r="A70" s="90"/>
      <c r="B70" s="90"/>
      <c r="C70" s="90"/>
      <c r="D70" s="90"/>
      <c r="E70" s="90"/>
      <c r="F70" s="90"/>
      <c r="G70" s="90"/>
      <c r="H70" s="90"/>
      <c r="I70" s="90"/>
      <c r="J70" s="90"/>
      <c r="K70" s="90"/>
      <c r="L70" s="90"/>
      <c r="M70" s="90"/>
      <c r="N70" s="90"/>
      <c r="O70" s="90"/>
      <c r="P70" s="90"/>
    </row>
    <row r="71" spans="1:16" x14ac:dyDescent="0.2">
      <c r="A71" s="90"/>
      <c r="B71" s="90"/>
      <c r="C71" s="90"/>
      <c r="D71" s="90"/>
      <c r="E71" s="90"/>
      <c r="F71" s="90"/>
      <c r="G71" s="90"/>
      <c r="H71" s="90"/>
      <c r="I71" s="90"/>
      <c r="J71" s="90"/>
      <c r="K71" s="90"/>
      <c r="L71" s="90"/>
      <c r="M71" s="90"/>
      <c r="N71" s="90"/>
      <c r="O71" s="90"/>
      <c r="P71" s="90"/>
    </row>
    <row r="72" spans="1:16" x14ac:dyDescent="0.2">
      <c r="A72" s="90"/>
      <c r="B72" s="90"/>
      <c r="C72" s="90"/>
      <c r="D72" s="90"/>
      <c r="E72" s="90"/>
      <c r="F72" s="90"/>
      <c r="G72" s="90"/>
      <c r="H72" s="90"/>
      <c r="I72" s="90"/>
      <c r="J72" s="90"/>
      <c r="K72" s="90"/>
      <c r="L72" s="90"/>
      <c r="M72" s="90"/>
      <c r="N72" s="90"/>
      <c r="O72" s="90"/>
      <c r="P72" s="90"/>
    </row>
    <row r="73" spans="1:16" x14ac:dyDescent="0.2">
      <c r="A73" s="90"/>
      <c r="B73" s="90"/>
      <c r="C73" s="90"/>
      <c r="D73" s="90"/>
      <c r="E73" s="90"/>
      <c r="F73" s="90"/>
      <c r="G73" s="90"/>
      <c r="H73" s="90"/>
      <c r="I73" s="90"/>
      <c r="J73" s="90"/>
      <c r="K73" s="90"/>
      <c r="L73" s="90"/>
      <c r="M73" s="90"/>
      <c r="N73" s="90"/>
      <c r="O73" s="90"/>
      <c r="P73" s="90"/>
    </row>
    <row r="74" spans="1:16" x14ac:dyDescent="0.2">
      <c r="A74" s="90"/>
      <c r="B74" s="90"/>
      <c r="C74" s="90"/>
      <c r="D74" s="90"/>
      <c r="E74" s="90"/>
      <c r="F74" s="90"/>
      <c r="G74" s="90"/>
      <c r="H74" s="90"/>
      <c r="I74" s="90"/>
      <c r="J74" s="90"/>
      <c r="K74" s="90"/>
      <c r="L74" s="90"/>
      <c r="M74" s="90"/>
      <c r="N74" s="90"/>
      <c r="O74" s="90"/>
      <c r="P74" s="90"/>
    </row>
    <row r="75" spans="1:16" x14ac:dyDescent="0.2">
      <c r="A75" s="90"/>
      <c r="B75" s="90"/>
      <c r="C75" s="90"/>
      <c r="D75" s="90"/>
      <c r="E75" s="90"/>
      <c r="F75" s="90"/>
      <c r="G75" s="90"/>
      <c r="H75" s="90"/>
      <c r="I75" s="90"/>
      <c r="J75" s="90"/>
      <c r="K75" s="90"/>
      <c r="L75" s="90"/>
      <c r="M75" s="90"/>
      <c r="N75" s="90"/>
      <c r="O75" s="90"/>
      <c r="P75" s="90"/>
    </row>
    <row r="76" spans="1:16" x14ac:dyDescent="0.2">
      <c r="A76" s="90"/>
      <c r="B76" s="90"/>
      <c r="C76" s="90"/>
      <c r="D76" s="90"/>
      <c r="E76" s="90"/>
      <c r="F76" s="90"/>
      <c r="G76" s="90"/>
      <c r="H76" s="90"/>
      <c r="I76" s="90"/>
      <c r="J76" s="90"/>
      <c r="K76" s="90"/>
      <c r="L76" s="90"/>
      <c r="M76" s="90"/>
      <c r="N76" s="90"/>
      <c r="O76" s="90"/>
      <c r="P76" s="90"/>
    </row>
    <row r="77" spans="1:16" x14ac:dyDescent="0.2">
      <c r="A77" s="90"/>
      <c r="B77" s="90"/>
      <c r="C77" s="90"/>
      <c r="D77" s="90"/>
      <c r="E77" s="90"/>
      <c r="F77" s="90"/>
      <c r="G77" s="90"/>
      <c r="H77" s="90"/>
      <c r="I77" s="90"/>
      <c r="J77" s="90"/>
      <c r="K77" s="90"/>
      <c r="L77" s="90"/>
      <c r="M77" s="90"/>
      <c r="N77" s="90"/>
      <c r="O77" s="90"/>
      <c r="P77" s="90"/>
    </row>
    <row r="78" spans="1:16" x14ac:dyDescent="0.2">
      <c r="A78" s="90"/>
      <c r="B78" s="90"/>
      <c r="C78" s="90"/>
      <c r="D78" s="90"/>
      <c r="E78" s="90"/>
      <c r="F78" s="90"/>
      <c r="G78" s="90"/>
      <c r="H78" s="90"/>
      <c r="I78" s="90"/>
      <c r="J78" s="90"/>
      <c r="K78" s="90"/>
      <c r="L78" s="90"/>
      <c r="M78" s="90"/>
      <c r="N78" s="90"/>
      <c r="O78" s="90"/>
      <c r="P78" s="90"/>
    </row>
    <row r="79" spans="1:16" x14ac:dyDescent="0.2">
      <c r="A79" s="90"/>
      <c r="B79" s="90"/>
      <c r="C79" s="90"/>
      <c r="D79" s="90"/>
      <c r="E79" s="90"/>
      <c r="F79" s="90"/>
      <c r="G79" s="90"/>
      <c r="H79" s="90"/>
      <c r="I79" s="90"/>
      <c r="J79" s="90"/>
      <c r="K79" s="90"/>
      <c r="L79" s="90"/>
      <c r="M79" s="90"/>
      <c r="N79" s="90"/>
      <c r="O79" s="90"/>
      <c r="P79" s="90"/>
    </row>
    <row r="80" spans="1:16" x14ac:dyDescent="0.2">
      <c r="A80" s="90"/>
      <c r="B80" s="90"/>
      <c r="C80" s="90"/>
      <c r="D80" s="90"/>
      <c r="E80" s="90"/>
      <c r="F80" s="90"/>
      <c r="G80" s="90"/>
      <c r="H80" s="90"/>
      <c r="I80" s="90"/>
      <c r="J80" s="90"/>
      <c r="K80" s="90"/>
      <c r="L80" s="90"/>
      <c r="M80" s="90"/>
      <c r="N80" s="90"/>
      <c r="O80" s="90"/>
      <c r="P80" s="90"/>
    </row>
    <row r="81" spans="1:16" x14ac:dyDescent="0.2">
      <c r="A81" s="90"/>
      <c r="B81" s="90"/>
      <c r="C81" s="90"/>
      <c r="D81" s="90"/>
      <c r="E81" s="90"/>
      <c r="F81" s="90"/>
      <c r="G81" s="90"/>
      <c r="H81" s="90"/>
      <c r="I81" s="90"/>
      <c r="J81" s="90"/>
      <c r="K81" s="90"/>
      <c r="L81" s="90"/>
      <c r="M81" s="90"/>
      <c r="N81" s="90"/>
      <c r="O81" s="90"/>
      <c r="P81" s="90"/>
    </row>
    <row r="82" spans="1:16" x14ac:dyDescent="0.2">
      <c r="A82" s="90"/>
      <c r="B82" s="90"/>
      <c r="C82" s="90"/>
      <c r="D82" s="90"/>
      <c r="E82" s="90"/>
      <c r="F82" s="90"/>
      <c r="G82" s="90"/>
      <c r="H82" s="90"/>
      <c r="I82" s="90"/>
      <c r="J82" s="90"/>
      <c r="K82" s="90"/>
      <c r="L82" s="90"/>
      <c r="M82" s="90"/>
      <c r="N82" s="90"/>
      <c r="O82" s="90"/>
      <c r="P82" s="90"/>
    </row>
    <row r="83" spans="1:16" x14ac:dyDescent="0.2">
      <c r="A83" s="90"/>
      <c r="B83" s="90"/>
      <c r="C83" s="90"/>
      <c r="D83" s="90"/>
      <c r="E83" s="90"/>
      <c r="F83" s="90"/>
      <c r="G83" s="90"/>
      <c r="H83" s="90"/>
      <c r="I83" s="90"/>
      <c r="J83" s="90"/>
      <c r="K83" s="90"/>
      <c r="L83" s="90"/>
      <c r="M83" s="90"/>
      <c r="N83" s="90"/>
      <c r="O83" s="90"/>
      <c r="P83" s="90"/>
    </row>
    <row r="84" spans="1:16" x14ac:dyDescent="0.2">
      <c r="A84" s="90"/>
      <c r="B84" s="90"/>
      <c r="C84" s="90"/>
      <c r="D84" s="90"/>
      <c r="E84" s="90"/>
      <c r="F84" s="90"/>
      <c r="G84" s="90"/>
      <c r="H84" s="90"/>
      <c r="I84" s="90"/>
      <c r="J84" s="90"/>
      <c r="K84" s="90"/>
      <c r="L84" s="90"/>
      <c r="M84" s="90"/>
      <c r="N84" s="90"/>
      <c r="O84" s="90"/>
      <c r="P84" s="90"/>
    </row>
    <row r="85" spans="1:16" x14ac:dyDescent="0.2">
      <c r="A85" s="90"/>
      <c r="B85" s="90"/>
      <c r="C85" s="90"/>
      <c r="D85" s="90"/>
      <c r="E85" s="90"/>
      <c r="F85" s="90"/>
      <c r="G85" s="90"/>
      <c r="H85" s="90"/>
      <c r="I85" s="90"/>
      <c r="J85" s="90"/>
      <c r="K85" s="90"/>
      <c r="L85" s="90"/>
      <c r="M85" s="90"/>
      <c r="N85" s="90"/>
      <c r="O85" s="90"/>
      <c r="P85" s="90"/>
    </row>
    <row r="86" spans="1:16" x14ac:dyDescent="0.2">
      <c r="A86" s="90"/>
      <c r="B86" s="90"/>
      <c r="C86" s="90"/>
      <c r="D86" s="90"/>
      <c r="E86" s="90"/>
      <c r="F86" s="90"/>
      <c r="G86" s="90"/>
      <c r="H86" s="90"/>
      <c r="I86" s="90"/>
      <c r="J86" s="90"/>
      <c r="K86" s="90"/>
      <c r="L86" s="90"/>
      <c r="M86" s="90"/>
      <c r="N86" s="90"/>
      <c r="O86" s="90"/>
      <c r="P86" s="90"/>
    </row>
    <row r="87" spans="1:16" x14ac:dyDescent="0.2">
      <c r="A87" s="90"/>
      <c r="B87" s="90"/>
      <c r="C87" s="90"/>
      <c r="D87" s="90"/>
      <c r="E87" s="90"/>
      <c r="F87" s="90"/>
      <c r="G87" s="90"/>
      <c r="H87" s="90"/>
      <c r="I87" s="90"/>
      <c r="J87" s="90"/>
      <c r="K87" s="90"/>
      <c r="L87" s="90"/>
      <c r="M87" s="90"/>
      <c r="N87" s="90"/>
      <c r="O87" s="90"/>
      <c r="P87" s="90"/>
    </row>
    <row r="88" spans="1:16" x14ac:dyDescent="0.2">
      <c r="A88" s="90"/>
      <c r="B88" s="90"/>
      <c r="C88" s="90"/>
      <c r="D88" s="90"/>
      <c r="E88" s="90"/>
      <c r="F88" s="90"/>
      <c r="G88" s="90"/>
      <c r="H88" s="90"/>
      <c r="I88" s="90"/>
      <c r="J88" s="90"/>
      <c r="K88" s="90"/>
      <c r="L88" s="90"/>
      <c r="M88" s="90"/>
      <c r="N88" s="90"/>
      <c r="O88" s="90"/>
      <c r="P88" s="90"/>
    </row>
    <row r="89" spans="1:16" x14ac:dyDescent="0.2">
      <c r="A89" s="90"/>
      <c r="B89" s="90"/>
      <c r="C89" s="90"/>
      <c r="D89" s="90"/>
      <c r="E89" s="90"/>
      <c r="F89" s="90"/>
      <c r="G89" s="90"/>
      <c r="H89" s="90"/>
      <c r="I89" s="90"/>
      <c r="J89" s="90"/>
      <c r="K89" s="90"/>
      <c r="L89" s="90"/>
      <c r="M89" s="90"/>
      <c r="N89" s="90"/>
      <c r="O89" s="90"/>
      <c r="P89" s="90"/>
    </row>
    <row r="90" spans="1:16" x14ac:dyDescent="0.2">
      <c r="A90" s="90"/>
      <c r="B90" s="90"/>
      <c r="C90" s="90"/>
      <c r="D90" s="90"/>
      <c r="E90" s="90"/>
      <c r="F90" s="90"/>
      <c r="G90" s="90"/>
      <c r="H90" s="90"/>
      <c r="I90" s="90"/>
      <c r="J90" s="90"/>
      <c r="K90" s="90"/>
      <c r="L90" s="90"/>
      <c r="M90" s="90"/>
      <c r="N90" s="90"/>
      <c r="O90" s="90"/>
      <c r="P90" s="90"/>
    </row>
    <row r="91" spans="1:16" x14ac:dyDescent="0.2">
      <c r="A91" s="90"/>
      <c r="B91" s="90"/>
      <c r="C91" s="90"/>
      <c r="D91" s="90"/>
      <c r="E91" s="90"/>
      <c r="F91" s="90"/>
      <c r="G91" s="90"/>
      <c r="H91" s="90"/>
      <c r="I91" s="90"/>
      <c r="J91" s="90"/>
      <c r="K91" s="90"/>
      <c r="L91" s="90"/>
      <c r="M91" s="90"/>
      <c r="N91" s="90"/>
      <c r="O91" s="90"/>
      <c r="P91" s="90"/>
    </row>
    <row r="92" spans="1:16" x14ac:dyDescent="0.2">
      <c r="A92" s="90"/>
      <c r="B92" s="90"/>
      <c r="C92" s="90"/>
      <c r="D92" s="90"/>
      <c r="E92" s="90"/>
      <c r="F92" s="90"/>
      <c r="G92" s="90"/>
      <c r="H92" s="90"/>
      <c r="I92" s="90"/>
      <c r="J92" s="90"/>
      <c r="K92" s="90"/>
      <c r="L92" s="90"/>
      <c r="M92" s="90"/>
      <c r="N92" s="90"/>
      <c r="O92" s="90"/>
      <c r="P92" s="90"/>
    </row>
    <row r="93" spans="1:16" x14ac:dyDescent="0.2">
      <c r="A93" s="90"/>
      <c r="B93" s="90"/>
      <c r="C93" s="90"/>
      <c r="D93" s="90"/>
      <c r="E93" s="90"/>
      <c r="F93" s="90"/>
      <c r="G93" s="90"/>
      <c r="H93" s="90"/>
      <c r="I93" s="90"/>
      <c r="J93" s="90"/>
      <c r="K93" s="90"/>
      <c r="L93" s="90"/>
      <c r="M93" s="90"/>
      <c r="N93" s="90"/>
      <c r="O93" s="90"/>
      <c r="P93" s="90"/>
    </row>
    <row r="94" spans="1:16" x14ac:dyDescent="0.2">
      <c r="A94" s="90"/>
      <c r="B94" s="90"/>
      <c r="C94" s="90"/>
      <c r="D94" s="90"/>
      <c r="E94" s="90"/>
      <c r="F94" s="90"/>
      <c r="G94" s="90"/>
      <c r="H94" s="90"/>
      <c r="I94" s="90"/>
      <c r="J94" s="90"/>
      <c r="K94" s="90"/>
      <c r="L94" s="90"/>
      <c r="M94" s="90"/>
      <c r="N94" s="90"/>
      <c r="O94" s="90"/>
      <c r="P94" s="90"/>
    </row>
    <row r="95" spans="1:16" x14ac:dyDescent="0.2">
      <c r="A95" s="90"/>
      <c r="B95" s="90"/>
      <c r="C95" s="90"/>
      <c r="D95" s="90"/>
      <c r="E95" s="90"/>
      <c r="F95" s="90"/>
      <c r="G95" s="90"/>
      <c r="H95" s="90"/>
      <c r="I95" s="90"/>
      <c r="J95" s="90"/>
      <c r="K95" s="90"/>
      <c r="L95" s="90"/>
      <c r="M95" s="90"/>
      <c r="N95" s="90"/>
      <c r="O95" s="90"/>
      <c r="P95" s="90"/>
    </row>
    <row r="96" spans="1:16" x14ac:dyDescent="0.2">
      <c r="A96" s="90"/>
      <c r="B96" s="90"/>
      <c r="C96" s="90"/>
      <c r="D96" s="90"/>
      <c r="E96" s="90"/>
      <c r="F96" s="90"/>
      <c r="G96" s="90"/>
      <c r="H96" s="90"/>
      <c r="I96" s="90"/>
      <c r="J96" s="90"/>
      <c r="K96" s="90"/>
      <c r="L96" s="90"/>
      <c r="M96" s="90"/>
      <c r="N96" s="90"/>
      <c r="O96" s="90"/>
      <c r="P96" s="90"/>
    </row>
    <row r="97" spans="1:16" x14ac:dyDescent="0.2">
      <c r="A97" s="90"/>
      <c r="B97" s="90"/>
      <c r="C97" s="90"/>
      <c r="D97" s="90"/>
      <c r="E97" s="90"/>
      <c r="F97" s="90"/>
      <c r="G97" s="90"/>
      <c r="H97" s="90"/>
      <c r="I97" s="90"/>
      <c r="J97" s="90"/>
      <c r="K97" s="90"/>
      <c r="L97" s="90"/>
      <c r="M97" s="90"/>
      <c r="N97" s="90"/>
      <c r="O97" s="90"/>
      <c r="P97" s="90"/>
    </row>
    <row r="98" spans="1:16" x14ac:dyDescent="0.2">
      <c r="A98" s="90"/>
      <c r="B98" s="90"/>
      <c r="C98" s="90"/>
      <c r="D98" s="90"/>
      <c r="E98" s="90"/>
      <c r="F98" s="90"/>
      <c r="G98" s="90"/>
      <c r="H98" s="90"/>
      <c r="I98" s="90"/>
      <c r="J98" s="90"/>
      <c r="K98" s="90"/>
      <c r="L98" s="90"/>
      <c r="M98" s="90"/>
      <c r="N98" s="90"/>
      <c r="O98" s="90"/>
      <c r="P98" s="90"/>
    </row>
    <row r="99" spans="1:16" x14ac:dyDescent="0.2">
      <c r="A99" s="90"/>
      <c r="B99" s="90"/>
      <c r="C99" s="90"/>
      <c r="D99" s="90"/>
      <c r="E99" s="90"/>
      <c r="F99" s="90"/>
      <c r="G99" s="90"/>
      <c r="H99" s="90"/>
      <c r="I99" s="90"/>
      <c r="J99" s="90"/>
      <c r="K99" s="90"/>
      <c r="L99" s="90"/>
      <c r="M99" s="90"/>
      <c r="N99" s="90"/>
      <c r="O99" s="90"/>
      <c r="P99" s="90"/>
    </row>
    <row r="100" spans="1:16" x14ac:dyDescent="0.2">
      <c r="A100" s="90"/>
      <c r="B100" s="90"/>
      <c r="C100" s="90"/>
      <c r="D100" s="90"/>
      <c r="E100" s="90"/>
      <c r="F100" s="90"/>
      <c r="G100" s="90"/>
      <c r="H100" s="90"/>
      <c r="I100" s="90"/>
      <c r="J100" s="90"/>
      <c r="K100" s="90"/>
      <c r="L100" s="90"/>
      <c r="M100" s="90"/>
      <c r="N100" s="90"/>
      <c r="O100" s="90"/>
      <c r="P100" s="90"/>
    </row>
  </sheetData>
  <autoFilter ref="A1:K15" xr:uid="{00000000-0009-0000-0000-000006000000}">
    <filterColumn colId="9" showButton="0"/>
  </autoFilter>
  <mergeCells count="8">
    <mergeCell ref="M7:O8"/>
    <mergeCell ref="M9:O10"/>
    <mergeCell ref="A1:A3"/>
    <mergeCell ref="B1:B3"/>
    <mergeCell ref="J1:K1"/>
    <mergeCell ref="J3:K3"/>
    <mergeCell ref="M4:O5"/>
    <mergeCell ref="M6:O6"/>
  </mergeCells>
  <dataValidations count="1">
    <dataValidation allowBlank="1" sqref="M6:M9 M4" xr:uid="{00000000-0002-0000-0600-000000000000}"/>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3">
    <tabColor indexed="43"/>
  </sheetPr>
  <dimension ref="A2:K65"/>
  <sheetViews>
    <sheetView topLeftCell="A7" zoomScale="85" zoomScaleNormal="85" workbookViewId="0">
      <selection activeCell="E16" sqref="E16:J16"/>
    </sheetView>
  </sheetViews>
  <sheetFormatPr defaultColWidth="9.28515625" defaultRowHeight="12.75" x14ac:dyDescent="0.2"/>
  <cols>
    <col min="1" max="1" width="9.28515625" style="90"/>
    <col min="2" max="3" width="27.28515625" style="90" customWidth="1"/>
    <col min="4" max="4" width="23.42578125" style="104" customWidth="1"/>
    <col min="5" max="5" width="23.28515625" style="90" bestFit="1" customWidth="1"/>
    <col min="6" max="6" width="21.5703125" style="90" bestFit="1" customWidth="1"/>
    <col min="7" max="7" width="25.5703125" style="90" customWidth="1"/>
    <col min="8" max="8" width="24.7109375" style="90" customWidth="1"/>
    <col min="9" max="9" width="23.28515625" style="90" bestFit="1" customWidth="1"/>
    <col min="10" max="10" width="23.28515625" style="90" customWidth="1"/>
    <col min="11" max="11" width="14.7109375" style="90" bestFit="1" customWidth="1"/>
    <col min="12" max="16384" width="9.28515625" style="90"/>
  </cols>
  <sheetData>
    <row r="2" spans="1:11" x14ac:dyDescent="0.2">
      <c r="B2" s="125" t="str">
        <f>IF(COUNTA(ExtendToBottom($B$49)) &lt; COUNTA(land_parcels), "WARNING: extend rows to account for all land parcels!", "Rows OK")</f>
        <v>Rows OK</v>
      </c>
      <c r="C2" s="125"/>
      <c r="D2" s="90"/>
    </row>
    <row r="3" spans="1:11" ht="15.75" x14ac:dyDescent="0.25">
      <c r="D3" s="90"/>
      <c r="I3" s="4" t="s">
        <v>229</v>
      </c>
    </row>
    <row r="4" spans="1:11" s="5" customFormat="1" ht="15.75" customHeight="1" thickBot="1" x14ac:dyDescent="0.3">
      <c r="A4" s="3"/>
      <c r="B4" s="4" t="s">
        <v>78</v>
      </c>
      <c r="C4" s="4"/>
      <c r="I4" s="11" t="s">
        <v>281</v>
      </c>
      <c r="J4" s="48">
        <v>2589988.11</v>
      </c>
    </row>
    <row r="5" spans="1:11" s="7" customFormat="1" ht="12.75" customHeight="1" x14ac:dyDescent="0.2">
      <c r="A5" s="5"/>
      <c r="B5" s="6" t="s">
        <v>66</v>
      </c>
      <c r="C5" s="6" t="s">
        <v>81</v>
      </c>
      <c r="D5" s="6" t="s">
        <v>16</v>
      </c>
      <c r="E5" s="6" t="s">
        <v>80</v>
      </c>
      <c r="G5" s="546" t="s">
        <v>231</v>
      </c>
      <c r="I5" s="9" t="s">
        <v>32</v>
      </c>
      <c r="J5" s="49">
        <v>907.18299999999999</v>
      </c>
    </row>
    <row r="6" spans="1:11" s="8" customFormat="1" ht="12.75" customHeight="1" thickBot="1" x14ac:dyDescent="0.25">
      <c r="A6" s="7"/>
      <c r="B6" s="9" t="s">
        <v>79</v>
      </c>
      <c r="C6" s="11" t="s">
        <v>55</v>
      </c>
      <c r="D6" s="21" t="s">
        <v>61</v>
      </c>
      <c r="E6" s="21">
        <v>3.6000000000000002E-4</v>
      </c>
      <c r="G6" s="547"/>
      <c r="I6" s="9" t="s">
        <v>33</v>
      </c>
      <c r="J6" s="49">
        <f>J8/J7</f>
        <v>2.4710538146716532E-4</v>
      </c>
    </row>
    <row r="7" spans="1:11" s="8" customFormat="1" ht="13.5" customHeight="1" x14ac:dyDescent="0.2">
      <c r="B7" s="11" t="s">
        <v>460</v>
      </c>
      <c r="C7" s="9" t="s">
        <v>63</v>
      </c>
      <c r="D7" s="98" t="s">
        <v>462</v>
      </c>
      <c r="E7" s="164" t="e">
        <f>1*surfsoil_rho</f>
        <v>#NAME?</v>
      </c>
      <c r="G7" s="548" t="s">
        <v>232</v>
      </c>
      <c r="I7" s="9" t="s">
        <v>34</v>
      </c>
      <c r="J7" s="49">
        <v>43560</v>
      </c>
    </row>
    <row r="8" spans="1:11" s="8" customFormat="1" ht="12.75" customHeight="1" thickBot="1" x14ac:dyDescent="0.25">
      <c r="B8" s="11" t="s">
        <v>461</v>
      </c>
      <c r="C8" s="9"/>
      <c r="D8" s="98" t="s">
        <v>462</v>
      </c>
      <c r="E8" s="164" t="e">
        <f>surfsoil_fraction_liquid + surfsoil_fraction_vapor</f>
        <v>#NAME?</v>
      </c>
      <c r="G8" s="549"/>
      <c r="I8" s="9" t="s">
        <v>35</v>
      </c>
      <c r="J8" s="49">
        <f>(1/2.54^2)*(1/12^2)*(100^2)</f>
        <v>10.763910416709722</v>
      </c>
    </row>
    <row r="9" spans="1:11" s="8" customFormat="1" ht="12.75" customHeight="1" x14ac:dyDescent="0.2">
      <c r="B9" s="9" t="s">
        <v>102</v>
      </c>
      <c r="C9" s="9"/>
      <c r="D9" s="21" t="s">
        <v>82</v>
      </c>
      <c r="E9" s="21">
        <v>1</v>
      </c>
      <c r="G9" s="550" t="s">
        <v>233</v>
      </c>
    </row>
    <row r="10" spans="1:11" s="8" customFormat="1" ht="13.5" customHeight="1" thickBot="1" x14ac:dyDescent="0.25">
      <c r="B10" s="9" t="s">
        <v>103</v>
      </c>
      <c r="C10" s="9"/>
      <c r="D10" s="21" t="s">
        <v>83</v>
      </c>
      <c r="E10" s="21">
        <v>3</v>
      </c>
      <c r="G10" s="551"/>
    </row>
    <row r="11" spans="1:11" s="8" customFormat="1" x14ac:dyDescent="0.2">
      <c r="B11" s="90"/>
      <c r="C11" s="90"/>
      <c r="D11" s="90"/>
      <c r="E11" s="90"/>
      <c r="F11" s="90"/>
    </row>
    <row r="12" spans="1:11" ht="15.75" x14ac:dyDescent="0.25">
      <c r="B12" s="4" t="s">
        <v>279</v>
      </c>
      <c r="C12" s="4"/>
      <c r="D12" s="5"/>
      <c r="E12" s="5"/>
      <c r="F12" s="5"/>
    </row>
    <row r="13" spans="1:11" x14ac:dyDescent="0.2">
      <c r="B13" s="94" t="s">
        <v>280</v>
      </c>
      <c r="C13" s="94"/>
      <c r="D13" s="5"/>
      <c r="E13" s="5"/>
      <c r="F13" s="5"/>
      <c r="G13" s="5"/>
      <c r="H13" s="5"/>
      <c r="I13" s="5"/>
      <c r="J13" s="5"/>
      <c r="K13" s="5"/>
    </row>
    <row r="14" spans="1:11" x14ac:dyDescent="0.2">
      <c r="B14" s="13" t="s">
        <v>64</v>
      </c>
      <c r="C14" s="6" t="s">
        <v>65</v>
      </c>
      <c r="D14" s="6" t="s">
        <v>236</v>
      </c>
      <c r="F14" s="5"/>
      <c r="G14" s="5"/>
      <c r="H14" s="5"/>
      <c r="I14" s="5"/>
      <c r="J14" s="5"/>
      <c r="K14" s="5"/>
    </row>
    <row r="15" spans="1:11" ht="13.5" customHeight="1" thickBot="1" x14ac:dyDescent="0.25">
      <c r="B15" s="558" t="s">
        <v>278</v>
      </c>
      <c r="C15" s="559"/>
      <c r="D15" s="560"/>
      <c r="E15" s="94"/>
    </row>
    <row r="16" spans="1:11" s="140" customFormat="1" ht="13.5" thickBot="1" x14ac:dyDescent="0.25">
      <c r="B16" s="151" t="s">
        <v>64</v>
      </c>
      <c r="C16" s="156" t="s">
        <v>25</v>
      </c>
      <c r="D16" s="157" t="s">
        <v>234</v>
      </c>
      <c r="E16" s="158" t="s">
        <v>26</v>
      </c>
      <c r="F16" s="158" t="s">
        <v>638</v>
      </c>
      <c r="G16" s="158" t="s">
        <v>487</v>
      </c>
      <c r="H16" s="158" t="s">
        <v>283</v>
      </c>
      <c r="I16" s="158" t="s">
        <v>284</v>
      </c>
      <c r="J16" s="158" t="s">
        <v>623</v>
      </c>
    </row>
    <row r="17" spans="2:10" s="140" customFormat="1" x14ac:dyDescent="0.2">
      <c r="B17" s="152" t="s">
        <v>30</v>
      </c>
      <c r="C17" s="153" t="s">
        <v>22</v>
      </c>
      <c r="D17" s="451" t="s">
        <v>799</v>
      </c>
      <c r="E17" s="160">
        <v>300</v>
      </c>
      <c r="F17" s="160">
        <v>300</v>
      </c>
      <c r="G17" s="160">
        <v>300</v>
      </c>
      <c r="H17" s="160">
        <v>300</v>
      </c>
      <c r="I17" s="160"/>
      <c r="J17" s="160"/>
    </row>
    <row r="18" spans="2:10" s="140" customFormat="1" ht="25.5" customHeight="1" x14ac:dyDescent="0.2">
      <c r="B18" s="152" t="s">
        <v>31</v>
      </c>
      <c r="C18" s="153" t="s">
        <v>23</v>
      </c>
      <c r="D18" s="154" t="s">
        <v>82</v>
      </c>
      <c r="E18" s="155">
        <v>0.39</v>
      </c>
      <c r="F18" s="155">
        <v>0.39</v>
      </c>
      <c r="G18" s="155">
        <v>0.39</v>
      </c>
      <c r="H18" s="155">
        <v>0.39</v>
      </c>
      <c r="I18" s="155"/>
      <c r="J18" s="155"/>
    </row>
    <row r="19" spans="2:10" s="140" customFormat="1" x14ac:dyDescent="0.2">
      <c r="B19" s="152" t="s">
        <v>36</v>
      </c>
      <c r="C19" s="153" t="s">
        <v>24</v>
      </c>
      <c r="D19" s="159" t="s">
        <v>82</v>
      </c>
      <c r="E19" s="155">
        <v>1.5</v>
      </c>
      <c r="F19" s="155">
        <v>1.5</v>
      </c>
      <c r="G19" s="155">
        <v>1.5</v>
      </c>
      <c r="H19" s="155">
        <v>1.5</v>
      </c>
      <c r="I19" s="155"/>
      <c r="J19" s="155"/>
    </row>
    <row r="20" spans="2:10" s="140" customFormat="1" x14ac:dyDescent="0.2">
      <c r="B20" s="151" t="s">
        <v>37</v>
      </c>
      <c r="C20" s="156" t="s">
        <v>27</v>
      </c>
      <c r="D20" s="161" t="s">
        <v>235</v>
      </c>
      <c r="E20" s="162">
        <v>0.1</v>
      </c>
      <c r="F20" s="162">
        <v>0.2</v>
      </c>
      <c r="G20" s="162">
        <v>0.2</v>
      </c>
      <c r="H20" s="162">
        <v>0.1</v>
      </c>
      <c r="I20" s="162">
        <v>0.1</v>
      </c>
      <c r="J20" s="162"/>
    </row>
    <row r="21" spans="2:10" s="140" customFormat="1" x14ac:dyDescent="0.2">
      <c r="B21" s="151" t="s">
        <v>39</v>
      </c>
      <c r="C21" s="156" t="s">
        <v>38</v>
      </c>
      <c r="D21" s="161" t="s">
        <v>82</v>
      </c>
      <c r="E21" s="162">
        <v>1</v>
      </c>
      <c r="F21" s="162">
        <v>1</v>
      </c>
      <c r="G21" s="162">
        <v>1</v>
      </c>
      <c r="H21" s="162">
        <v>1</v>
      </c>
      <c r="I21" s="162">
        <v>1</v>
      </c>
      <c r="J21" s="162"/>
    </row>
    <row r="22" spans="2:10" s="140" customFormat="1" x14ac:dyDescent="0.2">
      <c r="B22" s="151" t="s">
        <v>67</v>
      </c>
      <c r="C22" s="156" t="s">
        <v>28</v>
      </c>
      <c r="D22" s="163" t="s">
        <v>21</v>
      </c>
      <c r="E22" s="164">
        <f t="shared" ref="E22:J22" si="0">E17*E18*E19*E20*E21</f>
        <v>17.55</v>
      </c>
      <c r="F22" s="164">
        <f t="shared" si="0"/>
        <v>35.1</v>
      </c>
      <c r="G22" s="164">
        <f t="shared" si="0"/>
        <v>35.1</v>
      </c>
      <c r="H22" s="164">
        <f t="shared" si="0"/>
        <v>17.55</v>
      </c>
      <c r="I22" s="164">
        <f t="shared" si="0"/>
        <v>0</v>
      </c>
      <c r="J22" s="164">
        <f t="shared" si="0"/>
        <v>0</v>
      </c>
    </row>
    <row r="23" spans="2:10" s="140" customFormat="1" x14ac:dyDescent="0.2">
      <c r="B23" s="151" t="s">
        <v>67</v>
      </c>
      <c r="C23" s="156" t="s">
        <v>29</v>
      </c>
      <c r="D23" s="165" t="s">
        <v>21</v>
      </c>
      <c r="E23" s="166">
        <f t="shared" ref="E23:J23" si="1">E22 * kg_per_ton * acre_per_m2 / 365</f>
        <v>1.0778575376398647E-2</v>
      </c>
      <c r="F23" s="166">
        <f t="shared" si="1"/>
        <v>2.1557150752797294E-2</v>
      </c>
      <c r="G23" s="166">
        <f t="shared" si="1"/>
        <v>2.1557150752797294E-2</v>
      </c>
      <c r="H23" s="166">
        <f t="shared" si="1"/>
        <v>1.0778575376398647E-2</v>
      </c>
      <c r="I23" s="166">
        <f t="shared" si="1"/>
        <v>0</v>
      </c>
      <c r="J23" s="166">
        <f t="shared" si="1"/>
        <v>0</v>
      </c>
    </row>
    <row r="24" spans="2:10" s="140" customFormat="1" x14ac:dyDescent="0.2">
      <c r="B24" s="151" t="s">
        <v>67</v>
      </c>
      <c r="C24" s="151" t="s">
        <v>69</v>
      </c>
      <c r="D24" s="167" t="s">
        <v>21</v>
      </c>
      <c r="E24" s="168">
        <f t="shared" ref="E24:J24" si="2">E22 * kg_per_ton * acre_per_m2</f>
        <v>3.9341800123855064</v>
      </c>
      <c r="F24" s="168">
        <f t="shared" si="2"/>
        <v>7.8683600247710128</v>
      </c>
      <c r="G24" s="168">
        <f t="shared" si="2"/>
        <v>7.8683600247710128</v>
      </c>
      <c r="H24" s="168">
        <f t="shared" si="2"/>
        <v>3.9341800123855064</v>
      </c>
      <c r="I24" s="168">
        <f t="shared" si="2"/>
        <v>0</v>
      </c>
      <c r="J24" s="168">
        <f t="shared" si="2"/>
        <v>0</v>
      </c>
    </row>
    <row r="25" spans="2:10" s="140" customFormat="1" x14ac:dyDescent="0.2">
      <c r="B25" s="151" t="s">
        <v>68</v>
      </c>
      <c r="C25" s="151" t="s">
        <v>60</v>
      </c>
      <c r="D25" s="167" t="s">
        <v>21</v>
      </c>
      <c r="E25" s="268" t="e">
        <f t="shared" ref="E25:J25" si="3">E24/(surfsoil_rho * (1 - soil_porosity)) * 100</f>
        <v>#NAME?</v>
      </c>
      <c r="F25" s="268" t="e">
        <f t="shared" si="3"/>
        <v>#NAME?</v>
      </c>
      <c r="G25" s="268" t="e">
        <f t="shared" si="3"/>
        <v>#NAME?</v>
      </c>
      <c r="H25" s="268" t="e">
        <f t="shared" si="3"/>
        <v>#NAME?</v>
      </c>
      <c r="I25" s="268" t="e">
        <f t="shared" si="3"/>
        <v>#NAME?</v>
      </c>
      <c r="J25" s="268" t="e">
        <f t="shared" si="3"/>
        <v>#NAME?</v>
      </c>
    </row>
    <row r="26" spans="2:10" s="140" customFormat="1" x14ac:dyDescent="0.2">
      <c r="B26" s="562" t="s">
        <v>353</v>
      </c>
      <c r="C26" s="562"/>
      <c r="D26" s="563"/>
      <c r="E26" s="255"/>
      <c r="F26" s="256"/>
      <c r="G26" s="256"/>
      <c r="H26" s="256"/>
      <c r="I26" s="256"/>
      <c r="J26" s="257"/>
    </row>
    <row r="27" spans="2:10" s="140" customFormat="1" x14ac:dyDescent="0.2">
      <c r="B27" s="169" t="s">
        <v>106</v>
      </c>
      <c r="C27" s="564" t="s">
        <v>66</v>
      </c>
      <c r="D27" s="565"/>
      <c r="E27" s="258"/>
      <c r="F27" s="259"/>
      <c r="G27" s="259"/>
      <c r="H27" s="259"/>
      <c r="I27" s="259"/>
      <c r="J27" s="260"/>
    </row>
    <row r="28" spans="2:10" s="140" customFormat="1" x14ac:dyDescent="0.2">
      <c r="B28" s="150" t="s">
        <v>458</v>
      </c>
      <c r="C28" s="556" t="s">
        <v>459</v>
      </c>
      <c r="D28" s="557"/>
      <c r="E28" s="160" t="b">
        <v>0</v>
      </c>
      <c r="F28" s="160" t="b">
        <v>0</v>
      </c>
      <c r="G28" s="160" t="b">
        <v>1</v>
      </c>
      <c r="H28" s="160" t="b">
        <v>0</v>
      </c>
      <c r="I28" s="160" t="b">
        <v>0</v>
      </c>
      <c r="J28" s="160" t="b">
        <v>0</v>
      </c>
    </row>
    <row r="29" spans="2:10" s="140" customFormat="1" x14ac:dyDescent="0.2">
      <c r="B29" s="150" t="s">
        <v>464</v>
      </c>
      <c r="C29" s="556" t="s">
        <v>354</v>
      </c>
      <c r="D29" s="557"/>
      <c r="E29" s="164" t="str">
        <f t="shared" ref="E29:J29" si="4">IF(E$28, tilled_surfsoil_thickness, untilled_surfsoil_thickness)</f>
        <v>0.01</v>
      </c>
      <c r="F29" s="164" t="str">
        <f t="shared" si="4"/>
        <v>0.01</v>
      </c>
      <c r="G29" s="164" t="str">
        <f t="shared" si="4"/>
        <v>0.2</v>
      </c>
      <c r="H29" s="164" t="str">
        <f t="shared" si="4"/>
        <v>0.01</v>
      </c>
      <c r="I29" s="164" t="str">
        <f t="shared" si="4"/>
        <v>0.01</v>
      </c>
      <c r="J29" s="164" t="str">
        <f t="shared" si="4"/>
        <v>0.01</v>
      </c>
    </row>
    <row r="30" spans="2:10" s="140" customFormat="1" x14ac:dyDescent="0.2">
      <c r="B30" s="150" t="s">
        <v>465</v>
      </c>
      <c r="C30" s="556" t="s">
        <v>355</v>
      </c>
      <c r="D30" s="557"/>
      <c r="E30" s="164" t="str">
        <f t="shared" ref="E30:J30" si="5">IF(E$28, tilled_rootsoil_thickness, untilled_rootsoil_thickness)</f>
        <v>0.79</v>
      </c>
      <c r="F30" s="164" t="str">
        <f t="shared" si="5"/>
        <v>0.79</v>
      </c>
      <c r="G30" s="164" t="str">
        <f t="shared" si="5"/>
        <v>0.6</v>
      </c>
      <c r="H30" s="164" t="str">
        <f t="shared" si="5"/>
        <v>0.79</v>
      </c>
      <c r="I30" s="164" t="str">
        <f t="shared" si="5"/>
        <v>0.79</v>
      </c>
      <c r="J30" s="164" t="str">
        <f t="shared" si="5"/>
        <v>0.79</v>
      </c>
    </row>
    <row r="31" spans="2:10" s="140" customFormat="1" x14ac:dyDescent="0.2">
      <c r="B31" s="150" t="s">
        <v>466</v>
      </c>
      <c r="C31" s="556" t="s">
        <v>356</v>
      </c>
      <c r="D31" s="557"/>
      <c r="E31" s="164" t="str">
        <f t="shared" ref="E31:J31" si="6">vadosesoil_thickness</f>
        <v>1.4</v>
      </c>
      <c r="F31" s="164" t="str">
        <f t="shared" si="6"/>
        <v>1.4</v>
      </c>
      <c r="G31" s="164" t="str">
        <f t="shared" si="6"/>
        <v>1.4</v>
      </c>
      <c r="H31" s="164" t="str">
        <f t="shared" si="6"/>
        <v>1.4</v>
      </c>
      <c r="I31" s="164" t="str">
        <f t="shared" si="6"/>
        <v>1.4</v>
      </c>
      <c r="J31" s="164" t="str">
        <f t="shared" si="6"/>
        <v>1.4</v>
      </c>
    </row>
    <row r="32" spans="2:10" s="140" customFormat="1" x14ac:dyDescent="0.2">
      <c r="B32" s="150" t="s">
        <v>473</v>
      </c>
      <c r="C32" s="552" t="s">
        <v>363</v>
      </c>
      <c r="D32" s="553"/>
      <c r="E32" s="164" t="str">
        <f t="shared" ref="E32:J32" si="7">GW_thickness</f>
        <v>3</v>
      </c>
      <c r="F32" s="164" t="str">
        <f t="shared" si="7"/>
        <v>3</v>
      </c>
      <c r="G32" s="164" t="str">
        <f t="shared" si="7"/>
        <v>3</v>
      </c>
      <c r="H32" s="164" t="str">
        <f t="shared" si="7"/>
        <v>3</v>
      </c>
      <c r="I32" s="164" t="str">
        <f t="shared" si="7"/>
        <v>3</v>
      </c>
      <c r="J32" s="164" t="str">
        <f t="shared" si="7"/>
        <v>3</v>
      </c>
    </row>
    <row r="33" spans="2:10" s="140" customFormat="1" ht="39.75" customHeight="1" x14ac:dyDescent="0.2">
      <c r="B33" s="150" t="s">
        <v>561</v>
      </c>
      <c r="C33" s="566" t="s">
        <v>500</v>
      </c>
      <c r="D33" s="567"/>
      <c r="E33" s="170" t="s">
        <v>357</v>
      </c>
      <c r="F33" s="155"/>
      <c r="G33" s="155"/>
      <c r="H33" s="170" t="s">
        <v>215</v>
      </c>
      <c r="I33" s="170" t="s">
        <v>358</v>
      </c>
      <c r="J33" s="170" t="s">
        <v>618</v>
      </c>
    </row>
    <row r="34" spans="2:10" ht="30.75" customHeight="1" x14ac:dyDescent="0.2">
      <c r="D34" s="90"/>
    </row>
    <row r="35" spans="2:10" ht="15.75" x14ac:dyDescent="0.25">
      <c r="B35" s="4" t="s">
        <v>318</v>
      </c>
      <c r="C35" s="4"/>
      <c r="D35" s="7"/>
      <c r="E35" s="7"/>
      <c r="F35" s="10"/>
      <c r="G35" s="10"/>
    </row>
    <row r="36" spans="2:10" ht="25.5" x14ac:dyDescent="0.2">
      <c r="B36" s="116" t="s">
        <v>86</v>
      </c>
      <c r="C36" s="116" t="s">
        <v>46</v>
      </c>
      <c r="D36" s="116" t="s">
        <v>53</v>
      </c>
      <c r="E36" s="116" t="s">
        <v>85</v>
      </c>
      <c r="F36" s="116" t="s">
        <v>52</v>
      </c>
      <c r="G36" s="116" t="s">
        <v>75</v>
      </c>
    </row>
    <row r="37" spans="2:10" x14ac:dyDescent="0.2">
      <c r="B37" s="2" t="s">
        <v>45</v>
      </c>
      <c r="C37" s="123">
        <v>1000</v>
      </c>
      <c r="D37" s="11" t="s">
        <v>51</v>
      </c>
      <c r="E37" s="124">
        <f>C37 * m2_per_mi2</f>
        <v>2589988110</v>
      </c>
      <c r="F37" s="123">
        <v>0.6</v>
      </c>
      <c r="G37" s="123">
        <v>0.125</v>
      </c>
    </row>
    <row r="38" spans="2:10" x14ac:dyDescent="0.2">
      <c r="B38" s="2" t="s">
        <v>44</v>
      </c>
      <c r="C38" s="123">
        <v>100</v>
      </c>
      <c r="D38" s="11" t="s">
        <v>50</v>
      </c>
      <c r="E38" s="124">
        <f>C38 * m2_per_mi2</f>
        <v>258998811</v>
      </c>
      <c r="F38" s="123">
        <v>1.2</v>
      </c>
      <c r="G38" s="123">
        <v>0.125</v>
      </c>
    </row>
    <row r="39" spans="2:10" x14ac:dyDescent="0.2">
      <c r="B39" s="2" t="s">
        <v>43</v>
      </c>
      <c r="C39" s="123">
        <v>10</v>
      </c>
      <c r="D39" s="11" t="s">
        <v>49</v>
      </c>
      <c r="E39" s="124">
        <f>C39 * m2_per_mi2</f>
        <v>25899881.099999998</v>
      </c>
      <c r="F39" s="123">
        <v>1.4</v>
      </c>
      <c r="G39" s="123">
        <v>0.125</v>
      </c>
    </row>
    <row r="40" spans="2:10" x14ac:dyDescent="0.2">
      <c r="B40" s="2" t="s">
        <v>42</v>
      </c>
      <c r="C40" s="123">
        <v>1</v>
      </c>
      <c r="D40" s="11" t="s">
        <v>48</v>
      </c>
      <c r="E40" s="124">
        <f>C40 * m2_per_mi2</f>
        <v>2589988.11</v>
      </c>
      <c r="F40" s="123">
        <v>1.9</v>
      </c>
      <c r="G40" s="123">
        <v>0.125</v>
      </c>
    </row>
    <row r="41" spans="2:10" x14ac:dyDescent="0.2">
      <c r="B41" s="2" t="s">
        <v>41</v>
      </c>
      <c r="C41" s="123">
        <v>0.1</v>
      </c>
      <c r="D41" s="11" t="s">
        <v>47</v>
      </c>
      <c r="E41" s="124">
        <f>C41 * m2_per_mi2</f>
        <v>258998.81099999999</v>
      </c>
      <c r="F41" s="123">
        <v>2.1</v>
      </c>
      <c r="G41" s="123">
        <v>0.125</v>
      </c>
    </row>
    <row r="42" spans="2:10" x14ac:dyDescent="0.2">
      <c r="D42" s="90"/>
    </row>
    <row r="43" spans="2:10" x14ac:dyDescent="0.2">
      <c r="D43" s="90"/>
    </row>
    <row r="44" spans="2:10" ht="15.75" x14ac:dyDescent="0.25">
      <c r="B44" s="4" t="s">
        <v>317</v>
      </c>
      <c r="C44" s="4"/>
      <c r="D44" s="90"/>
    </row>
    <row r="45" spans="2:10" x14ac:dyDescent="0.2">
      <c r="B45" s="94" t="s">
        <v>319</v>
      </c>
      <c r="C45" s="94"/>
      <c r="D45" s="90"/>
    </row>
    <row r="46" spans="2:10" ht="25.5" customHeight="1" x14ac:dyDescent="0.2">
      <c r="D46" s="561" t="s">
        <v>70</v>
      </c>
      <c r="E46" s="561"/>
      <c r="F46" s="561"/>
      <c r="G46" s="561"/>
      <c r="I46" s="558" t="s">
        <v>77</v>
      </c>
      <c r="J46" s="559"/>
    </row>
    <row r="47" spans="2:10" ht="25.5" x14ac:dyDescent="0.2">
      <c r="B47" s="554" t="s">
        <v>315</v>
      </c>
      <c r="C47" s="554" t="s">
        <v>282</v>
      </c>
      <c r="D47" s="120" t="s">
        <v>73</v>
      </c>
      <c r="E47" s="118" t="s">
        <v>71</v>
      </c>
      <c r="F47" s="118" t="s">
        <v>74</v>
      </c>
      <c r="G47" s="118" t="s">
        <v>54</v>
      </c>
      <c r="H47" s="118" t="s">
        <v>321</v>
      </c>
      <c r="I47" s="118" t="s">
        <v>55</v>
      </c>
      <c r="J47" s="118" t="s">
        <v>84</v>
      </c>
    </row>
    <row r="48" spans="2:10" ht="25.5" x14ac:dyDescent="0.2">
      <c r="B48" s="555"/>
      <c r="C48" s="555"/>
      <c r="D48" s="121" t="s">
        <v>72</v>
      </c>
      <c r="E48" s="119" t="s">
        <v>313</v>
      </c>
      <c r="F48" s="119" t="s">
        <v>314</v>
      </c>
      <c r="G48" s="119" t="s">
        <v>76</v>
      </c>
      <c r="H48" s="119" t="s">
        <v>320</v>
      </c>
      <c r="I48" s="119" t="s">
        <v>56</v>
      </c>
      <c r="J48" s="119" t="s">
        <v>322</v>
      </c>
    </row>
    <row r="49" spans="2:10" x14ac:dyDescent="0.2">
      <c r="B49" s="122" t="str">
        <f>INDEX(land_parcels, ROW() - ROW(B$49) +1)</f>
        <v>E1</v>
      </c>
      <c r="C49" s="122" t="str">
        <f>INDEX(parcel_land_uses, MATCH($B49, parcel_names, 0))</f>
        <v>grass</v>
      </c>
      <c r="D49" s="115">
        <f>INDEX(parcel_areas_m2, MATCH(B49, parcel_names, 0))</f>
        <v>9510336.7447571121</v>
      </c>
      <c r="E49" s="98">
        <f t="shared" ref="E49:E65" si="8">INDEX(SD_coeff_intercepts, MATCH($D49, SD_coeff_areas,-1  ))</f>
        <v>1.4</v>
      </c>
      <c r="F49" s="98">
        <f t="shared" ref="F49:F65" si="9">INDEX(SD_coeff_slopes, MATCH($D49, SD_coeff_areas, -1 ))</f>
        <v>0.125</v>
      </c>
      <c r="G49" s="361">
        <f t="shared" ref="G49:G54" si="10">E49 * D49 ^ (-F49)</f>
        <v>0.18786831873905233</v>
      </c>
      <c r="H49" s="126">
        <f t="shared" ref="H49:H60" si="11">VLOOKUP(B49,USLE_Calcs,11,FALSE)</f>
        <v>3.9659252784407284E-4</v>
      </c>
      <c r="I49" s="362">
        <f t="shared" ref="I49:I54" si="12">H49 * enrichment_ratio_inorganics * G49</f>
        <v>7.4507171430536755E-5</v>
      </c>
      <c r="J49" s="122">
        <f t="shared" ref="J49:J54" si="13">(I49 - average_US_erosion_rate) / average_US_erosion_rate</f>
        <v>-0.79303563491517581</v>
      </c>
    </row>
    <row r="50" spans="2:10" x14ac:dyDescent="0.2">
      <c r="B50" s="122" t="str">
        <f>INDEX(land_parcels, ROW() - ROW(B$49) +1)</f>
        <v>E2</v>
      </c>
      <c r="C50" s="122" t="str">
        <f>INDEX(parcel_land_uses, MATCH($B50, parcel_names, 0))</f>
        <v>deciduous forest</v>
      </c>
      <c r="D50" s="115">
        <f>INDEX(parcel_areas_m2, MATCH(B50, parcel_names, 0))</f>
        <v>6180161.1574881524</v>
      </c>
      <c r="E50" s="98">
        <f t="shared" si="8"/>
        <v>1.4</v>
      </c>
      <c r="F50" s="98">
        <f t="shared" si="9"/>
        <v>0.125</v>
      </c>
      <c r="G50" s="361">
        <f t="shared" si="10"/>
        <v>0.1982681985583328</v>
      </c>
      <c r="H50" s="126">
        <f t="shared" si="11"/>
        <v>3.817813560534796E-4</v>
      </c>
      <c r="I50" s="362">
        <f t="shared" si="12"/>
        <v>7.5695101707880846E-5</v>
      </c>
      <c r="J50" s="122">
        <f t="shared" si="13"/>
        <v>-0.78973582858921987</v>
      </c>
    </row>
    <row r="51" spans="2:10" x14ac:dyDescent="0.2">
      <c r="B51" s="122" t="str">
        <f>INDEX(land_parcels, ROW() - ROW(B$49) +1)</f>
        <v>N1</v>
      </c>
      <c r="C51" s="122" t="str">
        <f>INDEX(parcel_land_uses, MATCH($B51, parcel_names, 0))</f>
        <v>deciduous forest</v>
      </c>
      <c r="D51" s="115">
        <f>INDEX(parcel_areas_m2, MATCH(B51, parcel_names, 0))</f>
        <v>8331779.6721657179</v>
      </c>
      <c r="E51" s="98">
        <f t="shared" si="8"/>
        <v>1.4</v>
      </c>
      <c r="F51" s="98">
        <f t="shared" si="9"/>
        <v>0.125</v>
      </c>
      <c r="G51" s="361">
        <f t="shared" si="10"/>
        <v>0.19100107588242929</v>
      </c>
      <c r="H51" s="126">
        <f t="shared" si="11"/>
        <v>4.0314076536649741E-4</v>
      </c>
      <c r="I51" s="362">
        <f t="shared" si="12"/>
        <v>7.7000319917066987E-5</v>
      </c>
      <c r="J51" s="122">
        <f t="shared" si="13"/>
        <v>-0.78611022245259177</v>
      </c>
    </row>
    <row r="52" spans="2:10" x14ac:dyDescent="0.2">
      <c r="B52" s="122" t="str">
        <f>INDEX(land_parcels, ROW() - ROW(B$49) +1)</f>
        <v>N2</v>
      </c>
      <c r="C52" s="122" t="str">
        <f>INDEX(parcel_land_uses, MATCH($B52, parcel_names, 0))</f>
        <v>grass</v>
      </c>
      <c r="D52" s="115">
        <f>INDEX(parcel_areas_m2, MATCH(B52, parcel_names, 0))</f>
        <v>27646137.495466657</v>
      </c>
      <c r="E52" s="98">
        <f t="shared" si="8"/>
        <v>1.2</v>
      </c>
      <c r="F52" s="98">
        <f t="shared" si="9"/>
        <v>0.125</v>
      </c>
      <c r="G52" s="361">
        <f t="shared" si="10"/>
        <v>0.14092139643603707</v>
      </c>
      <c r="H52" s="126">
        <f t="shared" si="11"/>
        <v>5.9290802342009838E-5</v>
      </c>
      <c r="I52" s="362">
        <f t="shared" si="12"/>
        <v>8.3553426618490844E-6</v>
      </c>
      <c r="J52" s="122">
        <f t="shared" si="13"/>
        <v>-0.97679071482819702</v>
      </c>
    </row>
    <row r="53" spans="2:10" x14ac:dyDescent="0.2">
      <c r="B53" s="122" t="str">
        <f>INDEX(land_parcels, ROW() - ROW(B$49) +1)</f>
        <v>NE1</v>
      </c>
      <c r="C53" s="122" t="str">
        <f>INDEX(parcel_land_uses, MATCH($B53, parcel_names, 0))</f>
        <v>grass</v>
      </c>
      <c r="D53" s="115">
        <f>INDEX(parcel_areas_m2, MATCH(B53, parcel_names, 0))</f>
        <v>14733478.925060868</v>
      </c>
      <c r="E53" s="98">
        <f t="shared" si="8"/>
        <v>1.4</v>
      </c>
      <c r="F53" s="98">
        <f t="shared" si="9"/>
        <v>0.125</v>
      </c>
      <c r="G53" s="361">
        <f t="shared" si="10"/>
        <v>0.17786474432164448</v>
      </c>
      <c r="H53" s="126">
        <f t="shared" si="11"/>
        <v>1.4831586132649197E-4</v>
      </c>
      <c r="I53" s="362">
        <f t="shared" si="12"/>
        <v>2.6380162753680973E-5</v>
      </c>
      <c r="J53" s="122">
        <f t="shared" si="13"/>
        <v>-0.92672177012866397</v>
      </c>
    </row>
    <row r="54" spans="2:10" x14ac:dyDescent="0.2">
      <c r="B54" s="122" t="str">
        <f>INDEX(land_parcels, ROW() - ROW(B$49) +1)</f>
        <v>NE2</v>
      </c>
      <c r="C54" s="122" t="str">
        <f>INDEX(parcel_land_uses, MATCH($B54, parcel_names, 0))</f>
        <v>grass</v>
      </c>
      <c r="D54" s="115">
        <f>INDEX(parcel_areas_m2, MATCH(B54, parcel_names, 0))</f>
        <v>3632465.2791630328</v>
      </c>
      <c r="E54" s="98">
        <f t="shared" si="8"/>
        <v>1.4</v>
      </c>
      <c r="F54" s="98">
        <f t="shared" si="9"/>
        <v>0.125</v>
      </c>
      <c r="G54" s="361">
        <f t="shared" si="10"/>
        <v>0.21188628751102045</v>
      </c>
      <c r="H54" s="126">
        <f t="shared" si="11"/>
        <v>1.1707008345518211E-4</v>
      </c>
      <c r="I54" s="362">
        <f t="shared" si="12"/>
        <v>2.4805545361923875E-5</v>
      </c>
      <c r="J54" s="122">
        <f t="shared" si="13"/>
        <v>-0.93109570732798919</v>
      </c>
    </row>
    <row r="55" spans="2:10" x14ac:dyDescent="0.2">
      <c r="B55" s="122" t="str">
        <f>INDEX(land_parcels, ROW() - ROW(B$49) +1)</f>
        <v>NE3</v>
      </c>
      <c r="C55" s="122" t="str">
        <f>INDEX(parcel_land_uses, MATCH($B55, parcel_names, 0))</f>
        <v>deciduous forest</v>
      </c>
      <c r="D55" s="115">
        <f>INDEX(parcel_areas_m2, MATCH(B55, parcel_names, 0))</f>
        <v>8461424.0238580704</v>
      </c>
      <c r="E55" s="98">
        <f t="shared" si="8"/>
        <v>1.4</v>
      </c>
      <c r="F55" s="98">
        <f t="shared" si="9"/>
        <v>0.125</v>
      </c>
      <c r="G55" s="361">
        <f t="shared" ref="G55:G60" si="14">E55 * D55 ^ (-F55)</f>
        <v>0.19063278967288522</v>
      </c>
      <c r="H55" s="126">
        <f t="shared" si="11"/>
        <v>6.5726572521060086E-4</v>
      </c>
      <c r="I55" s="362">
        <f t="shared" ref="I55:I60" si="15">H55 * enrichment_ratio_inorganics * G55</f>
        <v>1.2529639875326885E-4</v>
      </c>
      <c r="J55" s="122">
        <f t="shared" ref="J55:J60" si="16">(I55 - average_US_erosion_rate) / average_US_erosion_rate</f>
        <v>-0.6519544479075865</v>
      </c>
    </row>
    <row r="56" spans="2:10" x14ac:dyDescent="0.2">
      <c r="B56" s="122" t="str">
        <f>INDEX(land_parcels, ROW() - ROW(B$49) +1)</f>
        <v>NW1</v>
      </c>
      <c r="C56" s="122" t="str">
        <f>INDEX(parcel_land_uses, MATCH($B56, parcel_names, 0))</f>
        <v>deciduous forest</v>
      </c>
      <c r="D56" s="115">
        <f>INDEX(parcel_areas_m2, MATCH(B56, parcel_names, 0))</f>
        <v>21284418.040311679</v>
      </c>
      <c r="E56" s="98">
        <f t="shared" si="8"/>
        <v>1.4</v>
      </c>
      <c r="F56" s="98">
        <f t="shared" si="9"/>
        <v>0.125</v>
      </c>
      <c r="G56" s="361">
        <f t="shared" si="14"/>
        <v>0.16987141842492276</v>
      </c>
      <c r="H56" s="126">
        <f t="shared" si="11"/>
        <v>3.0591090610402054E-4</v>
      </c>
      <c r="I56" s="362">
        <f t="shared" si="15"/>
        <v>5.196551953154333E-5</v>
      </c>
      <c r="J56" s="122">
        <f t="shared" si="16"/>
        <v>-0.85565133463460186</v>
      </c>
    </row>
    <row r="57" spans="2:10" x14ac:dyDescent="0.2">
      <c r="B57" s="122" t="str">
        <f>INDEX(land_parcels, ROW() - ROW(B$49) +1)</f>
        <v>NW2</v>
      </c>
      <c r="C57" s="122" t="str">
        <f>INDEX(parcel_land_uses, MATCH($B57, parcel_names, 0))</f>
        <v>deciduous forest</v>
      </c>
      <c r="D57" s="115">
        <f>INDEX(parcel_areas_m2, MATCH(B57, parcel_names, 0))</f>
        <v>20620168.451205432</v>
      </c>
      <c r="E57" s="98">
        <f t="shared" si="8"/>
        <v>1.4</v>
      </c>
      <c r="F57" s="98">
        <f t="shared" si="9"/>
        <v>0.125</v>
      </c>
      <c r="G57" s="361">
        <f t="shared" si="14"/>
        <v>0.17054598888338668</v>
      </c>
      <c r="H57" s="126">
        <f t="shared" si="11"/>
        <v>6.0231227049335272E-5</v>
      </c>
      <c r="I57" s="362">
        <f t="shared" si="15"/>
        <v>1.0272194178788672E-5</v>
      </c>
      <c r="J57" s="122">
        <f t="shared" si="16"/>
        <v>-0.97146612728114257</v>
      </c>
    </row>
    <row r="58" spans="2:10" x14ac:dyDescent="0.2">
      <c r="B58" s="122" t="str">
        <f>INDEX(land_parcels, ROW() - ROW(B$49) +1)</f>
        <v>S1</v>
      </c>
      <c r="C58" s="122" t="str">
        <f>INDEX(parcel_land_uses, MATCH($B58, parcel_names, 0))</f>
        <v>grass</v>
      </c>
      <c r="D58" s="115">
        <f>INDEX(parcel_areas_m2, MATCH(B58, parcel_names, 0))</f>
        <v>483133.14199053124</v>
      </c>
      <c r="E58" s="98">
        <f t="shared" si="8"/>
        <v>1.9</v>
      </c>
      <c r="F58" s="98">
        <f t="shared" si="9"/>
        <v>0.125</v>
      </c>
      <c r="G58" s="361">
        <f t="shared" si="14"/>
        <v>0.37003708164792548</v>
      </c>
      <c r="H58" s="126">
        <f t="shared" si="11"/>
        <v>1.1189707191157936E-4</v>
      </c>
      <c r="I58" s="362">
        <f t="shared" si="15"/>
        <v>4.1406065935108877E-5</v>
      </c>
      <c r="J58" s="122">
        <f t="shared" si="16"/>
        <v>-0.88498315018025309</v>
      </c>
    </row>
    <row r="59" spans="2:10" x14ac:dyDescent="0.2">
      <c r="B59" s="122" t="str">
        <f>INDEX(land_parcels, ROW() - ROW(B$49) +1)</f>
        <v>S2</v>
      </c>
      <c r="C59" s="122" t="str">
        <f>INDEX(parcel_land_uses, MATCH($B59, parcel_names, 0))</f>
        <v>grass</v>
      </c>
      <c r="D59" s="115">
        <f>INDEX(parcel_areas_m2, MATCH(B59, parcel_names, 0))</f>
        <v>6779524.0775474794</v>
      </c>
      <c r="E59" s="98">
        <f t="shared" si="8"/>
        <v>1.4</v>
      </c>
      <c r="F59" s="98">
        <f t="shared" si="9"/>
        <v>0.125</v>
      </c>
      <c r="G59" s="361">
        <f t="shared" si="14"/>
        <v>0.19598739242576016</v>
      </c>
      <c r="H59" s="126">
        <f t="shared" si="11"/>
        <v>7.5636549245971314E-5</v>
      </c>
      <c r="I59" s="362">
        <f t="shared" si="15"/>
        <v>1.4823810058800513E-5</v>
      </c>
      <c r="J59" s="122">
        <f t="shared" si="16"/>
        <v>-0.95882274983666527</v>
      </c>
    </row>
    <row r="60" spans="2:10" x14ac:dyDescent="0.2">
      <c r="B60" s="122" t="str">
        <f>INDEX(land_parcels, ROW() - ROW(B$49) +1)</f>
        <v>SE1</v>
      </c>
      <c r="C60" s="122" t="str">
        <f>INDEX(parcel_land_uses, MATCH($B60, parcel_names, 0))</f>
        <v>grass</v>
      </c>
      <c r="D60" s="115">
        <f>INDEX(parcel_areas_m2, MATCH(B60, parcel_names, 0))</f>
        <v>21263896.650649726</v>
      </c>
      <c r="E60" s="98">
        <f t="shared" si="8"/>
        <v>1.4</v>
      </c>
      <c r="F60" s="98">
        <f t="shared" si="9"/>
        <v>0.125</v>
      </c>
      <c r="G60" s="361">
        <f t="shared" si="14"/>
        <v>0.16989190224454978</v>
      </c>
      <c r="H60" s="126">
        <f t="shared" si="11"/>
        <v>5.13561888320836E-4</v>
      </c>
      <c r="I60" s="362">
        <f t="shared" si="15"/>
        <v>8.7250006127129857E-5</v>
      </c>
      <c r="J60" s="122">
        <f t="shared" si="16"/>
        <v>-0.75763887186908374</v>
      </c>
    </row>
    <row r="61" spans="2:10" x14ac:dyDescent="0.2">
      <c r="B61" s="122" t="str">
        <f>INDEX(land_parcels, ROW() - ROW(B$49) +1)</f>
        <v>SE2</v>
      </c>
      <c r="C61" s="122" t="str">
        <f>INDEX(parcel_land_uses, MATCH($B61, parcel_names, 0))</f>
        <v>grass</v>
      </c>
      <c r="D61" s="115">
        <f>INDEX(parcel_areas_m2, MATCH(B61, parcel_names, 0))</f>
        <v>11239629.609998185</v>
      </c>
      <c r="E61" s="98">
        <f t="shared" si="8"/>
        <v>1.4</v>
      </c>
      <c r="F61" s="98">
        <f t="shared" si="9"/>
        <v>0.125</v>
      </c>
      <c r="G61" s="361">
        <f>E61 * D61 ^ (-F61)</f>
        <v>0.18398568569986951</v>
      </c>
      <c r="H61" s="126">
        <f>VLOOKUP(B61,USLE_Calcs,11,FALSE)</f>
        <v>1.5754068444265199E-3</v>
      </c>
      <c r="I61" s="362">
        <f>H61 * enrichment_ratio_inorganics * G61</f>
        <v>2.8985230852808091E-4</v>
      </c>
      <c r="J61" s="122">
        <f>(I61 - average_US_erosion_rate) / average_US_erosion_rate</f>
        <v>-0.19485469853310863</v>
      </c>
    </row>
    <row r="62" spans="2:10" x14ac:dyDescent="0.2">
      <c r="B62" s="122" t="str">
        <f>INDEX(land_parcels, ROW() - ROW(B$49) +1)</f>
        <v>SW1</v>
      </c>
      <c r="C62" s="122" t="str">
        <f>INDEX(parcel_land_uses, MATCH($B62, parcel_names, 0))</f>
        <v>deciduous forest</v>
      </c>
      <c r="D62" s="115">
        <f>INDEX(parcel_areas_m2, MATCH(B62, parcel_names, 0))</f>
        <v>10634288.0921451</v>
      </c>
      <c r="E62" s="98">
        <f t="shared" si="8"/>
        <v>1.4</v>
      </c>
      <c r="F62" s="98">
        <f t="shared" si="9"/>
        <v>0.125</v>
      </c>
      <c r="G62" s="361">
        <f>E62 * D62 ^ (-F62)</f>
        <v>0.18526333725584662</v>
      </c>
      <c r="H62" s="126">
        <f>VLOOKUP(B62,USLE_Calcs,11,FALSE)</f>
        <v>1.7875911188961074E-3</v>
      </c>
      <c r="I62" s="362">
        <f>H62 * enrichment_ratio_inorganics * G62</f>
        <v>3.3117509633560579E-4</v>
      </c>
      <c r="J62" s="122">
        <f>(I62 - average_US_erosion_rate) / average_US_erosion_rate</f>
        <v>-8.0069176845539519E-2</v>
      </c>
    </row>
    <row r="63" spans="2:10" x14ac:dyDescent="0.2">
      <c r="B63" s="122" t="str">
        <f>INDEX(land_parcels, ROW() - ROW(B$49) +1)</f>
        <v>SW2</v>
      </c>
      <c r="C63" s="122" t="str">
        <f>INDEX(parcel_land_uses, MATCH($B63, parcel_names, 0))</f>
        <v>deciduous forest</v>
      </c>
      <c r="D63" s="115">
        <f>INDEX(parcel_areas_m2, MATCH(B63, parcel_names, 0))</f>
        <v>30825008.327948619</v>
      </c>
      <c r="E63" s="98">
        <f t="shared" si="8"/>
        <v>1.2</v>
      </c>
      <c r="F63" s="98">
        <f t="shared" si="9"/>
        <v>0.125</v>
      </c>
      <c r="G63" s="361">
        <f>E63 * D63 ^ (-F63)</f>
        <v>0.13901713878317509</v>
      </c>
      <c r="H63" s="126">
        <f>VLOOKUP(B63,USLE_Calcs,11,FALSE)</f>
        <v>2.1016921014329706E-4</v>
      </c>
      <c r="I63" s="362">
        <f>H63 * enrichment_ratio_inorganics * G63</f>
        <v>2.9217122254441019E-5</v>
      </c>
      <c r="J63" s="122">
        <f>(I63 - average_US_erosion_rate) / average_US_erosion_rate</f>
        <v>-0.91884132707099719</v>
      </c>
    </row>
    <row r="64" spans="2:10" x14ac:dyDescent="0.2">
      <c r="B64" s="122" t="str">
        <f>INDEX(land_parcels, ROW() - ROW(B$49) +1)</f>
        <v>W1</v>
      </c>
      <c r="C64" s="122" t="str">
        <f>INDEX(parcel_land_uses, MATCH($B64, parcel_names, 0))</f>
        <v>deciduous forest</v>
      </c>
      <c r="D64" s="115">
        <f>INDEX(parcel_areas_m2, MATCH(B64, parcel_names, 0))</f>
        <v>16662585.706417479</v>
      </c>
      <c r="E64" s="98">
        <f t="shared" si="8"/>
        <v>1.4</v>
      </c>
      <c r="F64" s="98">
        <f t="shared" si="9"/>
        <v>0.125</v>
      </c>
      <c r="G64" s="361">
        <f>E64 * D64 ^ (-F64)</f>
        <v>0.17515003810721438</v>
      </c>
      <c r="H64" s="126">
        <f>VLOOKUP(B64,USLE_Calcs,11,FALSE)</f>
        <v>7.8950306369996435E-4</v>
      </c>
      <c r="I64" s="362">
        <f>H64 * enrichment_ratio_inorganics * G64</f>
        <v>1.3828149169281125E-4</v>
      </c>
      <c r="J64" s="122">
        <f>(I64 - average_US_erosion_rate) / average_US_erosion_rate</f>
        <v>-0.61588474529774651</v>
      </c>
    </row>
    <row r="65" spans="2:10" x14ac:dyDescent="0.2">
      <c r="B65" s="122" t="e">
        <f>INDEX(land_parcels, ROW() - ROW(B$49) +1)</f>
        <v>#REF!</v>
      </c>
      <c r="C65" s="122" t="e">
        <f>INDEX(parcel_land_uses, MATCH($B65, parcel_names, 0))</f>
        <v>#REF!</v>
      </c>
      <c r="D65" s="115" t="e">
        <f>INDEX(parcel_areas_m2, MATCH(B65, parcel_names, 0))</f>
        <v>#REF!</v>
      </c>
      <c r="E65" s="98" t="e">
        <f t="shared" si="8"/>
        <v>#REF!</v>
      </c>
      <c r="F65" s="98" t="e">
        <f t="shared" si="9"/>
        <v>#REF!</v>
      </c>
      <c r="G65" s="361" t="e">
        <f>E65 * D65 ^ (-F65)</f>
        <v>#REF!</v>
      </c>
      <c r="H65" s="126" t="e">
        <f>VLOOKUP(B65,USLE_Calcs,11,FALSE)</f>
        <v>#REF!</v>
      </c>
      <c r="I65" s="362" t="e">
        <f>H65 * enrichment_ratio_inorganics * G65</f>
        <v>#REF!</v>
      </c>
      <c r="J65" s="122" t="e">
        <f>(I65 - average_US_erosion_rate) / average_US_erosion_rate</f>
        <v>#REF!</v>
      </c>
    </row>
  </sheetData>
  <sortState xmlns:xlrd2="http://schemas.microsoft.com/office/spreadsheetml/2017/richdata2" ref="B27:H31">
    <sortCondition descending="1" ref="C27:C31"/>
  </sortState>
  <mergeCells count="16">
    <mergeCell ref="B47:B48"/>
    <mergeCell ref="B15:D15"/>
    <mergeCell ref="D46:G46"/>
    <mergeCell ref="I46:J46"/>
    <mergeCell ref="B26:D26"/>
    <mergeCell ref="C27:D27"/>
    <mergeCell ref="C29:D29"/>
    <mergeCell ref="C30:D30"/>
    <mergeCell ref="C31:D31"/>
    <mergeCell ref="C33:D33"/>
    <mergeCell ref="G5:G6"/>
    <mergeCell ref="G7:G8"/>
    <mergeCell ref="G9:G10"/>
    <mergeCell ref="C32:D32"/>
    <mergeCell ref="C47:C48"/>
    <mergeCell ref="C28:D28"/>
  </mergeCells>
  <dataValidations count="2">
    <dataValidation type="list" allowBlank="1" showInputMessage="1" showErrorMessage="1" errorTitle="Invalid entry" error="Please select one of the defined composite compartment types." promptTitle="Composite plant compartment" prompt="Select the type of foliage for this land use type." sqref="E33:J33" xr:uid="{00000000-0002-0000-0700-000000000000}">
      <formula1>composite_plant_compartments</formula1>
    </dataValidation>
    <dataValidation type="list" allowBlank="1" showInputMessage="1" showErrorMessage="1" errorTitle="Invalid entry" error="Please enter TRUE or FALSE." promptTitle="Tilled soil" prompt="Please select whether this land type will have tilled soil." sqref="E28:J28" xr:uid="{00000000-0002-0000-0700-000001000000}">
      <formula1>"TRUE,FALSE"</formula1>
    </dataValidation>
  </dataValidations>
  <pageMargins left="0.7" right="0.7" top="0.75" bottom="0.75" header="0.3" footer="0.3"/>
  <pageSetup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FFFF99"/>
  </sheetPr>
  <dimension ref="B2:AN48"/>
  <sheetViews>
    <sheetView showGridLines="0" zoomScale="60" zoomScaleNormal="60" workbookViewId="0">
      <pane xSplit="5" ySplit="8" topLeftCell="F9" activePane="bottomRight" state="frozen"/>
      <selection pane="topRight" activeCell="F1" sqref="F1"/>
      <selection pane="bottomLeft" activeCell="A9" sqref="A9"/>
      <selection pane="bottomRight" activeCell="F9" sqref="F9"/>
    </sheetView>
  </sheetViews>
  <sheetFormatPr defaultColWidth="8.7109375" defaultRowHeight="12.75" x14ac:dyDescent="0.2"/>
  <cols>
    <col min="1" max="1" width="4.28515625" style="322" customWidth="1"/>
    <col min="2" max="2" width="31" style="369" customWidth="1"/>
    <col min="3" max="3" width="35.42578125" style="369" customWidth="1"/>
    <col min="4" max="4" width="17" style="322" customWidth="1"/>
    <col min="5" max="5" width="25.42578125" style="322" customWidth="1"/>
    <col min="6" max="15" width="12.42578125" style="369" customWidth="1"/>
    <col min="16" max="16" width="13.5703125" style="322" customWidth="1"/>
    <col min="17" max="17" width="10.7109375" style="322" bestFit="1" customWidth="1"/>
    <col min="18" max="22" width="10.140625" style="322" customWidth="1"/>
    <col min="23" max="23" width="8.7109375" style="322"/>
    <col min="24" max="24" width="10.140625" style="322" bestFit="1" customWidth="1"/>
    <col min="25" max="38" width="8.7109375" style="322"/>
    <col min="39" max="39" width="8.7109375" style="322" customWidth="1"/>
    <col min="40" max="16384" width="8.7109375" style="322"/>
  </cols>
  <sheetData>
    <row r="2" spans="2:40" x14ac:dyDescent="0.2">
      <c r="B2" s="568" t="str">
        <f>IF(COUNTA(land_parcel_names) &lt;&gt; COUNTA(land_parcels), "WARNING: insert columns to account for all water parcels!", "Columns OK")</f>
        <v>WARNING: insert columns to account for all water parcels!</v>
      </c>
      <c r="C2" s="568"/>
      <c r="D2" s="366"/>
      <c r="E2" s="366"/>
      <c r="F2" s="366"/>
      <c r="G2" s="467"/>
      <c r="H2" s="366" t="s">
        <v>914</v>
      </c>
      <c r="I2" s="366"/>
      <c r="J2" s="366"/>
      <c r="K2" s="367"/>
      <c r="L2" s="368" t="s">
        <v>721</v>
      </c>
    </row>
    <row r="3" spans="2:40" x14ac:dyDescent="0.2">
      <c r="F3" s="366"/>
      <c r="G3" s="366"/>
      <c r="H3" s="366"/>
      <c r="I3" s="366"/>
      <c r="J3" s="366"/>
      <c r="K3" s="370"/>
      <c r="L3" s="368" t="s">
        <v>754</v>
      </c>
    </row>
    <row r="4" spans="2:40" ht="15.75" x14ac:dyDescent="0.25">
      <c r="B4" s="371" t="str">
        <f>"TRIM.FaTE Soil and Groundwater Parameters for " &amp; pretty_scenario_name</f>
        <v>TRIM.FaTE Soil and Groundwater Parameters for Foundries_SS</v>
      </c>
      <c r="C4" s="371"/>
      <c r="D4" s="372"/>
      <c r="E4" s="372"/>
      <c r="K4" s="401"/>
      <c r="L4" s="368" t="s">
        <v>755</v>
      </c>
      <c r="P4" s="372"/>
    </row>
    <row r="5" spans="2:40" x14ac:dyDescent="0.2">
      <c r="B5" s="373" t="s">
        <v>337</v>
      </c>
      <c r="C5" s="373"/>
      <c r="D5" s="372"/>
      <c r="E5" s="372"/>
      <c r="P5" s="372"/>
    </row>
    <row r="6" spans="2:40" x14ac:dyDescent="0.2">
      <c r="B6" s="372"/>
      <c r="D6" s="372"/>
      <c r="E6" s="374" t="s">
        <v>722</v>
      </c>
      <c r="F6" s="122" t="str">
        <f>INDEX(land_parcels, COLUMN() - COLUMN($F6) +1)</f>
        <v>E1</v>
      </c>
      <c r="G6" s="122" t="str">
        <f>INDEX(land_parcels, COLUMN() - COLUMN($F6) +1)</f>
        <v>E2</v>
      </c>
      <c r="H6" s="122" t="str">
        <f>INDEX(land_parcels, COLUMN() - COLUMN($F6) +1)</f>
        <v>N1</v>
      </c>
      <c r="I6" s="122" t="str">
        <f>INDEX(land_parcels, COLUMN() - COLUMN($F6) +1)</f>
        <v>N2</v>
      </c>
      <c r="J6" s="122" t="str">
        <f>INDEX(land_parcels, COLUMN() - COLUMN($F6) +1)</f>
        <v>NE1</v>
      </c>
      <c r="K6" s="122" t="str">
        <f>INDEX(land_parcels, COLUMN() - COLUMN($F6) +1)</f>
        <v>NE2</v>
      </c>
      <c r="L6" s="122" t="str">
        <f>INDEX(land_parcels, COLUMN() - COLUMN($F6) +1)</f>
        <v>NE3</v>
      </c>
      <c r="M6" s="122" t="str">
        <f>INDEX(land_parcels, COLUMN() - COLUMN($F6) +1)</f>
        <v>NW1</v>
      </c>
      <c r="N6" s="122" t="str">
        <f>INDEX(land_parcels, COLUMN() - COLUMN($F6) +1)</f>
        <v>NW2</v>
      </c>
      <c r="O6" s="122" t="str">
        <f>INDEX(land_parcels, COLUMN() - COLUMN($F6) +1)</f>
        <v>S1</v>
      </c>
      <c r="P6" s="122" t="str">
        <f>INDEX(land_parcels, COLUMN() - COLUMN($F6) +1)</f>
        <v>S2</v>
      </c>
      <c r="Q6" s="122" t="str">
        <f>INDEX(land_parcels, COLUMN() - COLUMN($F6) +1)</f>
        <v>SE1</v>
      </c>
      <c r="R6" s="122" t="str">
        <f>INDEX(land_parcels, COLUMN() - COLUMN($F6) +1)</f>
        <v>SE2</v>
      </c>
      <c r="S6" s="122" t="str">
        <f>INDEX(land_parcels, COLUMN() - COLUMN($F6) +1)</f>
        <v>SW1</v>
      </c>
      <c r="T6" s="122" t="str">
        <f>INDEX(land_parcels, COLUMN() - COLUMN($F6) +1)</f>
        <v>SW2</v>
      </c>
      <c r="U6" s="122" t="str">
        <f>INDEX(land_parcels, COLUMN() - COLUMN($F6) +1)</f>
        <v>W1</v>
      </c>
      <c r="V6" s="122" t="e">
        <f>INDEX(land_parcels, COLUMN() - COLUMN($F6) +1)</f>
        <v>#REF!</v>
      </c>
    </row>
    <row r="7" spans="2:40" ht="25.5" x14ac:dyDescent="0.2">
      <c r="B7" s="372"/>
      <c r="D7" s="372"/>
      <c r="E7" s="374" t="s">
        <v>723</v>
      </c>
      <c r="F7" s="375" t="str">
        <f>INDEX(parcel_land_uses, MATCH(F$6,parcel_names, 0))</f>
        <v>grass</v>
      </c>
      <c r="G7" s="375" t="str">
        <f>INDEX(parcel_land_uses, MATCH(G$6,parcel_names, 0))</f>
        <v>deciduous forest</v>
      </c>
      <c r="H7" s="375" t="str">
        <f>INDEX(parcel_land_uses, MATCH(H$6,parcel_names, 0))</f>
        <v>deciduous forest</v>
      </c>
      <c r="I7" s="375" t="str">
        <f>INDEX(parcel_land_uses, MATCH(I$6,parcel_names, 0))</f>
        <v>grass</v>
      </c>
      <c r="J7" s="375" t="str">
        <f>INDEX(parcel_land_uses, MATCH(J$6,parcel_names, 0))</f>
        <v>grass</v>
      </c>
      <c r="K7" s="375" t="str">
        <f>INDEX(parcel_land_uses, MATCH(K$6,parcel_names, 0))</f>
        <v>grass</v>
      </c>
      <c r="L7" s="375" t="str">
        <f>INDEX(parcel_land_uses, MATCH(L$6,parcel_names, 0))</f>
        <v>deciduous forest</v>
      </c>
      <c r="M7" s="375" t="str">
        <f>INDEX(parcel_land_uses, MATCH(M$6,parcel_names, 0))</f>
        <v>deciduous forest</v>
      </c>
      <c r="N7" s="375" t="str">
        <f>INDEX(parcel_land_uses, MATCH(N$6,parcel_names, 0))</f>
        <v>deciduous forest</v>
      </c>
      <c r="O7" s="375" t="str">
        <f>INDEX(parcel_land_uses, MATCH(O$6,parcel_names, 0))</f>
        <v>grass</v>
      </c>
      <c r="P7" s="375" t="str">
        <f>INDEX(parcel_land_uses, MATCH(P$6,parcel_names, 0))</f>
        <v>grass</v>
      </c>
      <c r="Q7" s="375" t="str">
        <f>INDEX(parcel_land_uses, MATCH(Q$6,parcel_names, 0))</f>
        <v>grass</v>
      </c>
      <c r="R7" s="375" t="str">
        <f>INDEX(parcel_land_uses, MATCH(R$6,parcel_names, 0))</f>
        <v>grass</v>
      </c>
      <c r="S7" s="375" t="str">
        <f>INDEX(parcel_land_uses, MATCH(S$6,parcel_names, 0))</f>
        <v>deciduous forest</v>
      </c>
      <c r="T7" s="375" t="str">
        <f>INDEX(parcel_land_uses, MATCH(T$6,parcel_names, 0))</f>
        <v>deciduous forest</v>
      </c>
      <c r="U7" s="375" t="str">
        <f>INDEX(parcel_land_uses, MATCH(U$6,parcel_names, 0))</f>
        <v>deciduous forest</v>
      </c>
      <c r="V7" s="375" t="e">
        <f>INDEX(parcel_land_uses, MATCH(V$6,parcel_names, 0))</f>
        <v>#REF!</v>
      </c>
    </row>
    <row r="8" spans="2:40" x14ac:dyDescent="0.2">
      <c r="B8" s="372"/>
      <c r="D8" s="372"/>
      <c r="E8" s="374" t="s">
        <v>692</v>
      </c>
      <c r="F8" s="376">
        <f>INDEX(parcel_areas_m2, MATCH(F6, parcel_names, 0))</f>
        <v>9510336.7447571121</v>
      </c>
      <c r="G8" s="376">
        <f>INDEX(parcel_areas_m2, MATCH(G6, parcel_names, 0))</f>
        <v>6180161.1574881524</v>
      </c>
      <c r="H8" s="376">
        <f>INDEX(parcel_areas_m2, MATCH(H6, parcel_names, 0))</f>
        <v>8331779.6721657179</v>
      </c>
      <c r="I8" s="376">
        <f>INDEX(parcel_areas_m2, MATCH(I6, parcel_names, 0))</f>
        <v>27646137.495466657</v>
      </c>
      <c r="J8" s="376">
        <f>INDEX(parcel_areas_m2, MATCH(J6, parcel_names, 0))</f>
        <v>14733478.925060868</v>
      </c>
      <c r="K8" s="376">
        <f>INDEX(parcel_areas_m2, MATCH(K6, parcel_names, 0))</f>
        <v>3632465.2791630328</v>
      </c>
      <c r="L8" s="376">
        <f>INDEX(parcel_areas_m2, MATCH(L6, parcel_names, 0))</f>
        <v>8461424.0238580704</v>
      </c>
      <c r="M8" s="376">
        <f>INDEX(parcel_areas_m2, MATCH(M6, parcel_names, 0))</f>
        <v>21284418.040311679</v>
      </c>
      <c r="N8" s="376">
        <f>INDEX(parcel_areas_m2, MATCH(N6, parcel_names, 0))</f>
        <v>20620168.451205432</v>
      </c>
      <c r="O8" s="376">
        <f>INDEX(parcel_areas_m2, MATCH(O6, parcel_names, 0))</f>
        <v>483133.14199053124</v>
      </c>
      <c r="P8" s="376">
        <f>INDEX(parcel_areas_m2, MATCH(P6, parcel_names, 0))</f>
        <v>6779524.0775474794</v>
      </c>
      <c r="Q8" s="376">
        <f>INDEX(parcel_areas_m2, MATCH(Q6, parcel_names, 0))</f>
        <v>21263896.650649726</v>
      </c>
      <c r="R8" s="376">
        <f>INDEX(parcel_areas_m2, MATCH(R6, parcel_names, 0))</f>
        <v>11239629.609998185</v>
      </c>
      <c r="S8" s="376">
        <f>INDEX(parcel_areas_m2, MATCH(S6, parcel_names, 0))</f>
        <v>10634288.0921451</v>
      </c>
      <c r="T8" s="376">
        <f>INDEX(parcel_areas_m2, MATCH(T6, parcel_names, 0))</f>
        <v>30825008.327948619</v>
      </c>
      <c r="U8" s="376">
        <f>INDEX(parcel_areas_m2, MATCH(U6, parcel_names, 0))</f>
        <v>16662585.706417479</v>
      </c>
      <c r="V8" s="376" t="e">
        <f>INDEX(parcel_areas_m2, MATCH(V6, parcel_names, 0))</f>
        <v>#REF!</v>
      </c>
    </row>
    <row r="9" spans="2:40" x14ac:dyDescent="0.2">
      <c r="B9" s="372"/>
      <c r="C9" s="372"/>
      <c r="D9" s="372"/>
      <c r="E9" s="372"/>
      <c r="P9" s="369"/>
      <c r="Q9" s="369"/>
      <c r="R9" s="369"/>
      <c r="S9" s="369"/>
      <c r="T9" s="369"/>
      <c r="U9" s="369"/>
      <c r="V9" s="369"/>
    </row>
    <row r="10" spans="2:40" ht="25.5" x14ac:dyDescent="0.2">
      <c r="B10" s="377" t="s">
        <v>171</v>
      </c>
      <c r="C10" s="377" t="s">
        <v>753</v>
      </c>
      <c r="D10" s="377" t="s">
        <v>81</v>
      </c>
      <c r="E10" s="377" t="s">
        <v>752</v>
      </c>
      <c r="F10" s="377"/>
      <c r="G10" s="377"/>
      <c r="H10" s="377"/>
      <c r="I10" s="377"/>
      <c r="J10" s="377"/>
      <c r="K10" s="377"/>
      <c r="L10" s="377"/>
      <c r="M10" s="377"/>
      <c r="N10" s="377"/>
      <c r="O10" s="377"/>
      <c r="P10" s="377"/>
      <c r="Q10" s="377"/>
      <c r="R10" s="377"/>
      <c r="S10" s="377"/>
      <c r="T10" s="377"/>
      <c r="U10" s="377"/>
      <c r="V10" s="377"/>
    </row>
    <row r="11" spans="2:40" ht="25.5" x14ac:dyDescent="0.2">
      <c r="B11" s="465" t="s">
        <v>172</v>
      </c>
      <c r="C11" s="378" t="s">
        <v>724</v>
      </c>
      <c r="D11" s="364" t="s">
        <v>173</v>
      </c>
      <c r="E11" s="379" t="s">
        <v>174</v>
      </c>
      <c r="F11" s="383">
        <v>0.28000000000000003</v>
      </c>
      <c r="G11" s="383">
        <v>0.28000000000000003</v>
      </c>
      <c r="H11" s="383">
        <v>0.28000000000000003</v>
      </c>
      <c r="I11" s="383">
        <v>0.1</v>
      </c>
      <c r="J11" s="383">
        <v>0.28000000000000003</v>
      </c>
      <c r="K11" s="383">
        <v>0.28000000000000003</v>
      </c>
      <c r="L11" s="383">
        <v>0.28000000000000003</v>
      </c>
      <c r="M11" s="383">
        <v>0.28000000000000003</v>
      </c>
      <c r="N11" s="383">
        <v>0.1</v>
      </c>
      <c r="O11" s="383">
        <v>0.28000000000000003</v>
      </c>
      <c r="P11" s="383">
        <v>0.28000000000000003</v>
      </c>
      <c r="Q11" s="383">
        <v>0.28000000000000003</v>
      </c>
      <c r="R11" s="383">
        <v>0.28000000000000003</v>
      </c>
      <c r="S11" s="383">
        <v>0.28000000000000003</v>
      </c>
      <c r="T11" s="383">
        <v>0.1</v>
      </c>
      <c r="U11" s="383">
        <v>0.28000000000000003</v>
      </c>
      <c r="V11" s="383">
        <v>0.1</v>
      </c>
      <c r="X11" s="471"/>
      <c r="Y11" s="471"/>
      <c r="Z11" s="471"/>
      <c r="AA11" s="471"/>
      <c r="AB11" s="471"/>
      <c r="AC11" s="471"/>
      <c r="AD11" s="471"/>
      <c r="AE11" s="471"/>
      <c r="AF11" s="471"/>
      <c r="AG11" s="471"/>
      <c r="AH11" s="471"/>
      <c r="AI11" s="471"/>
      <c r="AJ11" s="471"/>
      <c r="AK11" s="471"/>
      <c r="AL11" s="471"/>
      <c r="AM11" s="471"/>
      <c r="AN11" s="471"/>
    </row>
    <row r="12" spans="2:40" ht="25.5" x14ac:dyDescent="0.2">
      <c r="B12" s="466" t="s">
        <v>175</v>
      </c>
      <c r="C12" s="381" t="s">
        <v>725</v>
      </c>
      <c r="D12" s="364" t="s">
        <v>59</v>
      </c>
      <c r="E12" s="380" t="s">
        <v>176</v>
      </c>
      <c r="F12" s="382">
        <v>4.2958904109589049E-4</v>
      </c>
      <c r="G12" s="382">
        <v>4.2958904109589049E-4</v>
      </c>
      <c r="H12" s="382">
        <v>4.2958904109589049E-4</v>
      </c>
      <c r="I12" s="382">
        <v>0</v>
      </c>
      <c r="J12" s="382">
        <v>4.2958904109589049E-4</v>
      </c>
      <c r="K12" s="382">
        <v>4.2958904109589049E-4</v>
      </c>
      <c r="L12" s="382">
        <v>4.2958904109589049E-4</v>
      </c>
      <c r="M12" s="382">
        <v>4.2958904109589049E-4</v>
      </c>
      <c r="N12" s="382">
        <v>0</v>
      </c>
      <c r="O12" s="382">
        <v>4.2958904109589049E-4</v>
      </c>
      <c r="P12" s="382">
        <v>4.2958904109589049E-4</v>
      </c>
      <c r="Q12" s="382">
        <v>4.2958904109589049E-4</v>
      </c>
      <c r="R12" s="382">
        <v>4.2958904109589049E-4</v>
      </c>
      <c r="S12" s="382">
        <v>4.2958904109589049E-4</v>
      </c>
      <c r="T12" s="382">
        <v>0</v>
      </c>
      <c r="U12" s="382">
        <v>4.2958904109589049E-4</v>
      </c>
      <c r="V12" s="382">
        <v>0</v>
      </c>
      <c r="X12" s="471"/>
      <c r="Y12" s="471"/>
      <c r="Z12" s="471"/>
      <c r="AA12" s="471"/>
      <c r="AB12" s="471"/>
      <c r="AC12" s="471"/>
      <c r="AD12" s="471"/>
      <c r="AE12" s="471"/>
      <c r="AF12" s="471"/>
      <c r="AG12" s="471"/>
      <c r="AH12" s="471"/>
      <c r="AI12" s="471"/>
      <c r="AJ12" s="471"/>
      <c r="AK12" s="471"/>
      <c r="AL12" s="471"/>
      <c r="AM12" s="471"/>
      <c r="AN12" s="471"/>
    </row>
    <row r="13" spans="2:40" ht="25.5" x14ac:dyDescent="0.2">
      <c r="B13" s="380" t="s">
        <v>177</v>
      </c>
      <c r="C13" s="380" t="s">
        <v>726</v>
      </c>
      <c r="D13" s="364" t="s">
        <v>14</v>
      </c>
      <c r="E13" s="380" t="s">
        <v>178</v>
      </c>
      <c r="F13" s="383">
        <v>5.0000000000000001E-3</v>
      </c>
      <c r="G13" s="383">
        <v>5.0000000000000001E-3</v>
      </c>
      <c r="H13" s="383">
        <v>5.0000000000000001E-3</v>
      </c>
      <c r="I13" s="383">
        <v>5.0000000000000001E-3</v>
      </c>
      <c r="J13" s="383">
        <v>5.0000000000000001E-3</v>
      </c>
      <c r="K13" s="383">
        <v>5.0000000000000001E-3</v>
      </c>
      <c r="L13" s="383">
        <v>5.0000000000000001E-3</v>
      </c>
      <c r="M13" s="383">
        <v>5.0000000000000001E-3</v>
      </c>
      <c r="N13" s="383">
        <v>5.0000000000000001E-3</v>
      </c>
      <c r="O13" s="383">
        <v>5.0000000000000001E-3</v>
      </c>
      <c r="P13" s="383">
        <v>5.0000000000000001E-3</v>
      </c>
      <c r="Q13" s="383">
        <v>5.0000000000000001E-3</v>
      </c>
      <c r="R13" s="383">
        <v>5.0000000000000001E-3</v>
      </c>
      <c r="S13" s="383">
        <v>5.0000000000000001E-3</v>
      </c>
      <c r="T13" s="383">
        <v>5.0000000000000001E-3</v>
      </c>
      <c r="U13" s="383">
        <v>5.0000000000000001E-3</v>
      </c>
      <c r="V13" s="383">
        <v>5.0000000000000001E-3</v>
      </c>
      <c r="X13" s="471"/>
      <c r="Y13" s="471"/>
      <c r="Z13" s="471"/>
      <c r="AA13" s="471"/>
      <c r="AB13" s="471"/>
      <c r="AC13" s="471"/>
      <c r="AD13" s="471"/>
      <c r="AE13" s="471"/>
      <c r="AF13" s="471"/>
      <c r="AG13" s="471"/>
      <c r="AH13" s="471"/>
      <c r="AI13" s="471"/>
      <c r="AJ13" s="471"/>
      <c r="AK13" s="471"/>
      <c r="AL13" s="471"/>
      <c r="AM13" s="471"/>
      <c r="AN13" s="471"/>
    </row>
    <row r="14" spans="2:40" ht="25.5" x14ac:dyDescent="0.2">
      <c r="B14" s="466" t="s">
        <v>179</v>
      </c>
      <c r="C14" s="380" t="s">
        <v>727</v>
      </c>
      <c r="D14" s="364" t="s">
        <v>243</v>
      </c>
      <c r="E14" s="380" t="s">
        <v>180</v>
      </c>
      <c r="F14" s="383">
        <v>2600</v>
      </c>
      <c r="G14" s="383">
        <v>2600</v>
      </c>
      <c r="H14" s="383">
        <v>2600</v>
      </c>
      <c r="I14" s="383">
        <v>500</v>
      </c>
      <c r="J14" s="383">
        <v>2600</v>
      </c>
      <c r="K14" s="383">
        <v>2600</v>
      </c>
      <c r="L14" s="383">
        <v>2600</v>
      </c>
      <c r="M14" s="383">
        <v>2600</v>
      </c>
      <c r="N14" s="383">
        <v>500</v>
      </c>
      <c r="O14" s="383">
        <v>2600</v>
      </c>
      <c r="P14" s="383">
        <v>2600</v>
      </c>
      <c r="Q14" s="383">
        <v>2600</v>
      </c>
      <c r="R14" s="383">
        <v>2600</v>
      </c>
      <c r="S14" s="383">
        <v>2600</v>
      </c>
      <c r="T14" s="383">
        <v>500</v>
      </c>
      <c r="U14" s="383">
        <v>2600</v>
      </c>
      <c r="V14" s="383">
        <v>500</v>
      </c>
      <c r="X14" s="471"/>
      <c r="Y14" s="471"/>
      <c r="Z14" s="471"/>
      <c r="AA14" s="471"/>
      <c r="AB14" s="471"/>
      <c r="AC14" s="471"/>
      <c r="AD14" s="471"/>
      <c r="AE14" s="471"/>
      <c r="AF14" s="471"/>
      <c r="AG14" s="471"/>
      <c r="AH14" s="471"/>
      <c r="AI14" s="471"/>
      <c r="AJ14" s="471"/>
      <c r="AK14" s="471"/>
      <c r="AL14" s="471"/>
      <c r="AM14" s="471"/>
      <c r="AN14" s="471"/>
    </row>
    <row r="15" spans="2:40" ht="28.5" x14ac:dyDescent="0.2">
      <c r="B15" s="380" t="s">
        <v>182</v>
      </c>
      <c r="C15" s="380" t="s">
        <v>728</v>
      </c>
      <c r="D15" s="364" t="s">
        <v>244</v>
      </c>
      <c r="E15" s="380" t="s">
        <v>183</v>
      </c>
      <c r="F15" s="383">
        <v>1</v>
      </c>
      <c r="G15" s="383">
        <v>1</v>
      </c>
      <c r="H15" s="383">
        <v>1</v>
      </c>
      <c r="I15" s="383">
        <v>1</v>
      </c>
      <c r="J15" s="383">
        <v>1</v>
      </c>
      <c r="K15" s="383">
        <v>1</v>
      </c>
      <c r="L15" s="383">
        <v>1</v>
      </c>
      <c r="M15" s="383">
        <v>1</v>
      </c>
      <c r="N15" s="383">
        <v>1</v>
      </c>
      <c r="O15" s="383">
        <v>1</v>
      </c>
      <c r="P15" s="383">
        <v>1</v>
      </c>
      <c r="Q15" s="383">
        <v>1</v>
      </c>
      <c r="R15" s="383">
        <v>1</v>
      </c>
      <c r="S15" s="383">
        <v>1</v>
      </c>
      <c r="T15" s="383">
        <v>1</v>
      </c>
      <c r="U15" s="383">
        <v>1</v>
      </c>
      <c r="V15" s="383">
        <v>1</v>
      </c>
      <c r="X15" s="471"/>
      <c r="Y15" s="471"/>
      <c r="Z15" s="471"/>
      <c r="AA15" s="471"/>
      <c r="AB15" s="471"/>
      <c r="AC15" s="471"/>
      <c r="AD15" s="471"/>
      <c r="AE15" s="471"/>
      <c r="AF15" s="471"/>
      <c r="AG15" s="471"/>
      <c r="AH15" s="471"/>
      <c r="AI15" s="471"/>
      <c r="AJ15" s="471"/>
      <c r="AK15" s="471"/>
      <c r="AL15" s="471"/>
      <c r="AM15" s="471"/>
      <c r="AN15" s="471"/>
    </row>
    <row r="16" spans="2:40" ht="28.5" x14ac:dyDescent="0.2">
      <c r="B16" s="380" t="s">
        <v>184</v>
      </c>
      <c r="C16" s="380" t="s">
        <v>729</v>
      </c>
      <c r="D16" s="364" t="s">
        <v>244</v>
      </c>
      <c r="E16" s="380" t="s">
        <v>183</v>
      </c>
      <c r="F16" s="383">
        <v>1</v>
      </c>
      <c r="G16" s="383">
        <v>1</v>
      </c>
      <c r="H16" s="383">
        <v>1</v>
      </c>
      <c r="I16" s="383">
        <v>1</v>
      </c>
      <c r="J16" s="383">
        <v>1</v>
      </c>
      <c r="K16" s="383">
        <v>1</v>
      </c>
      <c r="L16" s="383">
        <v>1</v>
      </c>
      <c r="M16" s="383">
        <v>1</v>
      </c>
      <c r="N16" s="383">
        <v>1</v>
      </c>
      <c r="O16" s="383">
        <v>1</v>
      </c>
      <c r="P16" s="383">
        <v>1</v>
      </c>
      <c r="Q16" s="383">
        <v>1</v>
      </c>
      <c r="R16" s="383">
        <v>1</v>
      </c>
      <c r="S16" s="383">
        <v>1</v>
      </c>
      <c r="T16" s="383">
        <v>1</v>
      </c>
      <c r="U16" s="383">
        <v>1</v>
      </c>
      <c r="V16" s="383">
        <v>1</v>
      </c>
      <c r="X16" s="471"/>
      <c r="Y16" s="471"/>
      <c r="Z16" s="471"/>
      <c r="AA16" s="471"/>
      <c r="AB16" s="471"/>
      <c r="AC16" s="471"/>
      <c r="AD16" s="471"/>
      <c r="AE16" s="471"/>
      <c r="AF16" s="471"/>
      <c r="AG16" s="471"/>
      <c r="AH16" s="471"/>
      <c r="AI16" s="471"/>
      <c r="AJ16" s="471"/>
      <c r="AK16" s="471"/>
      <c r="AL16" s="471"/>
      <c r="AM16" s="471"/>
      <c r="AN16" s="471"/>
    </row>
    <row r="17" spans="2:40" ht="28.5" x14ac:dyDescent="0.2">
      <c r="B17" s="380" t="s">
        <v>185</v>
      </c>
      <c r="C17" s="380" t="s">
        <v>730</v>
      </c>
      <c r="D17" s="364" t="s">
        <v>244</v>
      </c>
      <c r="E17" s="380" t="s">
        <v>183</v>
      </c>
      <c r="F17" s="383">
        <v>1</v>
      </c>
      <c r="G17" s="383">
        <v>1</v>
      </c>
      <c r="H17" s="383">
        <v>1</v>
      </c>
      <c r="I17" s="383">
        <v>1</v>
      </c>
      <c r="J17" s="383">
        <v>1</v>
      </c>
      <c r="K17" s="383">
        <v>1</v>
      </c>
      <c r="L17" s="383">
        <v>1</v>
      </c>
      <c r="M17" s="383">
        <v>1</v>
      </c>
      <c r="N17" s="383">
        <v>1</v>
      </c>
      <c r="O17" s="383">
        <v>1</v>
      </c>
      <c r="P17" s="383">
        <v>1</v>
      </c>
      <c r="Q17" s="383">
        <v>1</v>
      </c>
      <c r="R17" s="383">
        <v>1</v>
      </c>
      <c r="S17" s="383">
        <v>1</v>
      </c>
      <c r="T17" s="383">
        <v>1</v>
      </c>
      <c r="U17" s="383">
        <v>1</v>
      </c>
      <c r="V17" s="383">
        <v>1</v>
      </c>
      <c r="X17" s="471"/>
      <c r="Y17" s="471"/>
      <c r="Z17" s="471"/>
      <c r="AA17" s="471"/>
      <c r="AB17" s="471"/>
      <c r="AC17" s="471"/>
      <c r="AD17" s="471"/>
      <c r="AE17" s="471"/>
      <c r="AF17" s="471"/>
      <c r="AG17" s="471"/>
      <c r="AH17" s="471"/>
      <c r="AI17" s="471"/>
      <c r="AJ17" s="471"/>
      <c r="AK17" s="471"/>
      <c r="AL17" s="471"/>
      <c r="AM17" s="471"/>
      <c r="AN17" s="471"/>
    </row>
    <row r="18" spans="2:40" x14ac:dyDescent="0.2">
      <c r="B18" s="380" t="s">
        <v>186</v>
      </c>
      <c r="C18" s="380" t="s">
        <v>731</v>
      </c>
      <c r="D18" s="364" t="s">
        <v>144</v>
      </c>
      <c r="E18" s="380" t="s">
        <v>757</v>
      </c>
      <c r="F18" s="415">
        <v>0.8756776882467352</v>
      </c>
      <c r="G18" s="415">
        <v>0.88280893662158577</v>
      </c>
      <c r="H18" s="416">
        <v>0.89615495121763855</v>
      </c>
      <c r="I18" s="416">
        <v>0.74558749863878904</v>
      </c>
      <c r="J18" s="416">
        <v>0.86275903798085707</v>
      </c>
      <c r="K18" s="416">
        <v>0.89688689165382074</v>
      </c>
      <c r="L18" s="416">
        <v>0.83600522074679373</v>
      </c>
      <c r="M18" s="416">
        <v>0.88800087391367666</v>
      </c>
      <c r="N18" s="416">
        <v>0.74410005536660595</v>
      </c>
      <c r="O18" s="416">
        <v>0.87831813058529873</v>
      </c>
      <c r="P18" s="416">
        <v>0.91704921700223707</v>
      </c>
      <c r="Q18" s="416">
        <v>0.79545176947653007</v>
      </c>
      <c r="R18" s="416">
        <v>0.7776808790604498</v>
      </c>
      <c r="S18" s="416">
        <v>0.78553925156856874</v>
      </c>
      <c r="T18" s="416">
        <v>0.71662794341055824</v>
      </c>
      <c r="U18" s="416">
        <v>0.81869625084618847</v>
      </c>
      <c r="V18" s="416">
        <v>0.75594715400173385</v>
      </c>
      <c r="X18" s="472"/>
      <c r="Y18" s="472"/>
      <c r="Z18" s="472"/>
      <c r="AA18" s="472"/>
      <c r="AB18" s="472"/>
      <c r="AC18" s="472"/>
      <c r="AD18" s="472"/>
      <c r="AE18" s="472"/>
      <c r="AF18" s="472"/>
      <c r="AG18" s="472"/>
      <c r="AH18" s="472"/>
      <c r="AI18" s="472"/>
      <c r="AJ18" s="472"/>
      <c r="AK18" s="472"/>
      <c r="AL18" s="472"/>
      <c r="AM18" s="472"/>
      <c r="AN18" s="472"/>
    </row>
    <row r="19" spans="2:40" ht="51" x14ac:dyDescent="0.25">
      <c r="B19" s="380" t="s">
        <v>188</v>
      </c>
      <c r="C19" s="380" t="s">
        <v>732</v>
      </c>
      <c r="D19" s="364" t="s">
        <v>144</v>
      </c>
      <c r="E19" s="380" t="s">
        <v>800</v>
      </c>
      <c r="F19" s="415">
        <v>9.9593607168953394E-2</v>
      </c>
      <c r="G19" s="415">
        <v>0.1070672172953222</v>
      </c>
      <c r="H19" s="417">
        <v>0.16350797079311319</v>
      </c>
      <c r="I19" s="417">
        <v>0.22442216693396125</v>
      </c>
      <c r="J19" s="416">
        <v>0.10687853081244557</v>
      </c>
      <c r="K19" s="416">
        <v>4.984413809835965E-2</v>
      </c>
      <c r="L19" s="416">
        <v>4.2739189649302005E-2</v>
      </c>
      <c r="M19" s="416">
        <v>6.6189399186819223E-2</v>
      </c>
      <c r="N19" s="416">
        <v>0.29344550125384433</v>
      </c>
      <c r="O19" s="422">
        <v>7.9861167942012992E-2</v>
      </c>
      <c r="P19" s="416">
        <v>0.19730551325400716</v>
      </c>
      <c r="Q19" s="416">
        <v>7.8902358618430729E-2</v>
      </c>
      <c r="R19" s="416">
        <v>4.9801809485087514E-2</v>
      </c>
      <c r="S19" s="416">
        <v>8.7706674442052379E-2</v>
      </c>
      <c r="T19" s="416">
        <v>0.19878341878776787</v>
      </c>
      <c r="U19" s="416">
        <v>0.13283975166064746</v>
      </c>
      <c r="V19" s="416">
        <v>0.19494501710742013</v>
      </c>
      <c r="X19" s="472"/>
      <c r="Y19" s="472"/>
      <c r="Z19" s="472"/>
      <c r="AA19" s="472"/>
      <c r="AB19" s="472"/>
      <c r="AC19" s="472"/>
      <c r="AD19" s="472"/>
      <c r="AE19" s="472"/>
      <c r="AF19" s="472"/>
      <c r="AG19" s="472"/>
      <c r="AH19" s="472"/>
      <c r="AI19" s="472"/>
      <c r="AJ19" s="472"/>
      <c r="AK19" s="472"/>
      <c r="AL19" s="472"/>
      <c r="AM19" s="472"/>
      <c r="AN19" s="472"/>
    </row>
    <row r="20" spans="2:40" x14ac:dyDescent="0.2">
      <c r="B20" s="380" t="s">
        <v>189</v>
      </c>
      <c r="C20" s="380" t="s">
        <v>733</v>
      </c>
      <c r="D20" s="364" t="s">
        <v>144</v>
      </c>
      <c r="E20" s="380" t="s">
        <v>757</v>
      </c>
      <c r="F20" s="415">
        <v>5.3370195424655007</v>
      </c>
      <c r="G20" s="415">
        <v>5.382133386369663</v>
      </c>
      <c r="H20" s="416">
        <v>5.176738111700085</v>
      </c>
      <c r="I20" s="416">
        <v>5.9782412814950767</v>
      </c>
      <c r="J20" s="416">
        <v>5.599173909037864</v>
      </c>
      <c r="K20" s="416">
        <v>5.5196570138735961</v>
      </c>
      <c r="L20" s="416">
        <v>5.8104641924866636</v>
      </c>
      <c r="M20" s="416">
        <v>5.4622372190124775</v>
      </c>
      <c r="N20" s="416">
        <v>5.6395077913178193</v>
      </c>
      <c r="O20" s="416">
        <v>5.6673545191910826</v>
      </c>
      <c r="P20" s="416">
        <v>5.3853139013452918</v>
      </c>
      <c r="Q20" s="416">
        <v>5.8781154063028644</v>
      </c>
      <c r="R20" s="416">
        <v>5.9564378529957729</v>
      </c>
      <c r="S20" s="416">
        <v>5.8220354955237941</v>
      </c>
      <c r="T20" s="416">
        <v>5.6823983045858597</v>
      </c>
      <c r="U20" s="416">
        <v>5.781641490726698</v>
      </c>
      <c r="V20" s="416">
        <v>6.0107169540659289</v>
      </c>
      <c r="X20" s="472"/>
      <c r="Y20" s="472"/>
      <c r="Z20" s="472"/>
      <c r="AA20" s="472"/>
      <c r="AB20" s="472"/>
      <c r="AC20" s="472"/>
      <c r="AD20" s="472"/>
      <c r="AE20" s="472"/>
      <c r="AF20" s="472"/>
      <c r="AG20" s="472"/>
      <c r="AH20" s="472"/>
      <c r="AI20" s="472"/>
      <c r="AJ20" s="472"/>
      <c r="AK20" s="472"/>
      <c r="AL20" s="472"/>
      <c r="AM20" s="472"/>
      <c r="AN20" s="472"/>
    </row>
    <row r="21" spans="2:40" ht="25.5" x14ac:dyDescent="0.2">
      <c r="B21" s="381" t="s">
        <v>190</v>
      </c>
      <c r="C21" s="381"/>
      <c r="D21" s="384" t="s">
        <v>245</v>
      </c>
      <c r="E21" s="381" t="s">
        <v>191</v>
      </c>
      <c r="F21" s="382">
        <f>INDEX(erosion_rates,MATCH(F$6,erosion_parcels,0),1)</f>
        <v>7.4507171430536755E-5</v>
      </c>
      <c r="G21" s="382">
        <f>INDEX(erosion_rates,MATCH(G$6,erosion_parcels,0),1)</f>
        <v>7.5695101707880846E-5</v>
      </c>
      <c r="H21" s="382">
        <f>INDEX(erosion_rates,MATCH(H$6,erosion_parcels,0),1)</f>
        <v>7.7000319917066987E-5</v>
      </c>
      <c r="I21" s="382">
        <f>INDEX(erosion_rates,MATCH(I$6,erosion_parcels,0),1)</f>
        <v>8.3553426618490844E-6</v>
      </c>
      <c r="J21" s="382">
        <f>INDEX(erosion_rates,MATCH(J$6,erosion_parcels,0),1)</f>
        <v>2.6380162753680973E-5</v>
      </c>
      <c r="K21" s="382">
        <f>INDEX(erosion_rates,MATCH(K$6,erosion_parcels,0),1)</f>
        <v>2.4805545361923875E-5</v>
      </c>
      <c r="L21" s="382">
        <f>INDEX(erosion_rates,MATCH(L$6,erosion_parcels,0),1)</f>
        <v>1.2529639875326885E-4</v>
      </c>
      <c r="M21" s="382">
        <f>INDEX(erosion_rates,MATCH(M$6,erosion_parcels,0),1)</f>
        <v>5.196551953154333E-5</v>
      </c>
      <c r="N21" s="382">
        <f>INDEX(erosion_rates,MATCH(N$6,erosion_parcels,0),1)</f>
        <v>1.0272194178788672E-5</v>
      </c>
      <c r="O21" s="382">
        <f>INDEX(erosion_rates,MATCH(O$6,erosion_parcels,0),1)</f>
        <v>4.1406065935108877E-5</v>
      </c>
      <c r="P21" s="382">
        <f>INDEX(erosion_rates,MATCH(P$6,erosion_parcels,0),1)</f>
        <v>1.4823810058800513E-5</v>
      </c>
      <c r="Q21" s="382">
        <f>INDEX(erosion_rates,MATCH(Q$6,erosion_parcels,0),1)</f>
        <v>8.7250006127129857E-5</v>
      </c>
      <c r="R21" s="382">
        <f>INDEX(erosion_rates,MATCH(R$6,erosion_parcels,0),1)</f>
        <v>2.8985230852808091E-4</v>
      </c>
      <c r="S21" s="382">
        <f>INDEX(erosion_rates,MATCH(S$6,erosion_parcels,0),1)</f>
        <v>3.3117509633560579E-4</v>
      </c>
      <c r="T21" s="382">
        <f>INDEX(erosion_rates,MATCH(T$6,erosion_parcels,0),1)</f>
        <v>2.9217122254441019E-5</v>
      </c>
      <c r="U21" s="382">
        <f>INDEX(erosion_rates,MATCH(U$6,erosion_parcels,0),1)</f>
        <v>1.3828149169281125E-4</v>
      </c>
      <c r="V21" s="382" t="e">
        <f>INDEX(erosion_rates,MATCH(V$6,erosion_parcels,0),1)</f>
        <v>#REF!</v>
      </c>
      <c r="X21" s="471"/>
      <c r="Y21" s="471"/>
      <c r="Z21" s="471"/>
      <c r="AA21" s="471"/>
      <c r="AB21" s="471"/>
      <c r="AC21" s="471"/>
      <c r="AD21" s="471"/>
      <c r="AE21" s="471"/>
      <c r="AF21" s="471"/>
      <c r="AG21" s="471"/>
      <c r="AH21" s="471"/>
      <c r="AI21" s="471"/>
      <c r="AJ21" s="471"/>
      <c r="AK21" s="471"/>
      <c r="AL21" s="471"/>
      <c r="AM21" s="471"/>
      <c r="AN21" s="471"/>
    </row>
    <row r="22" spans="2:40" ht="63.75" x14ac:dyDescent="0.2">
      <c r="B22" s="466" t="s">
        <v>192</v>
      </c>
      <c r="C22" s="385"/>
      <c r="D22" s="364" t="s">
        <v>246</v>
      </c>
      <c r="E22" s="380" t="s">
        <v>193</v>
      </c>
      <c r="F22" s="382">
        <v>5.3698630136986302E-4</v>
      </c>
      <c r="G22" s="382">
        <v>2.7923287671232879E-4</v>
      </c>
      <c r="H22" s="382">
        <v>2.7923287671232879E-4</v>
      </c>
      <c r="I22" s="382">
        <v>3.007123287671233E-4</v>
      </c>
      <c r="J22" s="382">
        <v>5.3698630136986302E-4</v>
      </c>
      <c r="K22" s="382">
        <v>5.3698630136986302E-4</v>
      </c>
      <c r="L22" s="382">
        <v>5.3698630136986302E-4</v>
      </c>
      <c r="M22" s="382">
        <v>2.7923287671232879E-4</v>
      </c>
      <c r="N22" s="382">
        <v>3.007123287671233E-4</v>
      </c>
      <c r="O22" s="382">
        <v>2.7923287671232879E-4</v>
      </c>
      <c r="P22" s="382">
        <v>3.6515068493150687E-4</v>
      </c>
      <c r="Q22" s="382">
        <v>5.3698630136986302E-4</v>
      </c>
      <c r="R22" s="382">
        <v>7.3030136986301374E-4</v>
      </c>
      <c r="S22" s="382">
        <v>7.3030136986301374E-4</v>
      </c>
      <c r="T22" s="382">
        <v>3.8663013698630137E-4</v>
      </c>
      <c r="U22" s="382">
        <v>3.4367123287671231E-4</v>
      </c>
      <c r="V22" s="382">
        <v>3.007123287671233E-4</v>
      </c>
      <c r="X22" s="471"/>
      <c r="Y22" s="471"/>
      <c r="Z22" s="471"/>
      <c r="AA22" s="471"/>
      <c r="AB22" s="471"/>
      <c r="AC22" s="471"/>
      <c r="AD22" s="471"/>
      <c r="AE22" s="471"/>
      <c r="AF22" s="471"/>
      <c r="AG22" s="471"/>
      <c r="AH22" s="471"/>
      <c r="AI22" s="471"/>
      <c r="AJ22" s="471"/>
      <c r="AK22" s="471"/>
      <c r="AL22" s="471"/>
      <c r="AM22" s="471"/>
      <c r="AN22" s="471"/>
    </row>
    <row r="23" spans="2:40" ht="25.5" x14ac:dyDescent="0.2">
      <c r="B23" s="466" t="s">
        <v>194</v>
      </c>
      <c r="C23" s="380" t="s">
        <v>734</v>
      </c>
      <c r="D23" s="364" t="s">
        <v>201</v>
      </c>
      <c r="E23" s="380" t="s">
        <v>757</v>
      </c>
      <c r="F23" s="405">
        <v>0.12707684511195064</v>
      </c>
      <c r="G23" s="405">
        <v>0.12862520458265139</v>
      </c>
      <c r="H23" s="402">
        <v>0.14657678420527007</v>
      </c>
      <c r="I23" s="402">
        <v>0.6</v>
      </c>
      <c r="J23" s="402">
        <v>0.1249943778953839</v>
      </c>
      <c r="K23" s="402">
        <v>9.4953204140057257E-2</v>
      </c>
      <c r="L23" s="402">
        <v>0.11517988877539437</v>
      </c>
      <c r="M23" s="402">
        <v>0.11177415499354589</v>
      </c>
      <c r="N23" s="402">
        <v>0.6</v>
      </c>
      <c r="O23" s="402">
        <v>0.11591175084439553</v>
      </c>
      <c r="P23" s="402">
        <v>0.13705882352941176</v>
      </c>
      <c r="Q23" s="402">
        <v>0.14290189412336088</v>
      </c>
      <c r="R23" s="402">
        <v>0.13680558997921866</v>
      </c>
      <c r="S23" s="402">
        <v>0.1543071063146495</v>
      </c>
      <c r="T23" s="402">
        <v>0.6</v>
      </c>
      <c r="U23" s="402">
        <v>0.16547227059258085</v>
      </c>
      <c r="V23" s="402">
        <v>0.6</v>
      </c>
      <c r="X23" s="471"/>
      <c r="Y23" s="471"/>
      <c r="Z23" s="471"/>
      <c r="AA23" s="471"/>
      <c r="AB23" s="471"/>
      <c r="AC23" s="471"/>
      <c r="AD23" s="471"/>
      <c r="AE23" s="471"/>
      <c r="AF23" s="471"/>
      <c r="AG23" s="471"/>
      <c r="AH23" s="471"/>
      <c r="AI23" s="471"/>
      <c r="AJ23" s="471"/>
      <c r="AK23" s="471"/>
      <c r="AL23" s="471"/>
      <c r="AM23" s="471"/>
      <c r="AN23" s="471"/>
    </row>
    <row r="24" spans="2:40" x14ac:dyDescent="0.2">
      <c r="B24" s="386" t="s">
        <v>202</v>
      </c>
      <c r="C24" s="387"/>
      <c r="D24" s="387"/>
      <c r="E24" s="388"/>
      <c r="F24" s="411"/>
      <c r="G24" s="411"/>
      <c r="H24" s="411"/>
      <c r="I24" s="411"/>
      <c r="J24" s="411"/>
      <c r="K24" s="411"/>
      <c r="L24" s="411"/>
      <c r="M24" s="411"/>
      <c r="N24" s="411"/>
      <c r="O24" s="411"/>
      <c r="P24" s="411"/>
      <c r="Q24" s="411"/>
      <c r="R24" s="411"/>
      <c r="S24" s="411"/>
      <c r="T24" s="411"/>
      <c r="U24" s="411"/>
      <c r="V24" s="411"/>
    </row>
    <row r="25" spans="2:40" ht="25.5" x14ac:dyDescent="0.2">
      <c r="B25" s="468" t="s">
        <v>172</v>
      </c>
      <c r="C25" s="378" t="s">
        <v>735</v>
      </c>
      <c r="D25" s="384" t="s">
        <v>173</v>
      </c>
      <c r="E25" s="379" t="s">
        <v>203</v>
      </c>
      <c r="F25" s="47">
        <v>0.25</v>
      </c>
      <c r="G25" s="47">
        <v>0.25</v>
      </c>
      <c r="H25" s="47">
        <v>0.25</v>
      </c>
      <c r="I25" s="47">
        <v>0.05</v>
      </c>
      <c r="J25" s="47">
        <v>0.25</v>
      </c>
      <c r="K25" s="47">
        <v>0.25</v>
      </c>
      <c r="L25" s="47">
        <v>0.25</v>
      </c>
      <c r="M25" s="47">
        <v>0.25</v>
      </c>
      <c r="N25" s="47">
        <v>0.05</v>
      </c>
      <c r="O25" s="47">
        <v>0.25</v>
      </c>
      <c r="P25" s="47">
        <v>0.25</v>
      </c>
      <c r="Q25" s="47">
        <v>0.25</v>
      </c>
      <c r="R25" s="47">
        <v>0.25</v>
      </c>
      <c r="S25" s="47">
        <v>0.25</v>
      </c>
      <c r="T25" s="47">
        <v>0.05</v>
      </c>
      <c r="U25" s="47">
        <v>0.25</v>
      </c>
      <c r="V25" s="47">
        <v>0.05</v>
      </c>
    </row>
    <row r="26" spans="2:40" ht="51" x14ac:dyDescent="0.2">
      <c r="B26" s="469" t="s">
        <v>175</v>
      </c>
      <c r="C26" s="381" t="s">
        <v>725</v>
      </c>
      <c r="D26" s="384" t="s">
        <v>59</v>
      </c>
      <c r="E26" s="380" t="s">
        <v>204</v>
      </c>
      <c r="F26" s="382">
        <v>4.2958904109589049E-4</v>
      </c>
      <c r="G26" s="382">
        <v>4.2958904109589049E-4</v>
      </c>
      <c r="H26" s="382">
        <v>4.2958904109589049E-4</v>
      </c>
      <c r="I26" s="382">
        <v>0</v>
      </c>
      <c r="J26" s="382">
        <v>4.2958904109589049E-4</v>
      </c>
      <c r="K26" s="382">
        <v>4.2958904109589049E-4</v>
      </c>
      <c r="L26" s="382">
        <v>4.2958904109589049E-4</v>
      </c>
      <c r="M26" s="382">
        <v>4.2958904109589049E-4</v>
      </c>
      <c r="N26" s="382">
        <v>0</v>
      </c>
      <c r="O26" s="382">
        <v>4.2958904109589049E-4</v>
      </c>
      <c r="P26" s="382">
        <v>4.2958904109589049E-4</v>
      </c>
      <c r="Q26" s="382">
        <v>4.2958904109589049E-4</v>
      </c>
      <c r="R26" s="382">
        <v>4.2958904109589049E-4</v>
      </c>
      <c r="S26" s="382">
        <v>4.2958904109589049E-4</v>
      </c>
      <c r="T26" s="382">
        <v>0</v>
      </c>
      <c r="U26" s="382">
        <v>4.2958904109589049E-4</v>
      </c>
      <c r="V26" s="382">
        <v>0</v>
      </c>
    </row>
    <row r="27" spans="2:40" ht="25.5" x14ac:dyDescent="0.2">
      <c r="B27" s="380" t="s">
        <v>179</v>
      </c>
      <c r="C27" s="380" t="s">
        <v>736</v>
      </c>
      <c r="D27" s="364" t="s">
        <v>243</v>
      </c>
      <c r="E27" s="380" t="s">
        <v>205</v>
      </c>
      <c r="F27" s="87">
        <v>2600</v>
      </c>
      <c r="G27" s="87">
        <v>2600</v>
      </c>
      <c r="H27" s="87">
        <v>2600</v>
      </c>
      <c r="I27" s="87">
        <v>2600</v>
      </c>
      <c r="J27" s="87">
        <v>2600</v>
      </c>
      <c r="K27" s="87">
        <v>2600</v>
      </c>
      <c r="L27" s="87">
        <v>2600</v>
      </c>
      <c r="M27" s="87">
        <v>2600</v>
      </c>
      <c r="N27" s="87">
        <v>2600</v>
      </c>
      <c r="O27" s="87">
        <v>2600</v>
      </c>
      <c r="P27" s="87">
        <v>2600</v>
      </c>
      <c r="Q27" s="87">
        <v>2600</v>
      </c>
      <c r="R27" s="87">
        <v>2600</v>
      </c>
      <c r="S27" s="87">
        <v>2600</v>
      </c>
      <c r="T27" s="87">
        <v>2600</v>
      </c>
      <c r="U27" s="87">
        <v>2600</v>
      </c>
      <c r="V27" s="87">
        <v>2600</v>
      </c>
    </row>
    <row r="28" spans="2:40" x14ac:dyDescent="0.2">
      <c r="B28" s="391" t="s">
        <v>186</v>
      </c>
      <c r="C28" s="391" t="s">
        <v>737</v>
      </c>
      <c r="D28" s="364" t="s">
        <v>144</v>
      </c>
      <c r="E28" s="380" t="s">
        <v>757</v>
      </c>
      <c r="F28" s="419">
        <v>0.87704514880678142</v>
      </c>
      <c r="G28" s="420">
        <v>0.87542559738134218</v>
      </c>
      <c r="H28" s="420">
        <v>0.91858339095029573</v>
      </c>
      <c r="I28" s="420">
        <v>0.73968656412345923</v>
      </c>
      <c r="J28" s="420">
        <v>0.85757780243174753</v>
      </c>
      <c r="K28" s="420">
        <v>0.90064889341554721</v>
      </c>
      <c r="L28" s="420">
        <v>0.81266473726024291</v>
      </c>
      <c r="M28" s="420">
        <v>0.881875221112014</v>
      </c>
      <c r="N28" s="420">
        <v>0.7235364407764735</v>
      </c>
      <c r="O28" s="420">
        <v>0.86184192129447812</v>
      </c>
      <c r="P28" s="420">
        <v>0.90622641509433965</v>
      </c>
      <c r="Q28" s="420">
        <v>0.75296096406022339</v>
      </c>
      <c r="R28" s="420">
        <v>0.75213242836170879</v>
      </c>
      <c r="S28" s="420">
        <v>0.77526113745845615</v>
      </c>
      <c r="T28" s="420">
        <v>0.70207400779448026</v>
      </c>
      <c r="U28" s="420">
        <v>0.7951474460450636</v>
      </c>
      <c r="V28" s="420">
        <v>0.73153541509846287</v>
      </c>
      <c r="X28" s="472"/>
      <c r="Y28" s="472"/>
      <c r="Z28" s="472"/>
      <c r="AA28" s="472"/>
      <c r="AB28" s="472"/>
      <c r="AC28" s="472"/>
      <c r="AD28" s="472"/>
      <c r="AE28" s="472"/>
      <c r="AF28" s="472"/>
      <c r="AG28" s="472"/>
      <c r="AH28" s="472"/>
      <c r="AI28" s="472"/>
      <c r="AJ28" s="472"/>
      <c r="AK28" s="472"/>
      <c r="AL28" s="472"/>
      <c r="AM28" s="472"/>
      <c r="AN28" s="472"/>
    </row>
    <row r="29" spans="2:40" ht="51" x14ac:dyDescent="0.25">
      <c r="B29" s="392" t="s">
        <v>188</v>
      </c>
      <c r="C29" s="392" t="s">
        <v>738</v>
      </c>
      <c r="D29" s="393" t="s">
        <v>144</v>
      </c>
      <c r="E29" s="380" t="s">
        <v>800</v>
      </c>
      <c r="F29" s="419">
        <v>1.4455910808071499E-2</v>
      </c>
      <c r="G29" s="421">
        <v>1.7323449929585504E-2</v>
      </c>
      <c r="H29" s="421">
        <v>1.037350977523132E-2</v>
      </c>
      <c r="I29" s="421">
        <v>0.13803872790673988</v>
      </c>
      <c r="J29" s="420">
        <v>4.4927119219648391E-2</v>
      </c>
      <c r="K29" s="420">
        <v>1.046876200304205E-2</v>
      </c>
      <c r="L29" s="420">
        <v>2.6817838695288396E-2</v>
      </c>
      <c r="M29" s="420">
        <v>1.4726682758321645E-2</v>
      </c>
      <c r="N29" s="420">
        <v>0.20520623664721249</v>
      </c>
      <c r="O29" s="422">
        <v>4.8423243118335929E-2</v>
      </c>
      <c r="P29" s="420">
        <v>1.4665229847972534E-2</v>
      </c>
      <c r="Q29" s="420">
        <v>3.1392020426488365E-2</v>
      </c>
      <c r="R29" s="420">
        <v>4.1471162675418408E-2</v>
      </c>
      <c r="S29" s="420">
        <v>3.9447523528068247E-2</v>
      </c>
      <c r="T29" s="420">
        <v>0.16522804496161023</v>
      </c>
      <c r="U29" s="420">
        <v>7.7597686904906524E-2</v>
      </c>
      <c r="V29" s="420">
        <v>0.15456470523793683</v>
      </c>
      <c r="X29" s="472"/>
      <c r="Y29" s="472"/>
      <c r="Z29" s="472"/>
      <c r="AA29" s="472"/>
      <c r="AB29" s="472"/>
      <c r="AC29" s="472"/>
      <c r="AD29" s="472"/>
      <c r="AE29" s="472"/>
      <c r="AF29" s="472"/>
      <c r="AG29" s="472"/>
      <c r="AH29" s="472"/>
      <c r="AI29" s="472"/>
      <c r="AJ29" s="472"/>
      <c r="AK29" s="472"/>
      <c r="AL29" s="472"/>
      <c r="AM29" s="472"/>
      <c r="AN29" s="472"/>
    </row>
    <row r="30" spans="2:40" x14ac:dyDescent="0.2">
      <c r="B30" s="380" t="s">
        <v>189</v>
      </c>
      <c r="C30" s="380" t="s">
        <v>739</v>
      </c>
      <c r="D30" s="364" t="s">
        <v>144</v>
      </c>
      <c r="E30" s="380" t="s">
        <v>757</v>
      </c>
      <c r="F30" s="419">
        <v>5.5059200221137017</v>
      </c>
      <c r="G30" s="420">
        <v>5.5584418985270041</v>
      </c>
      <c r="H30" s="420">
        <v>5.3735653376353989</v>
      </c>
      <c r="I30" s="420">
        <v>6.2362809788538476</v>
      </c>
      <c r="J30" s="420">
        <v>5.8227878879407973</v>
      </c>
      <c r="K30" s="420">
        <v>5.7914748953974895</v>
      </c>
      <c r="L30" s="420">
        <v>5.8835886959482471</v>
      </c>
      <c r="M30" s="420">
        <v>5.6286800210355201</v>
      </c>
      <c r="N30" s="420">
        <v>6.2209409125539654</v>
      </c>
      <c r="O30" s="420">
        <v>5.8217625754527145</v>
      </c>
      <c r="P30" s="420">
        <v>5.9559510567296998</v>
      </c>
      <c r="Q30" s="420">
        <v>6.0553382434857959</v>
      </c>
      <c r="R30" s="420">
        <v>6.1009641371643246</v>
      </c>
      <c r="S30" s="420">
        <v>5.9118841034902418</v>
      </c>
      <c r="T30" s="420">
        <v>5.9695049598936825</v>
      </c>
      <c r="U30" s="420">
        <v>5.8960218252644765</v>
      </c>
      <c r="V30" s="420">
        <v>6.1852750162361998</v>
      </c>
      <c r="X30" s="472"/>
      <c r="Y30" s="472"/>
      <c r="Z30" s="472"/>
      <c r="AA30" s="472"/>
      <c r="AB30" s="472"/>
      <c r="AC30" s="472"/>
      <c r="AD30" s="472"/>
      <c r="AE30" s="472"/>
      <c r="AF30" s="472"/>
      <c r="AG30" s="472"/>
      <c r="AH30" s="472"/>
      <c r="AI30" s="472"/>
      <c r="AJ30" s="472"/>
      <c r="AK30" s="472"/>
      <c r="AL30" s="472"/>
      <c r="AM30" s="472"/>
      <c r="AN30" s="472"/>
    </row>
    <row r="31" spans="2:40" ht="25.5" x14ac:dyDescent="0.2">
      <c r="B31" s="466" t="s">
        <v>194</v>
      </c>
      <c r="C31" s="380" t="s">
        <v>740</v>
      </c>
      <c r="D31" s="364" t="s">
        <v>201</v>
      </c>
      <c r="E31" s="380" t="s">
        <v>757</v>
      </c>
      <c r="F31" s="423">
        <v>8.3868976319911567E-2</v>
      </c>
      <c r="G31" s="420">
        <v>8.4388216039279887E-2</v>
      </c>
      <c r="H31" s="420">
        <v>7.5366059767995722E-2</v>
      </c>
      <c r="I31" s="420">
        <v>0.5</v>
      </c>
      <c r="J31" s="420">
        <v>9.8464940555613861E-2</v>
      </c>
      <c r="K31" s="420">
        <v>7.47373926447919E-2</v>
      </c>
      <c r="L31" s="420">
        <v>0.10031778458744753</v>
      </c>
      <c r="M31" s="420">
        <v>8.268059473155806E-2</v>
      </c>
      <c r="N31" s="420">
        <v>0.5</v>
      </c>
      <c r="O31" s="420">
        <v>9.9269696017594805E-2</v>
      </c>
      <c r="P31" s="420">
        <v>7.521642619311876E-2</v>
      </c>
      <c r="Q31" s="420">
        <v>0.11512566779990289</v>
      </c>
      <c r="R31" s="420">
        <v>0.12278984194772262</v>
      </c>
      <c r="S31" s="420">
        <v>0.11534373949736733</v>
      </c>
      <c r="T31" s="420">
        <v>0.5</v>
      </c>
      <c r="U31" s="420">
        <v>0.13110970397340507</v>
      </c>
      <c r="V31" s="420">
        <v>0.5</v>
      </c>
    </row>
    <row r="32" spans="2:40" x14ac:dyDescent="0.2">
      <c r="B32" s="386" t="s">
        <v>208</v>
      </c>
      <c r="C32" s="387"/>
      <c r="D32" s="387"/>
      <c r="E32" s="388"/>
    </row>
    <row r="33" spans="2:40" ht="25.5" x14ac:dyDescent="0.2">
      <c r="B33" s="468" t="s">
        <v>172</v>
      </c>
      <c r="C33" s="389" t="s">
        <v>741</v>
      </c>
      <c r="D33" s="364" t="s">
        <v>173</v>
      </c>
      <c r="E33" s="379" t="s">
        <v>209</v>
      </c>
      <c r="F33" s="383">
        <v>0.22</v>
      </c>
      <c r="G33" s="383">
        <v>0.22</v>
      </c>
      <c r="H33" s="383">
        <v>0.22</v>
      </c>
      <c r="I33" s="383">
        <v>0</v>
      </c>
      <c r="J33" s="383">
        <v>0.22</v>
      </c>
      <c r="K33" s="383">
        <v>0.22</v>
      </c>
      <c r="L33" s="383">
        <v>0.22</v>
      </c>
      <c r="M33" s="383">
        <v>0.22</v>
      </c>
      <c r="N33" s="383">
        <v>0</v>
      </c>
      <c r="O33" s="383">
        <v>0.22</v>
      </c>
      <c r="P33" s="383">
        <v>0.22</v>
      </c>
      <c r="Q33" s="383">
        <v>0.22</v>
      </c>
      <c r="R33" s="383">
        <v>0.22</v>
      </c>
      <c r="S33" s="383">
        <v>0.22</v>
      </c>
      <c r="T33" s="383">
        <v>0</v>
      </c>
      <c r="U33" s="383">
        <v>0.22</v>
      </c>
      <c r="V33" s="383">
        <v>0</v>
      </c>
    </row>
    <row r="34" spans="2:40" ht="51" x14ac:dyDescent="0.2">
      <c r="B34" s="469" t="s">
        <v>175</v>
      </c>
      <c r="C34" s="381" t="s">
        <v>725</v>
      </c>
      <c r="D34" s="384" t="s">
        <v>59</v>
      </c>
      <c r="E34" s="380" t="s">
        <v>204</v>
      </c>
      <c r="F34" s="382">
        <v>4.2958904109589049E-4</v>
      </c>
      <c r="G34" s="382">
        <v>4.2958904109589049E-4</v>
      </c>
      <c r="H34" s="382">
        <v>4.2958904109589049E-4</v>
      </c>
      <c r="I34" s="382">
        <v>0</v>
      </c>
      <c r="J34" s="382">
        <v>4.2958904109589049E-4</v>
      </c>
      <c r="K34" s="382">
        <v>4.2958904109589049E-4</v>
      </c>
      <c r="L34" s="382">
        <v>4.2958904109589049E-4</v>
      </c>
      <c r="M34" s="382">
        <v>4.2958904109589049E-4</v>
      </c>
      <c r="N34" s="382">
        <v>0</v>
      </c>
      <c r="O34" s="382">
        <v>4.2958904109589049E-4</v>
      </c>
      <c r="P34" s="382">
        <v>4.2958904109589049E-4</v>
      </c>
      <c r="Q34" s="382">
        <v>4.2958904109589049E-4</v>
      </c>
      <c r="R34" s="382">
        <v>4.2958904109589049E-4</v>
      </c>
      <c r="S34" s="382">
        <v>4.2958904109589049E-4</v>
      </c>
      <c r="T34" s="382">
        <v>0</v>
      </c>
      <c r="U34" s="382">
        <v>4.2958904109589049E-4</v>
      </c>
      <c r="V34" s="382">
        <v>0</v>
      </c>
    </row>
    <row r="35" spans="2:40" ht="25.5" x14ac:dyDescent="0.2">
      <c r="B35" s="380" t="s">
        <v>179</v>
      </c>
      <c r="C35" s="380" t="s">
        <v>742</v>
      </c>
      <c r="D35" s="364" t="s">
        <v>243</v>
      </c>
      <c r="E35" s="380" t="s">
        <v>210</v>
      </c>
      <c r="F35" s="390">
        <v>2600</v>
      </c>
      <c r="G35" s="390">
        <v>2600</v>
      </c>
      <c r="H35" s="390">
        <v>2600</v>
      </c>
      <c r="I35" s="390">
        <v>2600</v>
      </c>
      <c r="J35" s="390">
        <v>2600</v>
      </c>
      <c r="K35" s="390">
        <v>2600</v>
      </c>
      <c r="L35" s="390">
        <v>2600</v>
      </c>
      <c r="M35" s="390">
        <v>2600</v>
      </c>
      <c r="N35" s="390">
        <v>2600</v>
      </c>
      <c r="O35" s="390">
        <v>2600</v>
      </c>
      <c r="P35" s="390">
        <v>2600</v>
      </c>
      <c r="Q35" s="390">
        <v>2600</v>
      </c>
      <c r="R35" s="390">
        <v>2600</v>
      </c>
      <c r="S35" s="390">
        <v>2600</v>
      </c>
      <c r="T35" s="390">
        <v>2600</v>
      </c>
      <c r="U35" s="390">
        <v>2600</v>
      </c>
      <c r="V35" s="390">
        <v>2600</v>
      </c>
    </row>
    <row r="36" spans="2:40" x14ac:dyDescent="0.2">
      <c r="B36" s="391" t="s">
        <v>186</v>
      </c>
      <c r="C36" s="391" t="s">
        <v>743</v>
      </c>
      <c r="D36" s="364" t="s">
        <v>144</v>
      </c>
      <c r="E36" s="380" t="s">
        <v>757</v>
      </c>
      <c r="F36" s="415">
        <v>0.83768253017598826</v>
      </c>
      <c r="G36" s="416">
        <v>0.82959044189852704</v>
      </c>
      <c r="H36" s="416">
        <v>0.93356917876622914</v>
      </c>
      <c r="I36" s="416">
        <v>0.85140485891820317</v>
      </c>
      <c r="J36" s="416">
        <v>0.88674642059339437</v>
      </c>
      <c r="K36" s="416">
        <v>0.9277360162959698</v>
      </c>
      <c r="L36" s="416">
        <v>0.7353240267847011</v>
      </c>
      <c r="M36" s="416">
        <v>0.8450387722904813</v>
      </c>
      <c r="N36" s="416">
        <v>0.76756982060521528</v>
      </c>
      <c r="O36" s="416">
        <v>0.86872506087502899</v>
      </c>
      <c r="P36" s="416">
        <v>0.91343396226415086</v>
      </c>
      <c r="Q36" s="416">
        <v>0.64207121175327841</v>
      </c>
      <c r="R36" s="416">
        <v>0.69892516825227347</v>
      </c>
      <c r="S36" s="416">
        <v>0.71482056835580143</v>
      </c>
      <c r="T36" s="416">
        <v>0.66609420981468215</v>
      </c>
      <c r="U36" s="416">
        <v>0.79620356445570151</v>
      </c>
      <c r="V36" s="416">
        <v>0.76309110555326232</v>
      </c>
      <c r="X36" s="472"/>
      <c r="Y36" s="472"/>
      <c r="Z36" s="472"/>
      <c r="AA36" s="472"/>
      <c r="AB36" s="472"/>
      <c r="AC36" s="472"/>
      <c r="AD36" s="472"/>
      <c r="AE36" s="472"/>
      <c r="AF36" s="472"/>
      <c r="AG36" s="472"/>
      <c r="AH36" s="472"/>
      <c r="AI36" s="472"/>
      <c r="AJ36" s="472"/>
      <c r="AK36" s="472"/>
      <c r="AL36" s="472"/>
      <c r="AM36" s="472"/>
      <c r="AN36" s="472"/>
    </row>
    <row r="37" spans="2:40" ht="51" x14ac:dyDescent="0.25">
      <c r="B37" s="380" t="s">
        <v>188</v>
      </c>
      <c r="C37" s="392" t="s">
        <v>744</v>
      </c>
      <c r="D37" s="364" t="s">
        <v>144</v>
      </c>
      <c r="E37" s="380" t="s">
        <v>800</v>
      </c>
      <c r="F37" s="455">
        <v>5.6275646643624416E-3</v>
      </c>
      <c r="G37" s="417">
        <v>8.8564762303505514E-3</v>
      </c>
      <c r="H37" s="417">
        <v>2.2587859168064664E-3</v>
      </c>
      <c r="I37" s="417">
        <v>7.000270354463424E-2</v>
      </c>
      <c r="J37" s="416">
        <v>2.1644213695063318E-2</v>
      </c>
      <c r="K37" s="416">
        <v>2.5105562753824327E-3</v>
      </c>
      <c r="L37" s="416">
        <v>9.1289957320790857E-3</v>
      </c>
      <c r="M37" s="416">
        <v>8.9391431916400442E-3</v>
      </c>
      <c r="N37" s="416">
        <v>0.17115006978816658</v>
      </c>
      <c r="O37" s="422">
        <v>3.1196942137211296E-2</v>
      </c>
      <c r="P37" s="416">
        <v>6.1248483597036874E-3</v>
      </c>
      <c r="Q37" s="416">
        <v>1.9804534403695635E-2</v>
      </c>
      <c r="R37" s="416">
        <v>2.4292817260672516E-2</v>
      </c>
      <c r="S37" s="416">
        <v>2.8967548330564478E-2</v>
      </c>
      <c r="T37" s="416">
        <v>0.15379016774594512</v>
      </c>
      <c r="U37" s="416">
        <v>5.3859386293660626E-2</v>
      </c>
      <c r="V37" s="416">
        <v>0.10651314834694148</v>
      </c>
      <c r="X37" s="472"/>
      <c r="Y37" s="472"/>
      <c r="Z37" s="472"/>
      <c r="AA37" s="472"/>
      <c r="AB37" s="472"/>
      <c r="AC37" s="472"/>
      <c r="AD37" s="472"/>
      <c r="AE37" s="472"/>
      <c r="AF37" s="472"/>
      <c r="AG37" s="472"/>
      <c r="AH37" s="472"/>
      <c r="AI37" s="472"/>
      <c r="AJ37" s="472"/>
      <c r="AK37" s="472"/>
      <c r="AL37" s="472"/>
      <c r="AM37" s="472"/>
      <c r="AN37" s="472"/>
    </row>
    <row r="38" spans="2:40" x14ac:dyDescent="0.2">
      <c r="B38" s="380" t="s">
        <v>189</v>
      </c>
      <c r="C38" s="380" t="s">
        <v>745</v>
      </c>
      <c r="D38" s="364" t="s">
        <v>144</v>
      </c>
      <c r="E38" s="380" t="s">
        <v>757</v>
      </c>
      <c r="F38" s="415">
        <v>6.07324702847139</v>
      </c>
      <c r="G38" s="416">
        <v>6.1238952536824867</v>
      </c>
      <c r="H38" s="416">
        <v>5.9376661289083508</v>
      </c>
      <c r="I38" s="416">
        <v>6.4569906998493263</v>
      </c>
      <c r="J38" s="416">
        <v>6.0889360416823974</v>
      </c>
      <c r="K38" s="416">
        <v>5.9766956617485141</v>
      </c>
      <c r="L38" s="416">
        <v>6.2441380093065471</v>
      </c>
      <c r="M38" s="416">
        <v>6.0164220490510107</v>
      </c>
      <c r="N38" s="416">
        <v>6.4881169051045458</v>
      </c>
      <c r="O38" s="416">
        <v>6.1097686116700185</v>
      </c>
      <c r="P38" s="416">
        <v>6.3786429365962185</v>
      </c>
      <c r="Q38" s="416">
        <v>6.6719749953580498</v>
      </c>
      <c r="R38" s="416">
        <v>6.6588928715186579</v>
      </c>
      <c r="S38" s="416">
        <v>6.3952691295983657</v>
      </c>
      <c r="T38" s="416">
        <v>6.1030851013337131</v>
      </c>
      <c r="U38" s="416">
        <v>6.1486879494123432</v>
      </c>
      <c r="V38" s="416">
        <v>6.3077758904930814</v>
      </c>
      <c r="X38" s="472"/>
      <c r="Y38" s="472"/>
      <c r="Z38" s="472"/>
      <c r="AA38" s="472"/>
      <c r="AB38" s="472"/>
      <c r="AC38" s="472"/>
      <c r="AD38" s="472"/>
      <c r="AE38" s="472"/>
      <c r="AF38" s="472"/>
      <c r="AG38" s="472"/>
      <c r="AH38" s="472"/>
      <c r="AI38" s="472"/>
      <c r="AJ38" s="472"/>
      <c r="AK38" s="472"/>
      <c r="AL38" s="472"/>
      <c r="AM38" s="472"/>
      <c r="AN38" s="472"/>
    </row>
    <row r="39" spans="2:40" ht="25.5" x14ac:dyDescent="0.2">
      <c r="B39" s="466" t="s">
        <v>194</v>
      </c>
      <c r="C39" s="380" t="s">
        <v>746</v>
      </c>
      <c r="D39" s="364" t="s">
        <v>201</v>
      </c>
      <c r="E39" s="380" t="s">
        <v>757</v>
      </c>
      <c r="F39" s="418">
        <v>7.3240578641850185E-2</v>
      </c>
      <c r="G39" s="416">
        <v>7.5024549918166913E-2</v>
      </c>
      <c r="H39" s="416">
        <v>5.957670738265345E-2</v>
      </c>
      <c r="I39" s="416">
        <v>0.5</v>
      </c>
      <c r="J39" s="416">
        <v>7.6340234779088759E-2</v>
      </c>
      <c r="K39" s="416">
        <v>6.2637910151948917E-2</v>
      </c>
      <c r="L39" s="416">
        <v>8.6197934400181586E-2</v>
      </c>
      <c r="M39" s="416">
        <v>7.5461586269541525E-2</v>
      </c>
      <c r="N39" s="416">
        <v>0.5</v>
      </c>
      <c r="O39" s="416">
        <v>8.1967048935668807E-2</v>
      </c>
      <c r="P39" s="416">
        <v>5.4805771365149837E-2</v>
      </c>
      <c r="Q39" s="416">
        <v>0.10288246721709567</v>
      </c>
      <c r="R39" s="416">
        <v>0.10552363157995083</v>
      </c>
      <c r="S39" s="416">
        <v>0.10400687105567795</v>
      </c>
      <c r="T39" s="416">
        <v>0.5</v>
      </c>
      <c r="U39" s="416">
        <v>0.11005566988549417</v>
      </c>
      <c r="V39" s="416">
        <v>0.5</v>
      </c>
    </row>
    <row r="40" spans="2:40" x14ac:dyDescent="0.2">
      <c r="B40" s="386" t="s">
        <v>211</v>
      </c>
      <c r="C40" s="387"/>
      <c r="D40" s="387"/>
      <c r="E40" s="388"/>
      <c r="F40" s="387"/>
      <c r="G40" s="387"/>
      <c r="H40" s="387"/>
      <c r="I40" s="387"/>
      <c r="J40" s="387"/>
      <c r="K40" s="387"/>
      <c r="L40" s="387"/>
      <c r="M40" s="387"/>
      <c r="N40" s="387"/>
      <c r="O40" s="387"/>
      <c r="P40" s="387"/>
      <c r="Q40" s="387"/>
      <c r="R40" s="387"/>
      <c r="S40" s="387"/>
      <c r="T40" s="387"/>
      <c r="U40" s="387"/>
      <c r="V40" s="387"/>
    </row>
    <row r="41" spans="2:40" x14ac:dyDescent="0.2">
      <c r="B41" s="391" t="s">
        <v>186</v>
      </c>
      <c r="C41" s="391" t="s">
        <v>747</v>
      </c>
      <c r="D41" s="364" t="s">
        <v>144</v>
      </c>
      <c r="E41" s="380" t="s">
        <v>759</v>
      </c>
      <c r="F41" s="404">
        <v>0.4</v>
      </c>
      <c r="G41" s="404">
        <v>0.4</v>
      </c>
      <c r="H41" s="404">
        <v>0.4</v>
      </c>
      <c r="I41" s="404">
        <v>0.4</v>
      </c>
      <c r="J41" s="404">
        <v>0.4</v>
      </c>
      <c r="K41" s="404">
        <v>0.4</v>
      </c>
      <c r="L41" s="404">
        <v>0.4</v>
      </c>
      <c r="M41" s="404">
        <v>0.4</v>
      </c>
      <c r="N41" s="404">
        <v>0.4</v>
      </c>
      <c r="O41" s="404">
        <v>0.4</v>
      </c>
      <c r="P41" s="404">
        <v>0.4</v>
      </c>
      <c r="Q41" s="404">
        <v>0.4</v>
      </c>
      <c r="R41" s="404">
        <v>0.4</v>
      </c>
      <c r="S41" s="404">
        <v>0.4</v>
      </c>
      <c r="T41" s="404">
        <v>0.4</v>
      </c>
      <c r="U41" s="404">
        <v>0.4</v>
      </c>
      <c r="V41" s="404">
        <v>0.4</v>
      </c>
    </row>
    <row r="42" spans="2:40" x14ac:dyDescent="0.2">
      <c r="B42" s="380" t="s">
        <v>188</v>
      </c>
      <c r="C42" s="380" t="s">
        <v>748</v>
      </c>
      <c r="D42" s="364" t="s">
        <v>144</v>
      </c>
      <c r="E42" s="380" t="s">
        <v>759</v>
      </c>
      <c r="F42" s="404">
        <v>4.0000000000000001E-3</v>
      </c>
      <c r="G42" s="404">
        <v>4.0000000000000001E-3</v>
      </c>
      <c r="H42" s="404">
        <v>4.0000000000000001E-3</v>
      </c>
      <c r="I42" s="404">
        <v>4.0000000000000001E-3</v>
      </c>
      <c r="J42" s="404">
        <v>4.0000000000000001E-3</v>
      </c>
      <c r="K42" s="404">
        <v>4.0000000000000001E-3</v>
      </c>
      <c r="L42" s="404">
        <v>4.0000000000000001E-3</v>
      </c>
      <c r="M42" s="404">
        <v>4.0000000000000001E-3</v>
      </c>
      <c r="N42" s="404">
        <v>4.0000000000000001E-3</v>
      </c>
      <c r="O42" s="404">
        <v>4.0000000000000001E-3</v>
      </c>
      <c r="P42" s="404">
        <v>4.0000000000000001E-3</v>
      </c>
      <c r="Q42" s="404">
        <v>4.0000000000000001E-3</v>
      </c>
      <c r="R42" s="404">
        <v>4.0000000000000001E-3</v>
      </c>
      <c r="S42" s="404">
        <v>4.0000000000000001E-3</v>
      </c>
      <c r="T42" s="404">
        <v>4.0000000000000001E-3</v>
      </c>
      <c r="U42" s="404">
        <v>4.0000000000000001E-3</v>
      </c>
      <c r="V42" s="404">
        <v>4.0000000000000001E-3</v>
      </c>
    </row>
    <row r="43" spans="2:40" x14ac:dyDescent="0.2">
      <c r="B43" s="380" t="s">
        <v>189</v>
      </c>
      <c r="C43" s="380" t="s">
        <v>749</v>
      </c>
      <c r="D43" s="364" t="s">
        <v>144</v>
      </c>
      <c r="E43" s="380" t="s">
        <v>759</v>
      </c>
      <c r="F43" s="404">
        <v>6.8</v>
      </c>
      <c r="G43" s="404">
        <v>6.8</v>
      </c>
      <c r="H43" s="404">
        <v>6.8</v>
      </c>
      <c r="I43" s="404">
        <v>6.8</v>
      </c>
      <c r="J43" s="404">
        <v>6.8</v>
      </c>
      <c r="K43" s="404">
        <v>6.8</v>
      </c>
      <c r="L43" s="404">
        <v>6.8</v>
      </c>
      <c r="M43" s="404">
        <v>6.8</v>
      </c>
      <c r="N43" s="404">
        <v>6.8</v>
      </c>
      <c r="O43" s="404">
        <v>6.8</v>
      </c>
      <c r="P43" s="404">
        <v>6.8</v>
      </c>
      <c r="Q43" s="404">
        <v>6.8</v>
      </c>
      <c r="R43" s="404">
        <v>6.8</v>
      </c>
      <c r="S43" s="404">
        <v>6.8</v>
      </c>
      <c r="T43" s="404">
        <v>6.8</v>
      </c>
      <c r="U43" s="404">
        <v>6.8</v>
      </c>
      <c r="V43" s="404">
        <v>6.8</v>
      </c>
    </row>
    <row r="44" spans="2:40" ht="38.25" x14ac:dyDescent="0.2">
      <c r="B44" s="385" t="s">
        <v>212</v>
      </c>
      <c r="C44" s="385" t="s">
        <v>750</v>
      </c>
      <c r="D44" s="364" t="s">
        <v>214</v>
      </c>
      <c r="E44" s="380" t="s">
        <v>210</v>
      </c>
      <c r="F44" s="383">
        <v>0.2</v>
      </c>
      <c r="G44" s="383">
        <v>0.2</v>
      </c>
      <c r="H44" s="383">
        <v>0.2</v>
      </c>
      <c r="I44" s="383">
        <v>0.2</v>
      </c>
      <c r="J44" s="383">
        <v>0.2</v>
      </c>
      <c r="K44" s="383">
        <v>0.2</v>
      </c>
      <c r="L44" s="383">
        <v>0.2</v>
      </c>
      <c r="M44" s="383">
        <v>0.2</v>
      </c>
      <c r="N44" s="383">
        <v>0.2</v>
      </c>
      <c r="O44" s="383">
        <v>0.2</v>
      </c>
      <c r="P44" s="383">
        <v>0.2</v>
      </c>
      <c r="Q44" s="383">
        <v>0.2</v>
      </c>
      <c r="R44" s="383">
        <v>0.2</v>
      </c>
      <c r="S44" s="383">
        <v>0.2</v>
      </c>
      <c r="T44" s="383">
        <v>0.2</v>
      </c>
      <c r="U44" s="383">
        <v>0.2</v>
      </c>
      <c r="V44" s="383">
        <v>0.2</v>
      </c>
    </row>
    <row r="45" spans="2:40" ht="25.5" x14ac:dyDescent="0.2">
      <c r="B45" s="380" t="s">
        <v>230</v>
      </c>
      <c r="C45" s="380" t="s">
        <v>751</v>
      </c>
      <c r="D45" s="364" t="s">
        <v>243</v>
      </c>
      <c r="E45" s="380" t="s">
        <v>210</v>
      </c>
      <c r="F45" s="390">
        <v>2600</v>
      </c>
      <c r="G45" s="390">
        <v>2600</v>
      </c>
      <c r="H45" s="390">
        <v>2600</v>
      </c>
      <c r="I45" s="390">
        <v>2600</v>
      </c>
      <c r="J45" s="390">
        <v>2600</v>
      </c>
      <c r="K45" s="390">
        <v>2600</v>
      </c>
      <c r="L45" s="390">
        <v>2600</v>
      </c>
      <c r="M45" s="390">
        <v>2600</v>
      </c>
      <c r="N45" s="390">
        <v>2600</v>
      </c>
      <c r="O45" s="390">
        <v>2600</v>
      </c>
      <c r="P45" s="390">
        <v>2600</v>
      </c>
      <c r="Q45" s="390">
        <v>2600</v>
      </c>
      <c r="R45" s="390">
        <v>2600</v>
      </c>
      <c r="S45" s="390">
        <v>2600</v>
      </c>
      <c r="T45" s="390">
        <v>2600</v>
      </c>
      <c r="U45" s="390">
        <v>2600</v>
      </c>
      <c r="V45" s="390">
        <v>2600</v>
      </c>
    </row>
    <row r="46" spans="2:40" ht="13.5" x14ac:dyDescent="0.2">
      <c r="B46" s="569" t="s">
        <v>247</v>
      </c>
      <c r="C46" s="569"/>
      <c r="D46" s="569"/>
      <c r="E46" s="569"/>
      <c r="F46" s="569"/>
      <c r="H46" s="394"/>
    </row>
    <row r="47" spans="2:40" ht="13.5" x14ac:dyDescent="0.2">
      <c r="B47" s="395" t="s">
        <v>248</v>
      </c>
      <c r="C47" s="395"/>
      <c r="D47" s="396"/>
      <c r="E47" s="397"/>
      <c r="F47" s="398"/>
      <c r="G47" s="398"/>
      <c r="H47" s="398"/>
      <c r="I47" s="398"/>
      <c r="J47" s="398"/>
      <c r="K47" s="398"/>
      <c r="L47" s="398"/>
      <c r="M47" s="398"/>
      <c r="N47" s="398"/>
      <c r="O47" s="398"/>
    </row>
    <row r="48" spans="2:40" ht="13.5" x14ac:dyDescent="0.2">
      <c r="D48" s="395"/>
      <c r="E48" s="396"/>
      <c r="F48" s="399"/>
      <c r="G48" s="398"/>
      <c r="H48" s="398"/>
      <c r="I48" s="398"/>
      <c r="J48" s="398"/>
      <c r="K48" s="398"/>
      <c r="L48" s="398"/>
      <c r="M48" s="398"/>
      <c r="N48" s="398"/>
      <c r="O48" s="398"/>
      <c r="P48" s="400"/>
    </row>
  </sheetData>
  <mergeCells count="2">
    <mergeCell ref="B2:C2"/>
    <mergeCell ref="B46:F46"/>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1">
    <tabColor indexed="43"/>
  </sheetPr>
  <dimension ref="A1:Z31"/>
  <sheetViews>
    <sheetView zoomScale="70" zoomScaleNormal="70" workbookViewId="0"/>
  </sheetViews>
  <sheetFormatPr defaultColWidth="9.28515625" defaultRowHeight="12.75" x14ac:dyDescent="0.2"/>
  <cols>
    <col min="1" max="1" width="9.28515625" style="90"/>
    <col min="2" max="2" width="31.28515625" style="90" customWidth="1"/>
    <col min="3" max="3" width="11.7109375" style="104" bestFit="1" customWidth="1"/>
    <col min="4" max="4" width="15.42578125" style="104" customWidth="1"/>
    <col min="5" max="5" width="16.28515625" style="104" bestFit="1" customWidth="1"/>
    <col min="6" max="6" width="11.5703125" style="107" bestFit="1" customWidth="1"/>
    <col min="7" max="7" width="9.28515625" style="103"/>
    <col min="8" max="8" width="11" style="103" customWidth="1"/>
    <col min="9" max="9" width="10.5703125" style="103" customWidth="1"/>
    <col min="10" max="10" width="10.28515625" style="103" customWidth="1"/>
    <col min="11" max="11" width="10.5703125" style="103" customWidth="1"/>
    <col min="12" max="13" width="9.28515625" style="103"/>
    <col min="14" max="14" width="11.7109375" style="103" customWidth="1"/>
    <col min="15" max="16384" width="9.28515625" style="103"/>
  </cols>
  <sheetData>
    <row r="1" spans="1:26" s="90" customFormat="1" ht="13.5" thickBot="1" x14ac:dyDescent="0.25"/>
    <row r="2" spans="1:26" s="1" customFormat="1" ht="28.5" customHeight="1" thickBot="1" x14ac:dyDescent="0.25">
      <c r="B2" s="496" t="s">
        <v>791</v>
      </c>
      <c r="C2" s="497"/>
      <c r="D2" s="497"/>
      <c r="E2" s="498"/>
      <c r="F2" s="514" t="s">
        <v>232</v>
      </c>
      <c r="G2" s="502"/>
      <c r="H2" s="502"/>
      <c r="I2" s="503"/>
      <c r="J2" s="510" t="s">
        <v>233</v>
      </c>
      <c r="K2" s="511"/>
      <c r="L2" s="511"/>
      <c r="M2" s="512"/>
      <c r="N2" s="504" t="s">
        <v>685</v>
      </c>
      <c r="O2" s="505"/>
      <c r="P2" s="506"/>
    </row>
    <row r="3" spans="1:26" s="90" customFormat="1" x14ac:dyDescent="0.2"/>
    <row r="4" spans="1:26" s="90" customFormat="1" x14ac:dyDescent="0.2">
      <c r="B4" s="571" t="str">
        <f>IF(OR(COUNTA(watershed_sending_parcels) &lt; COUNTA(surface_parcels), COUNTA(watershed_receiving_parcels) &lt; COUNTA(surface_parcels)), "WARNING: add rows/columns to account for all surface parcels!", "Rows/Columns OK")</f>
        <v>Rows/Columns OK</v>
      </c>
      <c r="C4" s="571"/>
      <c r="D4" s="571"/>
      <c r="E4" s="571"/>
      <c r="F4" s="571"/>
      <c r="G4" s="571"/>
      <c r="H4" s="148"/>
      <c r="I4" s="148"/>
      <c r="J4" s="148"/>
    </row>
    <row r="5" spans="1:26" s="90" customFormat="1" x14ac:dyDescent="0.2"/>
    <row r="6" spans="1:26" s="90" customFormat="1" ht="15.75" x14ac:dyDescent="0.25">
      <c r="G6" s="4" t="s">
        <v>296</v>
      </c>
    </row>
    <row r="7" spans="1:26" s="90" customFormat="1" x14ac:dyDescent="0.2">
      <c r="G7" s="94" t="s">
        <v>308</v>
      </c>
    </row>
    <row r="8" spans="1:26" s="90" customFormat="1" x14ac:dyDescent="0.2">
      <c r="C8" s="100"/>
      <c r="D8" s="100"/>
      <c r="E8" s="100"/>
      <c r="F8" s="100"/>
      <c r="G8" s="99" t="s">
        <v>290</v>
      </c>
    </row>
    <row r="9" spans="1:26" s="90" customFormat="1" ht="38.25" x14ac:dyDescent="0.2">
      <c r="C9" s="108" t="s">
        <v>309</v>
      </c>
      <c r="D9" s="108" t="s">
        <v>326</v>
      </c>
      <c r="E9" s="108" t="s">
        <v>327</v>
      </c>
      <c r="F9" s="108" t="s">
        <v>329</v>
      </c>
      <c r="G9" s="101" t="s">
        <v>294</v>
      </c>
      <c r="H9" s="101" t="str">
        <f t="shared" ref="H9:T9" si="0">INDEX($B10:$B1048576, COLUMN() - COLUMN($H9) + 1)</f>
        <v>E1</v>
      </c>
      <c r="I9" s="101" t="str">
        <f t="shared" si="0"/>
        <v>E2</v>
      </c>
      <c r="J9" s="101" t="str">
        <f t="shared" si="0"/>
        <v>E3</v>
      </c>
      <c r="K9" s="101" t="str">
        <f t="shared" si="0"/>
        <v>LakeCadillac</v>
      </c>
      <c r="L9" s="101" t="str">
        <f t="shared" si="0"/>
        <v>N1</v>
      </c>
      <c r="M9" s="101" t="str">
        <f t="shared" si="0"/>
        <v>N2</v>
      </c>
      <c r="N9" s="101" t="str">
        <f t="shared" si="0"/>
        <v>NE1</v>
      </c>
      <c r="O9" s="101" t="str">
        <f t="shared" si="0"/>
        <v>NE2</v>
      </c>
      <c r="P9" s="101" t="str">
        <f t="shared" si="0"/>
        <v>NE3</v>
      </c>
      <c r="Q9" s="101" t="str">
        <f t="shared" si="0"/>
        <v>NW1</v>
      </c>
      <c r="R9" s="101" t="str">
        <f t="shared" si="0"/>
        <v>NW2</v>
      </c>
      <c r="S9" s="101" t="str">
        <f t="shared" si="0"/>
        <v>S1</v>
      </c>
      <c r="T9" s="101" t="str">
        <f t="shared" si="0"/>
        <v>S2</v>
      </c>
      <c r="U9" s="101" t="str">
        <f t="shared" ref="U9:Z9" si="1">INDEX($B10:$B1048576, COLUMN() - COLUMN($H9) + 1)</f>
        <v>SE1</v>
      </c>
      <c r="V9" s="101" t="str">
        <f t="shared" si="1"/>
        <v>SE2</v>
      </c>
      <c r="W9" s="101" t="str">
        <f t="shared" si="1"/>
        <v>SW1</v>
      </c>
      <c r="X9" s="101" t="str">
        <f t="shared" si="1"/>
        <v>SW2</v>
      </c>
      <c r="Y9" s="101" t="str">
        <f t="shared" si="1"/>
        <v>W1</v>
      </c>
      <c r="Z9" s="101" t="e">
        <f t="shared" si="1"/>
        <v>#REF!</v>
      </c>
    </row>
    <row r="10" spans="1:26" x14ac:dyDescent="0.2">
      <c r="A10" s="570" t="s">
        <v>291</v>
      </c>
      <c r="B10" s="101" t="str">
        <f>INDEX(surface_parcels, ROW() - ROW(B$10) + 1)</f>
        <v>E1</v>
      </c>
      <c r="C10" s="109">
        <f>IF(NOT(ISNA(MATCH($B10, water_parcels, 0))), 0, ParcelArea($B10))</f>
        <v>9510336.7447571121</v>
      </c>
      <c r="D10" s="111" t="e">
        <f>INDEX( computed_watershed_areas, ROW() - ROW(D$10) + 1)</f>
        <v>#VALUE!</v>
      </c>
      <c r="E10" s="111" t="e">
        <f>INDEX( computed_erosion_areas, ROW() - ROW(E$10) + 1)</f>
        <v>#VALUE!</v>
      </c>
      <c r="F10" s="133">
        <f>IF(NOT(ISNA(MATCH(B10, erosion_parcels, 0))), INDEX(erosion_rates, MATCH(B10, erosion_parcels, 0)), 0)</f>
        <v>7.4507171430536755E-5</v>
      </c>
      <c r="G10" s="354">
        <f xml:space="preserve"> IF(AND(SUM(H10:XFD10)&gt;=0, SUM(H10:XFD10)&lt;=1), 1 - SUM(H10:XFD10), ValueError())</f>
        <v>0</v>
      </c>
      <c r="H10" s="365">
        <f>IF(NOT(ISNA(MATCH($B$10, water_parcels, 0))), 1, 0)</f>
        <v>0</v>
      </c>
      <c r="I10" s="448">
        <v>2.5283865510012136E-2</v>
      </c>
      <c r="J10" s="448"/>
      <c r="K10" s="448">
        <v>0.54757013225164064</v>
      </c>
      <c r="L10" s="449"/>
      <c r="M10" s="449"/>
      <c r="N10" s="449"/>
      <c r="O10" s="448">
        <v>8.4559782960888473E-3</v>
      </c>
      <c r="P10" s="448"/>
      <c r="Q10" s="448"/>
      <c r="R10" s="449"/>
      <c r="S10" s="448"/>
      <c r="T10" s="448"/>
      <c r="U10" s="448">
        <v>2.6797114318591417E-2</v>
      </c>
      <c r="V10" s="448"/>
      <c r="W10" s="448">
        <v>0.39189290962366691</v>
      </c>
      <c r="X10" s="448"/>
      <c r="Y10" s="448"/>
      <c r="Z10" s="448"/>
    </row>
    <row r="11" spans="1:26" x14ac:dyDescent="0.2">
      <c r="A11" s="570"/>
      <c r="B11" s="101" t="str">
        <f>INDEX(surface_parcels, ROW() - ROW(B$10) + 1)</f>
        <v>E2</v>
      </c>
      <c r="C11" s="109">
        <f>IF(NOT(ISNA(MATCH($B11, water_parcels, 0))), 0, ParcelArea($B11))</f>
        <v>6180161.1574881524</v>
      </c>
      <c r="D11" s="111" t="e">
        <f>INDEX( computed_watershed_areas, ROW() - ROW(D$10) + 1)</f>
        <v>#VALUE!</v>
      </c>
      <c r="E11" s="111" t="e">
        <f>INDEX( computed_erosion_areas, ROW() - ROW(E$10) + 1)</f>
        <v>#VALUE!</v>
      </c>
      <c r="F11" s="133">
        <f>IF(NOT(ISNA(MATCH(B11, erosion_parcels, 0))), INDEX(erosion_rates, MATCH(B11, erosion_parcels, 0)), 0)</f>
        <v>7.5695101707880846E-5</v>
      </c>
      <c r="G11" s="354">
        <f xml:space="preserve"> IF(AND(SUM(H11:XFD11)&gt;=0, SUM(H11:XFD11)&lt;=1), 1 - SUM(H11:XFD11), ValueError())</f>
        <v>0</v>
      </c>
      <c r="H11" s="448">
        <v>1.5126837804693205E-2</v>
      </c>
      <c r="I11" s="365">
        <f>IF(NOT(ISNA(MATCH($B$11, water_parcels, 0))), 1, 0)</f>
        <v>0</v>
      </c>
      <c r="J11" s="448">
        <v>7.2525594918220276E-2</v>
      </c>
      <c r="K11" s="448"/>
      <c r="L11" s="448"/>
      <c r="M11" s="448"/>
      <c r="N11" s="448"/>
      <c r="O11" s="448">
        <v>0.91148223168395959</v>
      </c>
      <c r="P11" s="448"/>
      <c r="Q11" s="448">
        <v>8.6533559312692047E-4</v>
      </c>
      <c r="R11" s="448"/>
      <c r="S11" s="448"/>
      <c r="T11" s="448"/>
      <c r="U11" s="448"/>
      <c r="V11" s="448"/>
      <c r="W11" s="448"/>
      <c r="X11" s="448"/>
      <c r="Y11" s="448"/>
      <c r="Z11" s="448"/>
    </row>
    <row r="12" spans="1:26" x14ac:dyDescent="0.2">
      <c r="A12" s="570"/>
      <c r="B12" s="101" t="str">
        <f>INDEX(surface_parcels, ROW() - ROW(B$10) + 1)</f>
        <v>E3</v>
      </c>
      <c r="C12" s="109">
        <f>IF(NOT(ISNA(MATCH($B12, water_parcels, 0))), 0, ParcelArea($B12))</f>
        <v>0</v>
      </c>
      <c r="D12" s="111" t="e">
        <f>INDEX( computed_watershed_areas, ROW() - ROW(D$10) + 1)</f>
        <v>#VALUE!</v>
      </c>
      <c r="E12" s="111" t="e">
        <f>INDEX( computed_erosion_areas, ROW() - ROW(E$10) + 1)</f>
        <v>#VALUE!</v>
      </c>
      <c r="F12" s="133">
        <f>IF(NOT(ISNA(MATCH(B12, erosion_parcels, 0))), INDEX(erosion_rates, MATCH(B12, erosion_parcels, 0)), 0)</f>
        <v>0</v>
      </c>
      <c r="G12" s="354" t="e">
        <f xml:space="preserve"> IF(AND(SUM(H12:XFD12)&gt;=0, SUM(H12:XFD12)&lt;=1), 1 - SUM(H12:XFD12), ValueError())</f>
        <v>#VALUE!</v>
      </c>
      <c r="H12" s="448"/>
      <c r="I12" s="448">
        <v>4.7305236770984291E-2</v>
      </c>
      <c r="J12" s="365">
        <f>IF(NOT(ISNA(MATCH($B$12, water_parcels, 0))), 1, 0)</f>
        <v>1</v>
      </c>
      <c r="K12" s="449"/>
      <c r="L12" s="449"/>
      <c r="M12" s="448"/>
      <c r="N12" s="448"/>
      <c r="O12" s="449"/>
      <c r="P12" s="448"/>
      <c r="Q12" s="448"/>
      <c r="R12" s="448"/>
      <c r="S12" s="448"/>
      <c r="T12" s="448"/>
      <c r="U12" s="448"/>
      <c r="V12" s="448"/>
      <c r="W12" s="448">
        <v>6.1787630723434253E-2</v>
      </c>
      <c r="X12" s="448"/>
      <c r="Y12" s="448"/>
      <c r="Z12" s="448"/>
    </row>
    <row r="13" spans="1:26" x14ac:dyDescent="0.2">
      <c r="A13" s="570"/>
      <c r="B13" s="101" t="str">
        <f>INDEX(surface_parcels, ROW() - ROW(B$10) + 1)</f>
        <v>LakeCadillac</v>
      </c>
      <c r="C13" s="109">
        <f>IF(NOT(ISNA(MATCH($B13, water_parcels, 0))), 0, ParcelArea($B13))</f>
        <v>0</v>
      </c>
      <c r="D13" s="111" t="e">
        <f>INDEX( computed_watershed_areas, ROW() - ROW(D$10) + 1)</f>
        <v>#VALUE!</v>
      </c>
      <c r="E13" s="111" t="e">
        <f>INDEX( computed_erosion_areas, ROW() - ROW(E$10) + 1)</f>
        <v>#VALUE!</v>
      </c>
      <c r="F13" s="133">
        <f>IF(NOT(ISNA(MATCH(B13, erosion_parcels, 0))), INDEX(erosion_rates, MATCH(B13, erosion_parcels, 0)), 0)</f>
        <v>0</v>
      </c>
      <c r="G13" s="354">
        <f xml:space="preserve"> IF(AND(SUM(H13:XFD13)&gt;=0, SUM(H13:XFD13)&lt;=1), 1 - SUM(H13:XFD13), ValueError())</f>
        <v>0</v>
      </c>
      <c r="H13" s="448"/>
      <c r="I13" s="448"/>
      <c r="J13" s="449"/>
      <c r="K13" s="365">
        <f>IF(NOT(ISNA(MATCH($B$13, water_parcels, 0))), 1, 0)</f>
        <v>1</v>
      </c>
      <c r="L13" s="448"/>
      <c r="M13" s="449"/>
      <c r="N13" s="448"/>
      <c r="O13" s="448"/>
      <c r="P13" s="448"/>
      <c r="Q13" s="448"/>
      <c r="R13" s="448"/>
      <c r="S13" s="448"/>
      <c r="T13" s="448"/>
      <c r="U13" s="448"/>
      <c r="V13" s="448"/>
      <c r="W13" s="448"/>
      <c r="X13" s="448"/>
      <c r="Y13" s="448"/>
      <c r="Z13" s="448"/>
    </row>
    <row r="14" spans="1:26" x14ac:dyDescent="0.2">
      <c r="A14" s="570"/>
      <c r="B14" s="101" t="str">
        <f>INDEX(surface_parcels, ROW() - ROW(B$10) + 1)</f>
        <v>N1</v>
      </c>
      <c r="C14" s="109">
        <f>IF(NOT(ISNA(MATCH($B14, water_parcels, 0))), 0, ParcelArea($B14))</f>
        <v>8331779.6721657179</v>
      </c>
      <c r="D14" s="111" t="e">
        <f>INDEX( computed_watershed_areas, ROW() - ROW(D$10) + 1)</f>
        <v>#VALUE!</v>
      </c>
      <c r="E14" s="111" t="e">
        <f>INDEX( computed_erosion_areas, ROW() - ROW(E$10) + 1)</f>
        <v>#VALUE!</v>
      </c>
      <c r="F14" s="133">
        <f>IF(NOT(ISNA(MATCH(B14, erosion_parcels, 0))), INDEX(erosion_rates, MATCH(B14, erosion_parcels, 0)), 0)</f>
        <v>7.7000319917066987E-5</v>
      </c>
      <c r="G14" s="354">
        <f xml:space="preserve"> IF(AND(SUM(H14:XFD14)&gt;=0, SUM(H14:XFD14)&lt;=1), 1 - SUM(H14:XFD14), ValueError())</f>
        <v>1</v>
      </c>
      <c r="H14" s="449"/>
      <c r="I14" s="448"/>
      <c r="J14" s="449"/>
      <c r="K14" s="448"/>
      <c r="L14" s="365">
        <f>IF(NOT(ISNA(MATCH($B$14, water_parcels, 0))), 1, 0)</f>
        <v>0</v>
      </c>
      <c r="M14" s="449"/>
      <c r="N14" s="448"/>
      <c r="O14" s="448"/>
      <c r="P14" s="449"/>
      <c r="Q14" s="449"/>
      <c r="R14" s="448"/>
      <c r="S14" s="448"/>
      <c r="T14" s="448"/>
      <c r="U14" s="448"/>
      <c r="V14" s="448"/>
      <c r="W14" s="448"/>
      <c r="X14" s="448"/>
      <c r="Y14" s="448"/>
      <c r="Z14" s="448"/>
    </row>
    <row r="15" spans="1:26" x14ac:dyDescent="0.2">
      <c r="A15" s="570"/>
      <c r="B15" s="101" t="str">
        <f>INDEX(surface_parcels, ROW() - ROW(B$10) + 1)</f>
        <v>N2</v>
      </c>
      <c r="C15" s="109">
        <f>IF(NOT(ISNA(MATCH($B15, water_parcels, 0))), 0, ParcelArea($B15))</f>
        <v>27646137.495466657</v>
      </c>
      <c r="D15" s="111" t="e">
        <f>INDEX( computed_watershed_areas, ROW() - ROW(D$10) + 1)</f>
        <v>#VALUE!</v>
      </c>
      <c r="E15" s="111" t="e">
        <f>INDEX( computed_erosion_areas, ROW() - ROW(E$10) + 1)</f>
        <v>#VALUE!</v>
      </c>
      <c r="F15" s="133">
        <f>IF(NOT(ISNA(MATCH(B15, erosion_parcels, 0))), INDEX(erosion_rates, MATCH(B15, erosion_parcels, 0)), 0)</f>
        <v>8.3553426618490844E-6</v>
      </c>
      <c r="G15" s="354">
        <f xml:space="preserve"> IF(AND(SUM(H15:XFD15)&gt;=0, SUM(H15:XFD15)&lt;=1), 1 - SUM(H15:XFD15), ValueError())</f>
        <v>0</v>
      </c>
      <c r="H15" s="449"/>
      <c r="I15" s="448"/>
      <c r="J15" s="448"/>
      <c r="K15" s="448">
        <v>7.6561979793891205E-2</v>
      </c>
      <c r="L15" s="449">
        <v>3.5562432200206148E-2</v>
      </c>
      <c r="M15" s="365">
        <f>IF(NOT(ISNA(MATCH($B$15, water_parcels, 0))), 1, 0)</f>
        <v>0</v>
      </c>
      <c r="N15" s="449">
        <v>0.43646137410500407</v>
      </c>
      <c r="O15" s="448">
        <v>2.8102234042635369E-3</v>
      </c>
      <c r="P15" s="448"/>
      <c r="Q15" s="449"/>
      <c r="R15" s="448">
        <v>3.6220056405308683E-2</v>
      </c>
      <c r="S15" s="448"/>
      <c r="T15" s="449">
        <v>0.41238393409132634</v>
      </c>
      <c r="U15" s="449"/>
      <c r="V15" s="449"/>
      <c r="W15" s="449"/>
      <c r="X15" s="449"/>
      <c r="Y15" s="449"/>
      <c r="Z15" s="449"/>
    </row>
    <row r="16" spans="1:26" x14ac:dyDescent="0.2">
      <c r="A16" s="570"/>
      <c r="B16" s="101" t="str">
        <f>INDEX(surface_parcels, ROW() - ROW(B$10) + 1)</f>
        <v>NE1</v>
      </c>
      <c r="C16" s="109">
        <f>IF(NOT(ISNA(MATCH($B16, water_parcels, 0))), 0, ParcelArea($B16))</f>
        <v>14733478.925060868</v>
      </c>
      <c r="D16" s="111" t="e">
        <f>INDEX( computed_watershed_areas, ROW() - ROW(D$10) + 1)</f>
        <v>#VALUE!</v>
      </c>
      <c r="E16" s="111" t="e">
        <f>INDEX( computed_erosion_areas, ROW() - ROW(E$10) + 1)</f>
        <v>#VALUE!</v>
      </c>
      <c r="F16" s="133">
        <f>IF(NOT(ISNA(MATCH(B16, erosion_parcels, 0))), INDEX(erosion_rates, MATCH(B16, erosion_parcels, 0)), 0)</f>
        <v>2.6380162753680973E-5</v>
      </c>
      <c r="G16" s="354">
        <f xml:space="preserve"> IF(AND(SUM(H16:XFD16)&gt;=0, SUM(H16:XFD16)&lt;=1), 1 - SUM(H16:XFD16), ValueError())</f>
        <v>1.5089185809254224E-2</v>
      </c>
      <c r="H16" s="449"/>
      <c r="I16" s="448"/>
      <c r="J16" s="448"/>
      <c r="K16" s="448"/>
      <c r="L16" s="448"/>
      <c r="M16" s="449">
        <v>0.80115607751690154</v>
      </c>
      <c r="N16" s="365">
        <f>IF(NOT(ISNA(MATCH($B$16, water_parcels, 0))), 1, 0)</f>
        <v>0</v>
      </c>
      <c r="O16" s="448">
        <v>6.3614822615678274E-2</v>
      </c>
      <c r="P16" s="448">
        <v>7.4000244473488731E-3</v>
      </c>
      <c r="Q16" s="448"/>
      <c r="R16" s="449">
        <v>9.1113388684638599E-2</v>
      </c>
      <c r="S16" s="449">
        <v>2.1626500926178408E-2</v>
      </c>
      <c r="T16" s="449"/>
      <c r="U16" s="449"/>
      <c r="V16" s="449"/>
      <c r="W16" s="449"/>
      <c r="X16" s="449"/>
      <c r="Y16" s="449"/>
      <c r="Z16" s="449"/>
    </row>
    <row r="17" spans="2:26" x14ac:dyDescent="0.2">
      <c r="B17" s="101" t="str">
        <f>INDEX(surface_parcels, ROW() - ROW(B$10) + 1)</f>
        <v>NE2</v>
      </c>
      <c r="C17" s="109">
        <f>IF(NOT(ISNA(MATCH($B17, water_parcels, 0))), 0, ParcelArea($B17))</f>
        <v>3632465.2791630328</v>
      </c>
      <c r="D17" s="111" t="e">
        <f>INDEX( computed_watershed_areas, ROW() - ROW(D$10) + 1)</f>
        <v>#VALUE!</v>
      </c>
      <c r="E17" s="111" t="e">
        <f>INDEX( computed_erosion_areas, ROW() - ROW(E$10) + 1)</f>
        <v>#VALUE!</v>
      </c>
      <c r="F17" s="133">
        <f>IF(NOT(ISNA(MATCH(B17, erosion_parcels, 0))), INDEX(erosion_rates, MATCH(B17, erosion_parcels, 0)), 0)</f>
        <v>2.4805545361923875E-5</v>
      </c>
      <c r="G17" s="354">
        <f xml:space="preserve"> IF(AND(SUM(H17:XFD17)&gt;=0, SUM(H17:XFD17)&lt;=1), 1 - SUM(H17:XFD17), ValueError())</f>
        <v>0</v>
      </c>
      <c r="H17" s="448">
        <v>1.4970770537821212E-4</v>
      </c>
      <c r="I17" s="448">
        <v>2.794444623848973E-3</v>
      </c>
      <c r="J17" s="449"/>
      <c r="K17" s="448">
        <v>7.1804637099444459E-3</v>
      </c>
      <c r="L17" s="448"/>
      <c r="M17" s="448">
        <v>3.8565359690619951E-3</v>
      </c>
      <c r="N17" s="448">
        <v>0.23146552384824401</v>
      </c>
      <c r="O17" s="365">
        <f>IF(NOT(ISNA(MATCH($B$17, water_parcels, 0))), 1, 0)</f>
        <v>0</v>
      </c>
      <c r="P17" s="448"/>
      <c r="Q17" s="448">
        <v>0.75455332414352239</v>
      </c>
      <c r="R17" s="448"/>
      <c r="S17" s="448"/>
      <c r="T17" s="448"/>
      <c r="U17" s="448"/>
      <c r="V17" s="448"/>
      <c r="W17" s="448"/>
      <c r="X17" s="448"/>
      <c r="Y17" s="448"/>
      <c r="Z17" s="448"/>
    </row>
    <row r="18" spans="2:26" x14ac:dyDescent="0.2">
      <c r="B18" s="101" t="str">
        <f>INDEX(surface_parcels, ROW() - ROW(B$10) + 1)</f>
        <v>NE3</v>
      </c>
      <c r="C18" s="109">
        <f>IF(NOT(ISNA(MATCH($B18, water_parcels, 0))), 0, ParcelArea($B18))</f>
        <v>8461424.0238580704</v>
      </c>
      <c r="D18" s="111" t="e">
        <f>INDEX( computed_watershed_areas, ROW() - ROW(D$10) + 1)</f>
        <v>#VALUE!</v>
      </c>
      <c r="E18" s="111" t="e">
        <f>INDEX( computed_erosion_areas, ROW() - ROW(E$10) + 1)</f>
        <v>#VALUE!</v>
      </c>
      <c r="F18" s="133">
        <f>IF(NOT(ISNA(MATCH(B18, erosion_parcels, 0))), INDEX(erosion_rates, MATCH(B18, erosion_parcels, 0)), 0)</f>
        <v>1.2529639875326885E-4</v>
      </c>
      <c r="G18" s="354">
        <f xml:space="preserve"> IF(AND(SUM(H18:XFD18)&gt;=0, SUM(H18:XFD18)&lt;=1), 1 - SUM(H18:XFD18), ValueError())</f>
        <v>6.4533917033232968E-2</v>
      </c>
      <c r="H18" s="448"/>
      <c r="I18" s="448"/>
      <c r="J18" s="448"/>
      <c r="K18" s="448"/>
      <c r="L18" s="449"/>
      <c r="M18" s="448"/>
      <c r="N18" s="448">
        <v>0.92825542483109891</v>
      </c>
      <c r="O18" s="448"/>
      <c r="P18" s="365">
        <f>IF(NOT(ISNA(MATCH($B$18, water_parcels, 0))), 1, 0)</f>
        <v>0</v>
      </c>
      <c r="Q18" s="449">
        <v>7.210658135668133E-3</v>
      </c>
      <c r="R18" s="448"/>
      <c r="S18" s="448"/>
      <c r="T18" s="448"/>
      <c r="U18" s="448"/>
      <c r="V18" s="448"/>
      <c r="W18" s="448"/>
      <c r="X18" s="448"/>
      <c r="Y18" s="448"/>
      <c r="Z18" s="448"/>
    </row>
    <row r="19" spans="2:26" x14ac:dyDescent="0.2">
      <c r="B19" s="101" t="str">
        <f>INDEX(surface_parcels, ROW() - ROW(B$10) + 1)</f>
        <v>NW1</v>
      </c>
      <c r="C19" s="109">
        <f>IF(NOT(ISNA(MATCH($B19, water_parcels, 0))), 0, ParcelArea($B19))</f>
        <v>21284418.040311679</v>
      </c>
      <c r="D19" s="111" t="e">
        <f>INDEX( computed_watershed_areas, ROW() - ROW(D$10) + 1)</f>
        <v>#VALUE!</v>
      </c>
      <c r="E19" s="111" t="e">
        <f>INDEX( computed_erosion_areas, ROW() - ROW(E$10) + 1)</f>
        <v>#VALUE!</v>
      </c>
      <c r="F19" s="133">
        <f>IF(NOT(ISNA(MATCH(B19, erosion_parcels, 0))), INDEX(erosion_rates, MATCH(B19, erosion_parcels, 0)), 0)</f>
        <v>5.196551953154333E-5</v>
      </c>
      <c r="G19" s="354">
        <f xml:space="preserve"> IF(AND(SUM(H19:XFD19)&gt;=0, SUM(H19:XFD19)&lt;=1), 1 - SUM(H19:XFD19), ValueError())</f>
        <v>0.98894059868317963</v>
      </c>
      <c r="H19" s="448"/>
      <c r="I19" s="448">
        <v>1.3001911017847432E-3</v>
      </c>
      <c r="J19" s="448"/>
      <c r="K19" s="448"/>
      <c r="L19" s="449"/>
      <c r="M19" s="449"/>
      <c r="N19" s="448"/>
      <c r="O19" s="448">
        <v>9.6806726045452728E-3</v>
      </c>
      <c r="P19" s="449">
        <v>7.8537610490320484E-5</v>
      </c>
      <c r="Q19" s="365">
        <f>IF(NOT(ISNA(MATCH($B$19, water_parcels, 0))), 1, 0)</f>
        <v>0</v>
      </c>
      <c r="R19" s="448"/>
      <c r="S19" s="448"/>
      <c r="T19" s="448"/>
      <c r="U19" s="448"/>
      <c r="V19" s="448"/>
      <c r="W19" s="448"/>
      <c r="X19" s="448"/>
      <c r="Y19" s="448"/>
      <c r="Z19" s="448"/>
    </row>
    <row r="20" spans="2:26" x14ac:dyDescent="0.2">
      <c r="B20" s="101" t="str">
        <f>INDEX(surface_parcels, ROW() - ROW(B$10) + 1)</f>
        <v>NW2</v>
      </c>
      <c r="C20" s="109">
        <f>IF(NOT(ISNA(MATCH($B20, water_parcels, 0))), 0, ParcelArea($B20))</f>
        <v>20620168.451205432</v>
      </c>
      <c r="D20" s="111" t="e">
        <f>INDEX( computed_watershed_areas, ROW() - ROW(D$10) + 1)</f>
        <v>#VALUE!</v>
      </c>
      <c r="E20" s="111" t="e">
        <f>INDEX( computed_erosion_areas, ROW() - ROW(E$10) + 1)</f>
        <v>#VALUE!</v>
      </c>
      <c r="F20" s="133">
        <f>IF(NOT(ISNA(MATCH(B20, erosion_parcels, 0))), INDEX(erosion_rates, MATCH(B20, erosion_parcels, 0)), 0)</f>
        <v>1.0272194178788672E-5</v>
      </c>
      <c r="G20" s="354">
        <f xml:space="preserve"> IF(AND(SUM(H20:XFD20)&gt;=0, SUM(H20:XFD20)&lt;=1), 1 - SUM(H20:XFD20), ValueError())</f>
        <v>1.1102230246251565E-16</v>
      </c>
      <c r="H20" s="449"/>
      <c r="I20" s="448"/>
      <c r="J20" s="448"/>
      <c r="K20" s="448"/>
      <c r="L20" s="448">
        <v>0.63714061337379646</v>
      </c>
      <c r="M20" s="448">
        <v>1.8710186294204276E-3</v>
      </c>
      <c r="N20" s="449">
        <v>1.3275846366137449E-2</v>
      </c>
      <c r="O20" s="448"/>
      <c r="P20" s="448"/>
      <c r="Q20" s="448"/>
      <c r="R20" s="365">
        <f>IF(NOT(ISNA(MATCH($B$20, water_parcels, 0))), 1, 0)</f>
        <v>0</v>
      </c>
      <c r="S20" s="449">
        <v>5.5310871257490173E-2</v>
      </c>
      <c r="T20" s="448"/>
      <c r="U20" s="448"/>
      <c r="V20" s="448"/>
      <c r="W20" s="448"/>
      <c r="X20" s="448"/>
      <c r="Y20" s="448"/>
      <c r="Z20" s="448">
        <v>0.29240165037315546</v>
      </c>
    </row>
    <row r="21" spans="2:26" x14ac:dyDescent="0.2">
      <c r="B21" s="101" t="str">
        <f>INDEX(surface_parcels, ROW() - ROW(B$10) + 1)</f>
        <v>S1</v>
      </c>
      <c r="C21" s="109">
        <f>IF(NOT(ISNA(MATCH($B21, water_parcels, 0))), 0, ParcelArea($B21))</f>
        <v>483133.14199053124</v>
      </c>
      <c r="D21" s="111" t="e">
        <f>INDEX( computed_watershed_areas, ROW() - ROW(D$10) + 1)</f>
        <v>#VALUE!</v>
      </c>
      <c r="E21" s="111" t="e">
        <f>INDEX( computed_erosion_areas, ROW() - ROW(E$10) + 1)</f>
        <v>#VALUE!</v>
      </c>
      <c r="F21" s="133">
        <f>IF(NOT(ISNA(MATCH(B21, erosion_parcels, 0))), INDEX(erosion_rates, MATCH(B21, erosion_parcels, 0)), 0)</f>
        <v>4.1406065935108877E-5</v>
      </c>
      <c r="G21" s="354">
        <f xml:space="preserve"> IF(AND(SUM(H21:XFD21)&gt;=0, SUM(H21:XFD21)&lt;=1), 1 - SUM(H21:XFD21), ValueError())</f>
        <v>5.9239271894358847E-2</v>
      </c>
      <c r="H21" s="448"/>
      <c r="I21" s="448"/>
      <c r="J21" s="448"/>
      <c r="K21" s="448"/>
      <c r="L21" s="448"/>
      <c r="M21" s="448"/>
      <c r="N21" s="449">
        <v>1.0524215238855437E-2</v>
      </c>
      <c r="O21" s="448"/>
      <c r="P21" s="448"/>
      <c r="Q21" s="448"/>
      <c r="R21" s="449">
        <v>0.93023651286678577</v>
      </c>
      <c r="S21" s="365">
        <f>IF(NOT(ISNA(MATCH($B$21, water_parcels, 0))), 1, 0)</f>
        <v>0</v>
      </c>
      <c r="T21" s="449"/>
      <c r="U21" s="449"/>
      <c r="V21" s="449"/>
      <c r="W21" s="449"/>
      <c r="X21" s="449"/>
      <c r="Y21" s="449"/>
      <c r="Z21" s="449"/>
    </row>
    <row r="22" spans="2:26" x14ac:dyDescent="0.2">
      <c r="B22" s="101" t="str">
        <f>INDEX(surface_parcels, ROW() - ROW(B$10) + 1)</f>
        <v>S2</v>
      </c>
      <c r="C22" s="109">
        <f>IF(NOT(ISNA(MATCH($B22, water_parcels, 0))), 0, ParcelArea($B22))</f>
        <v>6779524.0775474794</v>
      </c>
      <c r="D22" s="111" t="e">
        <f>INDEX( computed_watershed_areas, ROW() - ROW(D$10) + 1)</f>
        <v>#VALUE!</v>
      </c>
      <c r="E22" s="111" t="e">
        <f>INDEX( computed_erosion_areas, ROW() - ROW(E$10) + 1)</f>
        <v>#VALUE!</v>
      </c>
      <c r="F22" s="133">
        <f>IF(NOT(ISNA(MATCH(B22, erosion_parcels, 0))), INDEX(erosion_rates, MATCH(B22, erosion_parcels, 0)), 0)</f>
        <v>1.4823810058800513E-5</v>
      </c>
      <c r="G22" s="354">
        <f xml:space="preserve"> IF(AND(SUM(H22:XFD22)&gt;=0, SUM(H22:XFD22)&lt;=1), 1 - SUM(H22:XFD22), ValueError())</f>
        <v>1.1102230246251565E-16</v>
      </c>
      <c r="H22" s="448"/>
      <c r="I22" s="448"/>
      <c r="J22" s="448"/>
      <c r="K22" s="448">
        <v>0.77582743015245148</v>
      </c>
      <c r="L22" s="448">
        <v>0.22373713850192659</v>
      </c>
      <c r="M22" s="449">
        <v>1.2492055537193146E-4</v>
      </c>
      <c r="N22" s="449"/>
      <c r="O22" s="448"/>
      <c r="P22" s="448"/>
      <c r="Q22" s="448"/>
      <c r="R22" s="448"/>
      <c r="S22" s="449"/>
      <c r="T22" s="365">
        <f>IF(NOT(ISNA(MATCH($B$22, water_parcels, 0))), 1, 0)</f>
        <v>0</v>
      </c>
      <c r="U22" s="454"/>
      <c r="V22" s="454"/>
      <c r="W22" s="454"/>
      <c r="X22" s="454">
        <v>3.1051079024996118E-4</v>
      </c>
      <c r="Y22" s="454"/>
      <c r="Z22" s="454"/>
    </row>
    <row r="23" spans="2:26" x14ac:dyDescent="0.2">
      <c r="B23" s="101" t="str">
        <f>INDEX(surface_parcels, ROW() - ROW(B$10) + 1)</f>
        <v>SE1</v>
      </c>
      <c r="C23" s="109">
        <f>IF(NOT(ISNA(MATCH($B23, water_parcels, 0))), 0, ParcelArea($B23))</f>
        <v>21263896.650649726</v>
      </c>
      <c r="D23" s="111" t="e">
        <f>INDEX( computed_watershed_areas, ROW() - ROW(D$10) + 1)</f>
        <v>#VALUE!</v>
      </c>
      <c r="E23" s="111" t="e">
        <f>INDEX( computed_erosion_areas, ROW() - ROW(E$10) + 1)</f>
        <v>#VALUE!</v>
      </c>
      <c r="F23" s="133">
        <f>IF(NOT(ISNA(MATCH(B23, erosion_parcels, 0))), INDEX(erosion_rates, MATCH(B23, erosion_parcels, 0)), 0)</f>
        <v>8.7250006127129857E-5</v>
      </c>
      <c r="G23" s="354">
        <f xml:space="preserve"> IF(AND(SUM(H23:XFD23)&gt;=0, SUM(H23:XFD23)&lt;=1), 1 - SUM(H23:XFD23), ValueError())</f>
        <v>0</v>
      </c>
      <c r="H23" s="448">
        <v>0.13263674562153721</v>
      </c>
      <c r="I23" s="448"/>
      <c r="J23" s="448"/>
      <c r="K23" s="448">
        <v>0.64342818896048359</v>
      </c>
      <c r="L23" s="448"/>
      <c r="M23" s="449"/>
      <c r="N23" s="449"/>
      <c r="O23" s="448"/>
      <c r="P23" s="448"/>
      <c r="Q23" s="448"/>
      <c r="R23" s="448"/>
      <c r="S23" s="449"/>
      <c r="T23" s="454"/>
      <c r="U23" s="365">
        <f>IF(NOT(ISNA(MATCH($B$23, water_parcels, 0))), 1, 0)</f>
        <v>0</v>
      </c>
      <c r="V23" s="454">
        <v>4.5274659895564964E-2</v>
      </c>
      <c r="W23" s="454"/>
      <c r="X23" s="454">
        <v>0.17866040552241422</v>
      </c>
      <c r="Y23" s="454"/>
      <c r="Z23" s="454"/>
    </row>
    <row r="24" spans="2:26" x14ac:dyDescent="0.2">
      <c r="B24" s="101" t="str">
        <f>INDEX(surface_parcels, ROW() - ROW(B$10) + 1)</f>
        <v>SE2</v>
      </c>
      <c r="C24" s="109">
        <f>IF(NOT(ISNA(MATCH($B24, water_parcels, 0))), 0, ParcelArea($B24))</f>
        <v>11239629.609998185</v>
      </c>
      <c r="D24" s="111" t="e">
        <f>INDEX( computed_watershed_areas, ROW() - ROW(D$10) + 1)</f>
        <v>#VALUE!</v>
      </c>
      <c r="E24" s="111" t="e">
        <f>INDEX( computed_erosion_areas, ROW() - ROW(E$10) + 1)</f>
        <v>#VALUE!</v>
      </c>
      <c r="F24" s="133">
        <f>IF(NOT(ISNA(MATCH(B24, erosion_parcels, 0))), INDEX(erosion_rates, MATCH(B24, erosion_parcels, 0)), 0)</f>
        <v>2.8985230852808091E-4</v>
      </c>
      <c r="G24" s="354">
        <f xml:space="preserve"> IF(AND(SUM(H24:XFD24)&gt;=0, SUM(H24:XFD24)&lt;=1), 1 - SUM(H24:XFD24), ValueError())</f>
        <v>0.10642078350815487</v>
      </c>
      <c r="H24" s="448"/>
      <c r="I24" s="448"/>
      <c r="J24" s="448"/>
      <c r="K24" s="448"/>
      <c r="L24" s="448"/>
      <c r="M24" s="449"/>
      <c r="N24" s="449"/>
      <c r="O24" s="448"/>
      <c r="P24" s="448"/>
      <c r="Q24" s="448"/>
      <c r="R24" s="448"/>
      <c r="S24" s="449"/>
      <c r="T24" s="454"/>
      <c r="U24" s="454">
        <v>1.2507119235976668E-2</v>
      </c>
      <c r="V24" s="365">
        <f>IF(NOT(ISNA(MATCH($B$24, water_parcels, 0))), 1, 0)</f>
        <v>0</v>
      </c>
      <c r="W24" s="454">
        <v>1.5789072811168873E-2</v>
      </c>
      <c r="X24" s="454"/>
      <c r="Y24" s="454">
        <v>0.86528302444469962</v>
      </c>
      <c r="Z24" s="454"/>
    </row>
    <row r="25" spans="2:26" x14ac:dyDescent="0.2">
      <c r="B25" s="101" t="str">
        <f>INDEX(surface_parcels, ROW() - ROW(B$10) + 1)</f>
        <v>SW1</v>
      </c>
      <c r="C25" s="109">
        <f>IF(NOT(ISNA(MATCH($B25, water_parcels, 0))), 0, ParcelArea($B25))</f>
        <v>10634288.0921451</v>
      </c>
      <c r="D25" s="111" t="e">
        <f>INDEX( computed_watershed_areas, ROW() - ROW(D$10) + 1)</f>
        <v>#VALUE!</v>
      </c>
      <c r="E25" s="111" t="e">
        <f>INDEX( computed_erosion_areas, ROW() - ROW(E$10) + 1)</f>
        <v>#VALUE!</v>
      </c>
      <c r="F25" s="133">
        <f>IF(NOT(ISNA(MATCH(B25, erosion_parcels, 0))), INDEX(erosion_rates, MATCH(B25, erosion_parcels, 0)), 0)</f>
        <v>3.3117509633560579E-4</v>
      </c>
      <c r="G25" s="354">
        <f xml:space="preserve"> IF(AND(SUM(H25:XFD25)&gt;=0, SUM(H25:XFD25)&lt;=1), 1 - SUM(H25:XFD25), ValueError())</f>
        <v>5.2748118357399676E-3</v>
      </c>
      <c r="H25" s="448">
        <v>0.92193161265063983</v>
      </c>
      <c r="I25" s="448"/>
      <c r="J25" s="448">
        <v>1.976647821912975E-2</v>
      </c>
      <c r="K25" s="448"/>
      <c r="L25" s="448"/>
      <c r="M25" s="449"/>
      <c r="N25" s="449"/>
      <c r="O25" s="448"/>
      <c r="P25" s="448"/>
      <c r="Q25" s="448"/>
      <c r="R25" s="448"/>
      <c r="S25" s="449"/>
      <c r="T25" s="454"/>
      <c r="U25" s="454"/>
      <c r="V25" s="454">
        <v>5.30270972944904E-2</v>
      </c>
      <c r="W25" s="365">
        <f>IF(NOT(ISNA(MATCH($B$25, water_parcels, 0))), 1, 0)</f>
        <v>0</v>
      </c>
      <c r="X25" s="454"/>
      <c r="Y25" s="454"/>
      <c r="Z25" s="454"/>
    </row>
    <row r="26" spans="2:26" x14ac:dyDescent="0.2">
      <c r="B26" s="101" t="str">
        <f>INDEX(surface_parcels, ROW() - ROW(B$10) + 1)</f>
        <v>SW2</v>
      </c>
      <c r="C26" s="109">
        <f>IF(NOT(ISNA(MATCH($B26, water_parcels, 0))), 0, ParcelArea($B26))</f>
        <v>30825008.327948619</v>
      </c>
      <c r="D26" s="111" t="e">
        <f>INDEX( computed_watershed_areas, ROW() - ROW(D$10) + 1)</f>
        <v>#VALUE!</v>
      </c>
      <c r="E26" s="111" t="e">
        <f>INDEX( computed_erosion_areas, ROW() - ROW(E$10) + 1)</f>
        <v>#VALUE!</v>
      </c>
      <c r="F26" s="133">
        <f>IF(NOT(ISNA(MATCH(B26, erosion_parcels, 0))), INDEX(erosion_rates, MATCH(B26, erosion_parcels, 0)), 0)</f>
        <v>2.9217122254441019E-5</v>
      </c>
      <c r="G26" s="354">
        <f xml:space="preserve"> IF(AND(SUM(H26:XFD26)&gt;=0, SUM(H26:XFD26)&lt;=1), 1 - SUM(H26:XFD26), ValueError())</f>
        <v>0</v>
      </c>
      <c r="H26" s="448"/>
      <c r="I26" s="448"/>
      <c r="J26" s="448"/>
      <c r="K26" s="448"/>
      <c r="L26" s="448">
        <v>0.44196561544074425</v>
      </c>
      <c r="M26" s="449"/>
      <c r="N26" s="449"/>
      <c r="O26" s="448"/>
      <c r="P26" s="448"/>
      <c r="Q26" s="448"/>
      <c r="R26" s="448"/>
      <c r="S26" s="449"/>
      <c r="T26" s="454">
        <v>0.18993142945397296</v>
      </c>
      <c r="U26" s="454">
        <v>7.1233938874346167E-4</v>
      </c>
      <c r="V26" s="454"/>
      <c r="W26" s="454"/>
      <c r="X26" s="365">
        <f>IF(NOT(ISNA(MATCH($B$26, water_parcels, 0))), 1, 0)</f>
        <v>0</v>
      </c>
      <c r="Y26" s="454">
        <v>0.10839220902433143</v>
      </c>
      <c r="Z26" s="454">
        <v>0.25899840669220792</v>
      </c>
    </row>
    <row r="27" spans="2:26" x14ac:dyDescent="0.2">
      <c r="B27" s="101" t="str">
        <f>INDEX(surface_parcels, ROW() - ROW(B$10) + 1)</f>
        <v>W1</v>
      </c>
      <c r="C27" s="109">
        <f>IF(NOT(ISNA(MATCH($B27, water_parcels, 0))), 0, ParcelArea($B27))</f>
        <v>16662585.706417479</v>
      </c>
      <c r="D27" s="111" t="e">
        <f>INDEX( computed_watershed_areas, ROW() - ROW(D$10) + 1)</f>
        <v>#VALUE!</v>
      </c>
      <c r="E27" s="111" t="e">
        <f>INDEX( computed_erosion_areas, ROW() - ROW(E$10) + 1)</f>
        <v>#VALUE!</v>
      </c>
      <c r="F27" s="133">
        <f>IF(NOT(ISNA(MATCH(B27, erosion_parcels, 0))), INDEX(erosion_rates, MATCH(B27, erosion_parcels, 0)), 0)</f>
        <v>1.3828149169281125E-4</v>
      </c>
      <c r="G27" s="354">
        <f xml:space="preserve"> IF(AND(SUM(H27:XFD27)&gt;=0, SUM(H27:XFD27)&lt;=1), 1 - SUM(H27:XFD27), ValueError())</f>
        <v>0.94350799886741699</v>
      </c>
      <c r="H27" s="448"/>
      <c r="I27" s="448"/>
      <c r="J27" s="448"/>
      <c r="K27" s="448"/>
      <c r="L27" s="448"/>
      <c r="M27" s="449"/>
      <c r="N27" s="449"/>
      <c r="O27" s="448"/>
      <c r="P27" s="448"/>
      <c r="Q27" s="448"/>
      <c r="R27" s="448"/>
      <c r="S27" s="449"/>
      <c r="T27" s="454"/>
      <c r="U27" s="454"/>
      <c r="V27" s="454">
        <v>3.1789746584554399E-2</v>
      </c>
      <c r="W27" s="454"/>
      <c r="X27" s="454">
        <v>9.7419834359736672E-4</v>
      </c>
      <c r="Y27" s="365">
        <f>IF(NOT(ISNA(MATCH($B$27, water_parcels, 0))), 1, 0)</f>
        <v>0</v>
      </c>
      <c r="Z27" s="454">
        <v>2.372805620443123E-2</v>
      </c>
    </row>
    <row r="28" spans="2:26" x14ac:dyDescent="0.2">
      <c r="B28" s="101" t="e">
        <f>INDEX(surface_parcels, ROW() - ROW(B$10) + 1)</f>
        <v>#REF!</v>
      </c>
      <c r="C28" s="109">
        <f>IF(NOT(ISNA(MATCH($B28, water_parcels, 0))), 0, ParcelArea($B28))</f>
        <v>0</v>
      </c>
      <c r="D28" s="111" t="e">
        <f>INDEX( computed_watershed_areas, ROW() - ROW(D$10) + 1)</f>
        <v>#VALUE!</v>
      </c>
      <c r="E28" s="111" t="e">
        <f>INDEX( computed_erosion_areas, ROW() - ROW(E$10) + 1)</f>
        <v>#VALUE!</v>
      </c>
      <c r="F28" s="133" t="e">
        <f>IF(NOT(ISNA(MATCH(B28, erosion_parcels, 0))), INDEX(erosion_rates, MATCH(B28, erosion_parcels, 0)), 0)</f>
        <v>#REF!</v>
      </c>
      <c r="G28" s="354" t="e">
        <f xml:space="preserve"> IF(AND(SUM(H28:XFD28)&gt;=0, SUM(H28:XFD28)&lt;=1), 1 - SUM(H28:XFD28), ValueError())</f>
        <v>#VALUE!</v>
      </c>
      <c r="H28" s="448"/>
      <c r="I28" s="448"/>
      <c r="J28" s="448"/>
      <c r="K28" s="448"/>
      <c r="L28" s="448"/>
      <c r="M28" s="449"/>
      <c r="N28" s="449"/>
      <c r="O28" s="448"/>
      <c r="P28" s="448"/>
      <c r="Q28" s="448"/>
      <c r="R28" s="448">
        <v>0.85259744949893668</v>
      </c>
      <c r="S28" s="449"/>
      <c r="T28" s="454"/>
      <c r="U28" s="454"/>
      <c r="V28" s="454"/>
      <c r="W28" s="454"/>
      <c r="X28" s="454">
        <v>7.0055632636469606E-2</v>
      </c>
      <c r="Y28" s="454">
        <v>4.4677441570614145E-2</v>
      </c>
      <c r="Z28" s="365">
        <f>IF(NOT(ISNA(MATCH($B$28, water_parcels, 0))), 1, 0)</f>
        <v>1</v>
      </c>
    </row>
    <row r="29" spans="2:26" ht="13.15" customHeight="1" x14ac:dyDescent="0.2"/>
    <row r="30" spans="2:26" ht="13.15" customHeight="1" x14ac:dyDescent="0.2"/>
    <row r="31" spans="2:26" ht="13.15" customHeight="1" x14ac:dyDescent="0.2"/>
  </sheetData>
  <mergeCells count="6">
    <mergeCell ref="N2:P2"/>
    <mergeCell ref="A10:A16"/>
    <mergeCell ref="J2:M2"/>
    <mergeCell ref="F2:I2"/>
    <mergeCell ref="B2:E2"/>
    <mergeCell ref="B4:G4"/>
  </mergeCells>
  <conditionalFormatting sqref="H9:XFD9 B10:B1048576">
    <cfRule type="expression" dxfId="0" priority="121">
      <formula>NOT(ISNA(MATCH(B9, water_parcels, 0)))</formula>
    </cfRule>
  </conditionalFormatting>
  <dataValidations xWindow="303" yWindow="802" count="5">
    <dataValidation allowBlank="1" showInputMessage="1" promptTitle="Receiving sink" prompt="Any erosion/runoff not accounted for explicitly will be sent to a Sink." sqref="G9:G1048576" xr:uid="{00000000-0002-0000-0900-000000000000}"/>
    <dataValidation allowBlank="1" showInputMessage="1" errorTitle="Invalid surface parcel" error="Please select a surface parcel matching a name on the Layout sheet." promptTitle="Sending parcel" prompt="The surface parce which will send mass by erosion/runoff." sqref="B10:B1048576" xr:uid="{00000000-0002-0000-0900-000001000000}"/>
    <dataValidation allowBlank="1" sqref="N2" xr:uid="{00000000-0002-0000-0900-000002000000}"/>
    <dataValidation allowBlank="1" showInputMessage="1" errorTitle="Invalid surface parcel" error="Please select a surface parcel matching a name on the Layout sheet." promptTitle="Receiving parcel" prompt="The surface parcel that will receive mass by erosion/runoff." sqref="H9:XFD9" xr:uid="{00000000-0002-0000-0900-000003000000}"/>
    <dataValidation type="decimal" allowBlank="1" showInputMessage="1" showErrorMessage="1" errorTitle="Invalid fraction" error="Enter a number between zero and one." promptTitle="Erosion/runoff fraction" prompt="Enter the fraction of erosion/runoff from Sending parcel that will transfer to Receiving parcel. These must total to 1 for each row._x000a__x000a_Avoid runoff loops (e.g. A -&gt; B -&gt; A-&gt; ...), and ensure that only lakes are connected to themselves (at 100%)." sqref="H10:XFD1048576" xr:uid="{00000000-0002-0000-0900-000004000000}">
      <formula1>0</formula1>
      <formula2>1</formula2>
    </dataValidation>
  </dataValidation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3251" r:id="rId4" name="Button 3">
              <controlPr defaultSize="0" print="0" autoFill="0" autoPict="0" macro="[0]!FormatRunoffMatrix">
                <anchor moveWithCells="1" sizeWithCells="1">
                  <from>
                    <xdr:col>3</xdr:col>
                    <xdr:colOff>95250</xdr:colOff>
                    <xdr:row>5</xdr:row>
                    <xdr:rowOff>38100</xdr:rowOff>
                  </from>
                  <to>
                    <xdr:col>4</xdr:col>
                    <xdr:colOff>438150</xdr:colOff>
                    <xdr:row>7</xdr:row>
                    <xdr:rowOff>19050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2">
    <tabColor indexed="43"/>
  </sheetPr>
  <dimension ref="A1:N63"/>
  <sheetViews>
    <sheetView zoomScale="90" zoomScaleNormal="90" workbookViewId="0">
      <selection activeCell="I20" sqref="I20"/>
    </sheetView>
  </sheetViews>
  <sheetFormatPr defaultColWidth="9.28515625" defaultRowHeight="12.75" x14ac:dyDescent="0.2"/>
  <cols>
    <col min="1" max="1" width="9.28515625" style="90"/>
    <col min="2" max="2" width="12.28515625" style="90" customWidth="1"/>
    <col min="3" max="3" width="13.7109375" style="102" customWidth="1"/>
    <col min="4" max="4" width="11.7109375" style="107" customWidth="1"/>
    <col min="5" max="5" width="9.28515625" style="107" bestFit="1" customWidth="1"/>
    <col min="6" max="6" width="9.7109375" style="107" bestFit="1" customWidth="1"/>
    <col min="7" max="7" width="2.28515625" style="102" customWidth="1"/>
    <col min="8" max="8" width="27.7109375" style="107" customWidth="1"/>
    <col min="9" max="9" width="30.7109375" style="228" customWidth="1"/>
    <col min="10" max="10" width="29.42578125" style="137" customWidth="1"/>
    <col min="11" max="11" width="13" style="479" bestFit="1" customWidth="1"/>
    <col min="12" max="12" width="13.7109375" style="140" customWidth="1"/>
    <col min="13" max="14" width="14.5703125" style="90" bestFit="1" customWidth="1"/>
    <col min="15" max="15" width="12.85546875" style="90" bestFit="1" customWidth="1"/>
    <col min="16" max="17" width="14.5703125" style="90" bestFit="1" customWidth="1"/>
    <col min="18" max="16384" width="9.28515625" style="90"/>
  </cols>
  <sheetData>
    <row r="1" spans="1:13" ht="13.5" thickBot="1" x14ac:dyDescent="0.25">
      <c r="B1" s="117"/>
      <c r="C1" s="117"/>
      <c r="D1" s="117"/>
      <c r="E1" s="117"/>
      <c r="F1" s="117"/>
      <c r="G1" s="90"/>
      <c r="H1" s="90"/>
      <c r="I1" s="227"/>
      <c r="J1" s="136"/>
      <c r="K1" s="140"/>
    </row>
    <row r="2" spans="1:13" ht="13.15" customHeight="1" x14ac:dyDescent="0.2">
      <c r="B2" s="537" t="s">
        <v>684</v>
      </c>
      <c r="C2" s="538"/>
      <c r="D2" s="539"/>
      <c r="E2" s="90"/>
      <c r="F2" s="90"/>
      <c r="G2" s="90"/>
      <c r="H2" s="571" t="str">
        <f>IF(COUNTA(lake_names) &lt; COUNTA(water_parcels), "WARNING: insert columns to account for all water parcels!", "Columns OK")</f>
        <v>Columns OK</v>
      </c>
      <c r="I2" s="571"/>
      <c r="J2" s="571"/>
      <c r="K2" s="571"/>
    </row>
    <row r="3" spans="1:13" x14ac:dyDescent="0.2">
      <c r="B3" s="540"/>
      <c r="C3" s="541"/>
      <c r="D3" s="542"/>
      <c r="E3" s="131"/>
      <c r="F3" s="131"/>
      <c r="G3" s="90"/>
      <c r="H3" s="90"/>
      <c r="I3" s="227"/>
      <c r="J3" s="136"/>
      <c r="K3" s="140"/>
    </row>
    <row r="4" spans="1:13" ht="12.75" customHeight="1" thickBot="1" x14ac:dyDescent="0.3">
      <c r="B4" s="543" t="s">
        <v>685</v>
      </c>
      <c r="C4" s="544"/>
      <c r="D4" s="545"/>
      <c r="H4" s="17" t="s">
        <v>275</v>
      </c>
      <c r="M4" s="473" t="s">
        <v>915</v>
      </c>
    </row>
    <row r="5" spans="1:13" x14ac:dyDescent="0.2">
      <c r="B5" s="518" t="s">
        <v>232</v>
      </c>
      <c r="C5" s="519"/>
      <c r="D5" s="520"/>
      <c r="H5" s="94" t="s">
        <v>337</v>
      </c>
      <c r="M5" s="473" t="s">
        <v>916</v>
      </c>
    </row>
    <row r="6" spans="1:13" ht="13.5" thickBot="1" x14ac:dyDescent="0.25">
      <c r="B6" s="521"/>
      <c r="C6" s="522"/>
      <c r="D6" s="523"/>
      <c r="H6" s="90"/>
      <c r="I6" s="229" t="s">
        <v>295</v>
      </c>
      <c r="J6" s="135"/>
      <c r="K6" s="101" t="str">
        <f>INDEX(water_parcels, COLUMN() - COLUMN($K6) + 1)</f>
        <v>E3</v>
      </c>
      <c r="L6" s="101" t="str">
        <f>INDEX(water_parcels, COLUMN() - COLUMN($K6) + 1)</f>
        <v>LakeCadillac</v>
      </c>
      <c r="M6" s="140"/>
    </row>
    <row r="7" spans="1:13" ht="12.75" customHeight="1" x14ac:dyDescent="0.2">
      <c r="B7" s="524" t="s">
        <v>233</v>
      </c>
      <c r="C7" s="525"/>
      <c r="D7" s="526"/>
      <c r="H7" s="90"/>
      <c r="I7" s="227"/>
      <c r="J7" s="136"/>
      <c r="K7" s="480" t="s">
        <v>338</v>
      </c>
      <c r="L7" s="480" t="s">
        <v>338</v>
      </c>
      <c r="M7" s="140"/>
    </row>
    <row r="8" spans="1:13" s="107" customFormat="1" ht="13.5" thickBot="1" x14ac:dyDescent="0.25">
      <c r="A8" s="90"/>
      <c r="B8" s="527"/>
      <c r="C8" s="528"/>
      <c r="D8" s="529"/>
      <c r="G8" s="102"/>
      <c r="H8" s="90"/>
      <c r="I8" s="231" t="s">
        <v>480</v>
      </c>
      <c r="J8" s="136"/>
      <c r="K8" s="480" t="s">
        <v>338</v>
      </c>
      <c r="L8" s="480" t="s">
        <v>338</v>
      </c>
      <c r="M8" s="474"/>
    </row>
    <row r="9" spans="1:13" s="107" customFormat="1" ht="26.25" x14ac:dyDescent="0.2">
      <c r="A9" s="90"/>
      <c r="B9" s="90"/>
      <c r="C9" s="90"/>
      <c r="G9" s="102"/>
      <c r="H9" s="90"/>
      <c r="I9" s="229" t="s">
        <v>474</v>
      </c>
      <c r="J9" s="135" t="s">
        <v>713</v>
      </c>
      <c r="K9" s="338">
        <v>1.2397496421919405E-2</v>
      </c>
      <c r="L9" s="338">
        <v>1.0853594099097722E-2</v>
      </c>
      <c r="M9" s="475" t="s">
        <v>917</v>
      </c>
    </row>
    <row r="10" spans="1:13" s="107" customFormat="1" ht="26.25" x14ac:dyDescent="0.2">
      <c r="A10" s="90"/>
      <c r="B10" s="110" t="s">
        <v>310</v>
      </c>
      <c r="C10" s="134">
        <f>365 * 24 * 3600</f>
        <v>31536000</v>
      </c>
      <c r="G10" s="102"/>
      <c r="H10" s="90"/>
      <c r="I10" s="229" t="s">
        <v>475</v>
      </c>
      <c r="J10" s="135" t="s">
        <v>838</v>
      </c>
      <c r="K10" s="338">
        <v>7</v>
      </c>
      <c r="L10" s="338">
        <v>7</v>
      </c>
      <c r="M10" s="475" t="s">
        <v>917</v>
      </c>
    </row>
    <row r="11" spans="1:13" s="107" customFormat="1" ht="26.25" x14ac:dyDescent="0.2">
      <c r="A11" s="90"/>
      <c r="B11" s="94"/>
      <c r="C11" s="102"/>
      <c r="G11" s="102"/>
      <c r="H11" s="90"/>
      <c r="I11" s="229" t="s">
        <v>476</v>
      </c>
      <c r="J11" s="336"/>
      <c r="K11" s="338">
        <v>3.0000000000000001E-3</v>
      </c>
      <c r="L11" s="338">
        <v>3.0000000000000001E-3</v>
      </c>
      <c r="M11" s="475" t="s">
        <v>917</v>
      </c>
    </row>
    <row r="12" spans="1:13" s="107" customFormat="1" ht="26.25" x14ac:dyDescent="0.2">
      <c r="A12" s="90"/>
      <c r="B12" s="94"/>
      <c r="C12" s="102"/>
      <c r="G12" s="102"/>
      <c r="H12" s="90"/>
      <c r="I12" s="229" t="s">
        <v>297</v>
      </c>
      <c r="J12" s="135" t="s">
        <v>107</v>
      </c>
      <c r="K12" s="106">
        <v>0.7</v>
      </c>
      <c r="L12" s="106">
        <v>0.7</v>
      </c>
      <c r="M12" s="475"/>
    </row>
    <row r="13" spans="1:13" s="107" customFormat="1" ht="27" x14ac:dyDescent="0.2">
      <c r="A13" s="90"/>
      <c r="B13" s="90"/>
      <c r="C13" s="102"/>
      <c r="G13" s="102"/>
      <c r="H13" s="241"/>
      <c r="I13" s="270" t="s">
        <v>629</v>
      </c>
      <c r="J13" s="135"/>
      <c r="K13" s="463">
        <f>L37</f>
        <v>25964580.014830377</v>
      </c>
      <c r="L13" s="106">
        <v>0</v>
      </c>
      <c r="M13" s="475"/>
    </row>
    <row r="14" spans="1:13" s="107" customFormat="1" ht="43.15" customHeight="1" x14ac:dyDescent="0.2">
      <c r="A14" s="90"/>
      <c r="B14" s="90"/>
      <c r="C14" s="102"/>
      <c r="G14" s="102"/>
      <c r="H14" s="90"/>
      <c r="I14" s="229" t="s">
        <v>477</v>
      </c>
      <c r="J14" s="135" t="s">
        <v>187</v>
      </c>
      <c r="K14" s="106">
        <v>0.02</v>
      </c>
      <c r="L14" s="106">
        <v>0.02</v>
      </c>
      <c r="M14" s="475" t="s">
        <v>917</v>
      </c>
    </row>
    <row r="15" spans="1:13" s="107" customFormat="1" ht="26.25" x14ac:dyDescent="0.2">
      <c r="A15" s="90"/>
      <c r="B15" s="90"/>
      <c r="C15" s="102"/>
      <c r="G15" s="102"/>
      <c r="H15" s="90"/>
      <c r="I15" s="229" t="s">
        <v>478</v>
      </c>
      <c r="J15" s="135"/>
      <c r="K15" s="338">
        <v>8.5</v>
      </c>
      <c r="L15" s="338">
        <v>8.5</v>
      </c>
      <c r="M15" s="475" t="s">
        <v>917</v>
      </c>
    </row>
    <row r="16" spans="1:13" s="107" customFormat="1" ht="26.25" x14ac:dyDescent="0.2">
      <c r="A16" s="90"/>
      <c r="B16" s="90"/>
      <c r="C16" s="102"/>
      <c r="G16" s="102"/>
      <c r="H16" s="90"/>
      <c r="I16" s="229" t="s">
        <v>323</v>
      </c>
      <c r="J16" s="19" t="s">
        <v>11</v>
      </c>
      <c r="K16" s="106">
        <v>0.05</v>
      </c>
      <c r="L16" s="106">
        <v>0.05</v>
      </c>
      <c r="M16" s="475" t="s">
        <v>917</v>
      </c>
    </row>
    <row r="17" spans="1:14" s="107" customFormat="1" ht="26.25" x14ac:dyDescent="0.2">
      <c r="A17" s="90"/>
      <c r="B17" s="90"/>
      <c r="C17" s="102"/>
      <c r="G17" s="102"/>
      <c r="H17" s="90"/>
      <c r="I17" s="229" t="s">
        <v>479</v>
      </c>
      <c r="J17" s="355"/>
      <c r="K17" s="338">
        <v>286.14999999999998</v>
      </c>
      <c r="L17" s="338">
        <v>286.14999999999998</v>
      </c>
      <c r="M17" s="475" t="s">
        <v>917</v>
      </c>
    </row>
    <row r="18" spans="1:14" s="107" customFormat="1" ht="26.25" x14ac:dyDescent="0.2">
      <c r="A18" s="90"/>
      <c r="B18" s="90"/>
      <c r="C18" s="102"/>
      <c r="G18" s="102"/>
      <c r="H18" s="573" t="s">
        <v>311</v>
      </c>
      <c r="I18" s="229" t="s">
        <v>277</v>
      </c>
      <c r="J18" s="135" t="s">
        <v>847</v>
      </c>
      <c r="K18" s="338">
        <f>0.48*365.25</f>
        <v>175.32</v>
      </c>
      <c r="L18" s="338">
        <f>1.06*365.25</f>
        <v>387.16500000000002</v>
      </c>
      <c r="M18" s="475" t="s">
        <v>918</v>
      </c>
      <c r="N18" s="577" t="s">
        <v>919</v>
      </c>
    </row>
    <row r="19" spans="1:14" s="107" customFormat="1" ht="26.25" x14ac:dyDescent="0.2">
      <c r="A19" s="90"/>
      <c r="B19" s="90"/>
      <c r="C19" s="102"/>
      <c r="G19" s="102"/>
      <c r="H19" s="574"/>
      <c r="I19" s="229" t="s">
        <v>298</v>
      </c>
      <c r="J19" s="336"/>
      <c r="K19" s="338">
        <v>3.6</v>
      </c>
      <c r="L19" s="338">
        <v>2.59</v>
      </c>
      <c r="M19" s="475"/>
      <c r="N19" s="578"/>
    </row>
    <row r="20" spans="1:14" s="107" customFormat="1" ht="26.25" x14ac:dyDescent="0.2">
      <c r="A20" s="90"/>
      <c r="B20" s="90"/>
      <c r="C20" s="102"/>
      <c r="G20" s="102"/>
      <c r="H20" s="90"/>
      <c r="I20" s="227"/>
      <c r="J20" s="136"/>
      <c r="K20" s="480" t="s">
        <v>338</v>
      </c>
      <c r="L20" s="480" t="s">
        <v>338</v>
      </c>
      <c r="M20" s="475"/>
    </row>
    <row r="21" spans="1:14" s="107" customFormat="1" ht="26.25" x14ac:dyDescent="0.2">
      <c r="A21" s="90"/>
      <c r="B21" s="90"/>
      <c r="C21" s="102"/>
      <c r="G21" s="102"/>
      <c r="H21" s="90"/>
      <c r="I21" s="231" t="s">
        <v>481</v>
      </c>
      <c r="J21" s="136"/>
      <c r="K21" s="480" t="s">
        <v>338</v>
      </c>
      <c r="L21" s="480" t="s">
        <v>338</v>
      </c>
      <c r="M21" s="475"/>
    </row>
    <row r="22" spans="1:14" s="107" customFormat="1" ht="26.25" x14ac:dyDescent="0.2">
      <c r="A22" s="90"/>
      <c r="B22" s="90"/>
      <c r="C22" s="102"/>
      <c r="G22" s="102"/>
      <c r="H22" s="90"/>
      <c r="I22" s="229" t="s">
        <v>276</v>
      </c>
      <c r="J22" s="135"/>
      <c r="K22" s="106">
        <v>0.05</v>
      </c>
      <c r="L22" s="106">
        <v>0.05</v>
      </c>
      <c r="M22" s="475"/>
    </row>
    <row r="23" spans="1:14" s="107" customFormat="1" ht="38.25" x14ac:dyDescent="0.2">
      <c r="A23" s="90"/>
      <c r="B23" s="90"/>
      <c r="C23" s="102"/>
      <c r="G23" s="102"/>
      <c r="H23" s="90"/>
      <c r="I23" s="229" t="s">
        <v>324</v>
      </c>
      <c r="J23" s="19" t="s">
        <v>10</v>
      </c>
      <c r="K23" s="106">
        <v>2600</v>
      </c>
      <c r="L23" s="106">
        <v>2600</v>
      </c>
      <c r="M23" s="475" t="s">
        <v>917</v>
      </c>
    </row>
    <row r="24" spans="1:14" s="107" customFormat="1" ht="38.25" x14ac:dyDescent="0.2">
      <c r="A24" s="90"/>
      <c r="B24" s="90"/>
      <c r="C24" s="102"/>
      <c r="G24" s="102"/>
      <c r="H24" s="90"/>
      <c r="I24" s="229" t="s">
        <v>325</v>
      </c>
      <c r="J24" s="19" t="s">
        <v>9</v>
      </c>
      <c r="K24" s="106">
        <v>0.6</v>
      </c>
      <c r="L24" s="106">
        <v>0.6</v>
      </c>
      <c r="M24" s="475" t="s">
        <v>918</v>
      </c>
    </row>
    <row r="25" spans="1:14" ht="26.25" x14ac:dyDescent="0.2">
      <c r="H25" s="90"/>
      <c r="I25" s="229" t="s">
        <v>482</v>
      </c>
      <c r="J25" s="135"/>
      <c r="K25" s="106">
        <v>2</v>
      </c>
      <c r="L25" s="106">
        <v>2</v>
      </c>
      <c r="M25" s="476" t="s">
        <v>918</v>
      </c>
    </row>
    <row r="26" spans="1:14" ht="26.25" x14ac:dyDescent="0.2">
      <c r="H26" s="241"/>
      <c r="I26" s="275" t="s">
        <v>632</v>
      </c>
      <c r="J26" s="135"/>
      <c r="K26" s="463">
        <f>L52</f>
        <v>1298229.000741519</v>
      </c>
      <c r="L26" s="106">
        <v>0</v>
      </c>
      <c r="M26" s="476" t="s">
        <v>918</v>
      </c>
    </row>
    <row r="27" spans="1:14" ht="26.25" x14ac:dyDescent="0.2">
      <c r="H27" s="90"/>
      <c r="I27" s="230" t="s">
        <v>478</v>
      </c>
      <c r="J27" s="135" t="s">
        <v>187</v>
      </c>
      <c r="K27" s="106">
        <v>7.3</v>
      </c>
      <c r="L27" s="106">
        <v>7.3</v>
      </c>
      <c r="M27" s="476" t="s">
        <v>917</v>
      </c>
    </row>
    <row r="28" spans="1:14" ht="26.25" x14ac:dyDescent="0.2">
      <c r="H28" s="90"/>
      <c r="I28" s="229" t="s">
        <v>483</v>
      </c>
      <c r="J28" s="135" t="s">
        <v>205</v>
      </c>
      <c r="K28" s="106">
        <v>0.02</v>
      </c>
      <c r="L28" s="106">
        <v>0.02</v>
      </c>
      <c r="M28" s="476"/>
    </row>
    <row r="29" spans="1:14" ht="26.25" x14ac:dyDescent="0.2">
      <c r="H29" s="90"/>
      <c r="I29" s="227"/>
      <c r="J29" s="136"/>
      <c r="K29" s="480" t="s">
        <v>338</v>
      </c>
      <c r="L29" s="480" t="s">
        <v>338</v>
      </c>
      <c r="M29" s="476"/>
    </row>
    <row r="30" spans="1:14" ht="26.25" x14ac:dyDescent="0.2">
      <c r="H30" s="90"/>
      <c r="I30" s="229" t="s">
        <v>339</v>
      </c>
      <c r="J30" s="135" t="s">
        <v>340</v>
      </c>
      <c r="K30" s="105" t="e">
        <f>INDEX(runoff_watershed_areas, MATCH(K6, watershed_receiving_parcels, 0))</f>
        <v>#VALUE!</v>
      </c>
      <c r="L30" s="105" t="e">
        <f>INDEX(runoff_watershed_areas, MATCH(L6, watershed_receiving_parcels, 0))</f>
        <v>#VALUE!</v>
      </c>
      <c r="M30" s="476"/>
    </row>
    <row r="31" spans="1:14" ht="12.75" customHeight="1" x14ac:dyDescent="0.2">
      <c r="H31" s="90"/>
      <c r="I31" s="229" t="s">
        <v>312</v>
      </c>
      <c r="J31" s="135"/>
      <c r="K31" s="114" t="e">
        <f>K30/K40</f>
        <v>#VALUE!</v>
      </c>
      <c r="L31" s="114" t="e">
        <f>L30/L40</f>
        <v>#VALUE!</v>
      </c>
      <c r="M31" s="476"/>
    </row>
    <row r="32" spans="1:14" ht="26.25" x14ac:dyDescent="0.2">
      <c r="H32" s="554" t="s">
        <v>302</v>
      </c>
      <c r="I32" s="229" t="s">
        <v>299</v>
      </c>
      <c r="J32" s="135"/>
      <c r="K32" s="105" t="e">
        <f>precipitation_rate * precip_fraction_runoff * K30</f>
        <v>#VALUE!</v>
      </c>
      <c r="L32" s="105" t="e">
        <f>precipitation_rate * precip_fraction_runoff * L30</f>
        <v>#VALUE!</v>
      </c>
      <c r="M32" s="476"/>
    </row>
    <row r="33" spans="3:14" ht="26.25" x14ac:dyDescent="0.2">
      <c r="H33" s="572"/>
      <c r="I33" s="229" t="s">
        <v>300</v>
      </c>
      <c r="J33" s="135"/>
      <c r="K33" s="105">
        <f>precipitation_rate * K40</f>
        <v>4128611.1573574548</v>
      </c>
      <c r="L33" s="105">
        <f>precipitation_rate * L40</f>
        <v>3774147.1043501357</v>
      </c>
      <c r="M33" s="476"/>
    </row>
    <row r="34" spans="3:14" ht="26.25" x14ac:dyDescent="0.2">
      <c r="H34" s="572"/>
      <c r="I34" s="229" t="s">
        <v>306</v>
      </c>
      <c r="J34" s="135"/>
      <c r="K34" s="105" t="e">
        <f>precipitation_rate * precip_fraction_seepage * K30</f>
        <v>#VALUE!</v>
      </c>
      <c r="L34" s="105" t="e">
        <f>precipitation_rate * precip_fraction_seepage * L30</f>
        <v>#VALUE!</v>
      </c>
      <c r="M34" s="476"/>
    </row>
    <row r="35" spans="3:14" ht="26.25" x14ac:dyDescent="0.2">
      <c r="H35" s="555"/>
      <c r="I35" s="270" t="s">
        <v>628</v>
      </c>
      <c r="J35" s="135"/>
      <c r="K35" s="105">
        <f>K13</f>
        <v>25964580.014830377</v>
      </c>
      <c r="L35" s="105">
        <f>L13</f>
        <v>0</v>
      </c>
      <c r="M35" s="476"/>
    </row>
    <row r="36" spans="3:14" ht="26.25" x14ac:dyDescent="0.2">
      <c r="H36" s="513" t="s">
        <v>303</v>
      </c>
      <c r="I36" s="229" t="s">
        <v>301</v>
      </c>
      <c r="J36" s="135"/>
      <c r="K36" s="105">
        <f>K12* K40</f>
        <v>3686259.9619262982</v>
      </c>
      <c r="L36" s="105">
        <f>L12* L40</f>
        <v>3369774.200312621</v>
      </c>
      <c r="M36" s="476"/>
    </row>
    <row r="37" spans="3:14" ht="26.25" x14ac:dyDescent="0.2">
      <c r="H37" s="513"/>
      <c r="I37" s="261" t="s">
        <v>627</v>
      </c>
      <c r="J37" s="135"/>
      <c r="K37" s="105">
        <v>36046956.017058402</v>
      </c>
      <c r="L37" s="105">
        <v>25964580.014830377</v>
      </c>
      <c r="M37" s="476"/>
      <c r="N37" s="477" t="s">
        <v>921</v>
      </c>
    </row>
    <row r="38" spans="3:14" ht="26.25" x14ac:dyDescent="0.2">
      <c r="H38" s="90"/>
      <c r="I38" s="229" t="s">
        <v>307</v>
      </c>
      <c r="J38" s="135"/>
      <c r="K38" s="112">
        <f>K37 / seconds_per_yr</f>
        <v>1.1430414769488331</v>
      </c>
      <c r="L38" s="112">
        <f>L37 / seconds_per_yr</f>
        <v>0.82333143121608243</v>
      </c>
      <c r="M38" s="476"/>
    </row>
    <row r="39" spans="3:14" ht="26.25" x14ac:dyDescent="0.2">
      <c r="H39" s="90"/>
      <c r="I39" s="227"/>
      <c r="J39" s="136"/>
      <c r="K39" s="480" t="s">
        <v>338</v>
      </c>
      <c r="L39" s="480" t="s">
        <v>338</v>
      </c>
      <c r="M39" s="476"/>
    </row>
    <row r="40" spans="3:14" ht="26.25" x14ac:dyDescent="0.2">
      <c r="H40" s="90"/>
      <c r="I40" s="229" t="s">
        <v>271</v>
      </c>
      <c r="J40" s="135"/>
      <c r="K40" s="105">
        <f>ParcelArea(K6)</f>
        <v>5266085.6598947123</v>
      </c>
      <c r="L40" s="105">
        <f>ParcelArea(L6)</f>
        <v>4813963.1433037445</v>
      </c>
      <c r="M40" s="476" t="s">
        <v>918</v>
      </c>
    </row>
    <row r="41" spans="3:14" ht="26.25" x14ac:dyDescent="0.2">
      <c r="H41" s="90"/>
      <c r="I41" s="229" t="s">
        <v>305</v>
      </c>
      <c r="J41" s="135"/>
      <c r="K41" s="105">
        <f>K40 * K42</f>
        <v>18957908.375620965</v>
      </c>
      <c r="L41" s="105">
        <f>L40 * L42</f>
        <v>12468164.541156698</v>
      </c>
      <c r="M41" s="476"/>
      <c r="N41" s="478" t="s">
        <v>922</v>
      </c>
    </row>
    <row r="42" spans="3:14" ht="26.25" x14ac:dyDescent="0.2">
      <c r="H42" s="90"/>
      <c r="I42" s="229" t="s">
        <v>304</v>
      </c>
      <c r="J42" s="135"/>
      <c r="K42" s="113">
        <v>3.6</v>
      </c>
      <c r="L42" s="113">
        <v>2.59</v>
      </c>
      <c r="M42" s="476"/>
      <c r="N42" s="577" t="s">
        <v>920</v>
      </c>
    </row>
    <row r="43" spans="3:14" ht="26.25" x14ac:dyDescent="0.2">
      <c r="C43" s="90"/>
      <c r="D43" s="90"/>
      <c r="E43" s="90"/>
      <c r="F43" s="90"/>
      <c r="G43" s="90"/>
      <c r="H43" s="90"/>
      <c r="I43" s="229" t="s">
        <v>846</v>
      </c>
      <c r="J43" s="135"/>
      <c r="K43" s="464">
        <v>2.08</v>
      </c>
      <c r="L43" s="464">
        <v>0.94</v>
      </c>
      <c r="M43" s="476" t="s">
        <v>917</v>
      </c>
      <c r="N43" s="578"/>
    </row>
    <row r="44" spans="3:14" ht="26.25" x14ac:dyDescent="0.2">
      <c r="C44" s="90"/>
      <c r="D44" s="90"/>
      <c r="E44" s="90"/>
      <c r="F44" s="90"/>
      <c r="G44" s="90"/>
      <c r="H44" s="90"/>
      <c r="I44" s="227"/>
      <c r="J44" s="136"/>
      <c r="K44" s="480" t="s">
        <v>338</v>
      </c>
      <c r="L44" s="480" t="s">
        <v>338</v>
      </c>
      <c r="M44" s="476"/>
    </row>
    <row r="45" spans="3:14" ht="38.25" x14ac:dyDescent="0.2">
      <c r="C45" s="90"/>
      <c r="D45" s="90"/>
      <c r="E45" s="90"/>
      <c r="F45" s="90"/>
      <c r="G45" s="90"/>
      <c r="H45" s="90"/>
      <c r="I45" s="229" t="s">
        <v>328</v>
      </c>
      <c r="J45" s="135" t="s">
        <v>341</v>
      </c>
      <c r="K45" s="105" t="e">
        <f>INDEX(erosion_watershed_areas, MATCH(K$6, watershed_sending_parcels, 0))</f>
        <v>#VALUE!</v>
      </c>
      <c r="L45" s="105" t="e">
        <f>INDEX(erosion_watershed_areas, MATCH(L$6, watershed_sending_parcels, 0))</f>
        <v>#VALUE!</v>
      </c>
      <c r="M45" s="476"/>
    </row>
    <row r="46" spans="3:14" ht="26.25" x14ac:dyDescent="0.2">
      <c r="C46" s="90"/>
      <c r="D46" s="90"/>
      <c r="E46" s="90"/>
      <c r="F46" s="90"/>
      <c r="G46" s="90"/>
      <c r="H46" s="278" t="s">
        <v>223</v>
      </c>
      <c r="I46" s="275" t="s">
        <v>633</v>
      </c>
      <c r="J46" s="281" t="s">
        <v>634</v>
      </c>
      <c r="K46" s="105" t="e">
        <f>INDEX(computed_sediment_inflows, MATCH(K6, watershed_sending_parcels, 0))</f>
        <v>#REF!</v>
      </c>
      <c r="L46" s="105" t="e">
        <f>INDEX(computed_sediment_inflows, MATCH(L6, watershed_sending_parcels, 0))</f>
        <v>#REF!</v>
      </c>
      <c r="M46" s="476" t="s">
        <v>918</v>
      </c>
    </row>
    <row r="47" spans="3:14" ht="26.25" x14ac:dyDescent="0.2">
      <c r="C47" s="90"/>
      <c r="D47" s="90"/>
      <c r="E47" s="90"/>
      <c r="F47" s="90"/>
      <c r="G47" s="90"/>
      <c r="H47" s="279"/>
      <c r="I47" s="275" t="s">
        <v>635</v>
      </c>
      <c r="J47" s="280"/>
      <c r="K47" s="105">
        <f>K26 / 365</f>
        <v>3556.7917828534769</v>
      </c>
      <c r="L47" s="105">
        <f>L26 / 365</f>
        <v>0</v>
      </c>
      <c r="M47" s="476" t="s">
        <v>918</v>
      </c>
    </row>
    <row r="48" spans="3:14" ht="26.25" x14ac:dyDescent="0.2">
      <c r="C48" s="90"/>
      <c r="D48" s="90"/>
      <c r="E48" s="90"/>
      <c r="F48" s="90"/>
      <c r="G48" s="90"/>
      <c r="H48" s="513" t="s">
        <v>224</v>
      </c>
      <c r="I48" s="229" t="s">
        <v>226</v>
      </c>
      <c r="J48" s="135"/>
      <c r="K48" s="112" t="e">
        <f>K46 / K45</f>
        <v>#REF!</v>
      </c>
      <c r="L48" s="112" t="e">
        <f>L46 / L45</f>
        <v>#REF!</v>
      </c>
      <c r="M48" s="476"/>
    </row>
    <row r="49" spans="3:13" ht="26.25" x14ac:dyDescent="0.2">
      <c r="C49" s="90"/>
      <c r="D49" s="90"/>
      <c r="E49" s="90"/>
      <c r="F49" s="90"/>
      <c r="G49" s="90"/>
      <c r="H49" s="513"/>
      <c r="I49" s="229" t="s">
        <v>227</v>
      </c>
      <c r="J49" s="135"/>
      <c r="K49" s="112" t="e">
        <f>K48 * 365</f>
        <v>#REF!</v>
      </c>
      <c r="L49" s="112" t="e">
        <f>L48 * 365</f>
        <v>#REF!</v>
      </c>
      <c r="M49" s="476"/>
    </row>
    <row r="50" spans="3:13" ht="38.25" x14ac:dyDescent="0.2">
      <c r="C50" s="90"/>
      <c r="D50" s="90"/>
      <c r="E50" s="90"/>
      <c r="F50" s="90"/>
      <c r="G50" s="90"/>
      <c r="H50" s="90"/>
      <c r="I50" s="229" t="s">
        <v>198</v>
      </c>
      <c r="J50" s="19" t="s">
        <v>12</v>
      </c>
      <c r="K50" s="207">
        <f>K23 * (1 - K24)</f>
        <v>1040</v>
      </c>
      <c r="L50" s="207">
        <f>L23 * (1 - L24)</f>
        <v>1040</v>
      </c>
      <c r="M50" s="476" t="s">
        <v>918</v>
      </c>
    </row>
    <row r="51" spans="3:13" ht="26.25" x14ac:dyDescent="0.2">
      <c r="C51" s="90"/>
      <c r="D51" s="90"/>
      <c r="E51" s="90"/>
      <c r="F51" s="90"/>
      <c r="G51" s="90"/>
      <c r="H51" s="90"/>
      <c r="I51" s="227"/>
      <c r="J51" s="136"/>
      <c r="K51" s="480" t="s">
        <v>338</v>
      </c>
      <c r="L51" s="480" t="s">
        <v>338</v>
      </c>
      <c r="M51" s="476"/>
    </row>
    <row r="52" spans="3:13" ht="26.25" x14ac:dyDescent="0.2">
      <c r="C52" s="90"/>
      <c r="D52" s="90"/>
      <c r="E52" s="90"/>
      <c r="F52" s="90"/>
      <c r="G52" s="90"/>
      <c r="H52" s="513" t="s">
        <v>225</v>
      </c>
      <c r="I52" s="229" t="s">
        <v>57</v>
      </c>
      <c r="J52" s="135"/>
      <c r="K52" s="481">
        <f>K16 * K37</f>
        <v>1802347.8008529202</v>
      </c>
      <c r="L52" s="481">
        <f>L16 * L37</f>
        <v>1298229.000741519</v>
      </c>
      <c r="M52" s="476" t="s">
        <v>918</v>
      </c>
    </row>
    <row r="53" spans="3:13" ht="26.25" x14ac:dyDescent="0.2">
      <c r="C53" s="90"/>
      <c r="D53" s="90"/>
      <c r="E53" s="90"/>
      <c r="F53" s="90"/>
      <c r="G53" s="90"/>
      <c r="H53" s="513"/>
      <c r="I53" s="229" t="s">
        <v>58</v>
      </c>
      <c r="J53" s="135"/>
      <c r="K53" s="481">
        <f>K52/365</f>
        <v>4937.939180418959</v>
      </c>
      <c r="L53" s="481">
        <f>L52/365</f>
        <v>3556.7917828534769</v>
      </c>
      <c r="M53" s="476" t="s">
        <v>918</v>
      </c>
    </row>
    <row r="54" spans="3:13" ht="26.25" x14ac:dyDescent="0.2">
      <c r="C54" s="90"/>
      <c r="D54" s="90"/>
      <c r="E54" s="90"/>
      <c r="F54" s="90"/>
      <c r="G54" s="90"/>
      <c r="H54" s="90"/>
      <c r="I54" s="229" t="s">
        <v>330</v>
      </c>
      <c r="J54" s="19" t="s">
        <v>104</v>
      </c>
      <c r="K54" s="481" t="e">
        <f>K46 + K47 - K53</f>
        <v>#REF!</v>
      </c>
      <c r="L54" s="481" t="e">
        <f>L46 + L47 - L53</f>
        <v>#REF!</v>
      </c>
      <c r="M54" s="476" t="s">
        <v>918</v>
      </c>
    </row>
    <row r="55" spans="3:13" ht="26.25" x14ac:dyDescent="0.2">
      <c r="C55" s="90"/>
      <c r="D55" s="90"/>
      <c r="E55" s="90"/>
      <c r="F55" s="90"/>
      <c r="G55" s="90"/>
      <c r="H55" s="90"/>
      <c r="I55" s="229" t="s">
        <v>333</v>
      </c>
      <c r="J55" s="135"/>
      <c r="K55" s="207" t="e">
        <f>K54 / K40</f>
        <v>#REF!</v>
      </c>
      <c r="L55" s="207" t="e">
        <f>L54 / L40</f>
        <v>#REF!</v>
      </c>
      <c r="M55" s="476" t="s">
        <v>918</v>
      </c>
    </row>
    <row r="56" spans="3:13" ht="26.25" x14ac:dyDescent="0.2">
      <c r="C56" s="90"/>
      <c r="D56" s="90"/>
      <c r="E56" s="90"/>
      <c r="F56" s="90"/>
      <c r="G56" s="90"/>
      <c r="I56" s="227"/>
      <c r="J56" s="136"/>
      <c r="K56" s="480" t="s">
        <v>338</v>
      </c>
      <c r="L56" s="480" t="s">
        <v>338</v>
      </c>
      <c r="M56" s="476"/>
    </row>
    <row r="57" spans="3:13" ht="26.25" x14ac:dyDescent="0.2">
      <c r="C57" s="90"/>
      <c r="D57" s="90"/>
      <c r="E57" s="90"/>
      <c r="F57" s="90"/>
      <c r="G57" s="90"/>
      <c r="H57" s="513" t="s">
        <v>331</v>
      </c>
      <c r="I57" s="229" t="s">
        <v>332</v>
      </c>
      <c r="J57" s="50" t="s">
        <v>199</v>
      </c>
      <c r="K57" s="207">
        <f>K25 * K16 / K23</f>
        <v>3.8461538461538463E-5</v>
      </c>
      <c r="L57" s="207">
        <f>L25 * L16 / L23</f>
        <v>3.8461538461538463E-5</v>
      </c>
      <c r="M57" s="476" t="s">
        <v>918</v>
      </c>
    </row>
    <row r="58" spans="3:13" ht="26.25" x14ac:dyDescent="0.2">
      <c r="H58" s="513"/>
      <c r="I58" s="229" t="s">
        <v>334</v>
      </c>
      <c r="J58" s="50" t="s">
        <v>228</v>
      </c>
      <c r="K58" s="207" t="e">
        <f>K55 / K23</f>
        <v>#REF!</v>
      </c>
      <c r="L58" s="207" t="e">
        <f>L55 / L23</f>
        <v>#REF!</v>
      </c>
      <c r="M58" s="476" t="s">
        <v>918</v>
      </c>
    </row>
    <row r="59" spans="3:13" ht="38.25" x14ac:dyDescent="0.2">
      <c r="H59" s="138"/>
      <c r="I59" s="229" t="s">
        <v>335</v>
      </c>
      <c r="J59" s="19" t="s">
        <v>200</v>
      </c>
      <c r="K59" s="113" t="e">
        <f>K55 / K50 * 100 * 365</f>
        <v>#REF!</v>
      </c>
      <c r="L59" s="113" t="e">
        <f>L55 / L50 * 100 * 365</f>
        <v>#REF!</v>
      </c>
      <c r="M59" s="476"/>
    </row>
    <row r="60" spans="3:13" x14ac:dyDescent="0.2">
      <c r="H60" s="138"/>
      <c r="I60" s="580" t="s">
        <v>336</v>
      </c>
      <c r="J60" s="127" t="s">
        <v>195</v>
      </c>
      <c r="K60" s="579" t="e">
        <f>K23/K50 *(K57 - K58)</f>
        <v>#REF!</v>
      </c>
      <c r="L60" s="579" t="e">
        <f>L23/L50 *(L57 - L58)</f>
        <v>#REF!</v>
      </c>
      <c r="M60" s="575" t="s">
        <v>917</v>
      </c>
    </row>
    <row r="61" spans="3:13" ht="25.5" x14ac:dyDescent="0.2">
      <c r="C61" s="90"/>
      <c r="D61" s="90"/>
      <c r="I61" s="580"/>
      <c r="J61" s="128" t="s">
        <v>197</v>
      </c>
      <c r="K61" s="579"/>
      <c r="L61" s="579"/>
      <c r="M61" s="576"/>
    </row>
    <row r="62" spans="3:13" ht="25.5" x14ac:dyDescent="0.2">
      <c r="C62" s="90"/>
      <c r="D62" s="90"/>
      <c r="I62" s="580"/>
      <c r="J62" s="128" t="s">
        <v>196</v>
      </c>
      <c r="K62" s="579"/>
      <c r="L62" s="579"/>
      <c r="M62" s="576"/>
    </row>
    <row r="63" spans="3:13" ht="25.5" x14ac:dyDescent="0.2">
      <c r="C63" s="90"/>
      <c r="D63" s="90"/>
      <c r="I63" s="580"/>
      <c r="J63" s="129" t="s">
        <v>62</v>
      </c>
      <c r="K63" s="579"/>
      <c r="L63" s="579"/>
      <c r="M63" s="576"/>
    </row>
  </sheetData>
  <mergeCells count="17">
    <mergeCell ref="H52:H53"/>
    <mergeCell ref="M60:M63"/>
    <mergeCell ref="N18:N19"/>
    <mergeCell ref="N42:N43"/>
    <mergeCell ref="H2:K2"/>
    <mergeCell ref="L60:L63"/>
    <mergeCell ref="I60:I63"/>
    <mergeCell ref="K60:K63"/>
    <mergeCell ref="H57:H58"/>
    <mergeCell ref="H36:H37"/>
    <mergeCell ref="H48:H49"/>
    <mergeCell ref="B5:D6"/>
    <mergeCell ref="B7:D8"/>
    <mergeCell ref="H32:H35"/>
    <mergeCell ref="H18:H19"/>
    <mergeCell ref="B2:D3"/>
    <mergeCell ref="B4:D4"/>
  </mergeCells>
  <dataValidations count="5">
    <dataValidation type="decimal" operator="greaterThan" allowBlank="1" showInputMessage="1" showErrorMessage="1" errorTitle="Invalid entry" error="Please enter a number greater than zero." promptTitle="Water retention/depth" prompt="Enter either water retention time or water depth (for flow calculations). If both are provided, depth will take precedence (and override the given retention time)." sqref="K18:L19" xr:uid="{00000000-0002-0000-0A00-000000000000}">
      <formula1>0</formula1>
    </dataValidation>
    <dataValidation allowBlank="1" showInputMessage="1" promptTitle="Lake parcel" prompt="The water parcel that defines the boundry of this lake." sqref="K6:L6 N6:XFD6" xr:uid="{00000000-0002-0000-0A00-000001000000}"/>
    <dataValidation allowBlank="1" sqref="B58:B60 B4:B7 B2 B10:B42" xr:uid="{00000000-0002-0000-0A00-000002000000}"/>
    <dataValidation type="decimal" operator="greaterThanOrEqual" allowBlank="1" showInputMessage="1" showErrorMessage="1" errorTitle="Invalid entry" error="Please enter a number greater than or equal to zero." promptTitle="Other inflow" prompt="Enter an amount of additional, non-runoff water inflow to this lake. This could be from a connected water body, or any other source. _x000a__x000a_NOTE: this tool does NOT create the appropriate link properties for TRIM, it's just used for water-balance." sqref="K13:L13" xr:uid="{00000000-0002-0000-0A00-000003000000}">
      <formula1>0</formula1>
    </dataValidation>
    <dataValidation type="decimal" operator="greaterThanOrEqual" allowBlank="1" showInputMessage="1" showErrorMessage="1" errorTitle="Invalid entry" error="Please enter a number greater than or equal to zero." promptTitle="Other sediement inflow" prompt="Enter an amount of additional, non-erosion sediment inflow to this lake. This could be from a connected water body, or any other source._x000a__x000a_NOTE: this tool does NOT create the appropriate link properties for TRIM, it's just used for water-balance." sqref="K26:L26" xr:uid="{00000000-0002-0000-0A00-000004000000}">
      <formula1>0</formula1>
    </dataValidation>
  </dataValidations>
  <pageMargins left="0.7" right="0.7" top="0.75" bottom="0.75" header="0.3" footer="0.3"/>
  <pageSetup orientation="portrait" horizontalDpi="1200" verticalDpi="1200"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4">
    <tabColor indexed="43"/>
  </sheetPr>
  <dimension ref="B1:R25"/>
  <sheetViews>
    <sheetView topLeftCell="A3" zoomScale="70" zoomScaleNormal="70" workbookViewId="0">
      <selection activeCell="D7" sqref="D7"/>
    </sheetView>
  </sheetViews>
  <sheetFormatPr defaultColWidth="9.28515625" defaultRowHeight="12.75" x14ac:dyDescent="0.2"/>
  <cols>
    <col min="1" max="1" width="9.28515625" style="90"/>
    <col min="2" max="2" width="13.7109375" style="140" customWidth="1"/>
    <col min="3" max="3" width="30.7109375" style="140" customWidth="1"/>
    <col min="4" max="4" width="25.28515625" style="90" customWidth="1"/>
    <col min="5" max="5" width="8.7109375" style="90" bestFit="1" customWidth="1"/>
    <col min="6" max="6" width="32.42578125" style="90" customWidth="1"/>
    <col min="7" max="7" width="5.7109375" style="90" bestFit="1" customWidth="1"/>
    <col min="8" max="8" width="4.7109375" style="90" bestFit="1" customWidth="1"/>
    <col min="9" max="9" width="5.7109375" style="90" customWidth="1"/>
    <col min="10" max="10" width="5.7109375" style="90" bestFit="1" customWidth="1"/>
    <col min="11" max="11" width="5.7109375" style="90" customWidth="1"/>
    <col min="12" max="12" width="4.7109375" style="90" bestFit="1" customWidth="1"/>
    <col min="13" max="13" width="5.7109375" style="90" bestFit="1" customWidth="1"/>
    <col min="14" max="14" width="3.7109375" style="90" bestFit="1" customWidth="1"/>
    <col min="15" max="15" width="5.7109375" style="90" bestFit="1" customWidth="1"/>
    <col min="16" max="16" width="13.28515625" style="90" customWidth="1"/>
    <col min="17" max="17" width="11.5703125" style="107" bestFit="1" customWidth="1"/>
    <col min="18" max="18" width="12.5703125" style="90" bestFit="1" customWidth="1"/>
    <col min="19" max="16384" width="9.28515625" style="90"/>
  </cols>
  <sheetData>
    <row r="1" spans="2:18" ht="13.5" thickBot="1" x14ac:dyDescent="0.25">
      <c r="B1" s="90"/>
      <c r="C1" s="90"/>
      <c r="Q1" s="90"/>
    </row>
    <row r="2" spans="2:18" s="1" customFormat="1" ht="48.6" customHeight="1" thickBot="1" x14ac:dyDescent="0.25">
      <c r="B2" s="496" t="s">
        <v>684</v>
      </c>
      <c r="C2" s="497"/>
      <c r="D2" s="497"/>
      <c r="E2" s="497"/>
      <c r="F2" s="514" t="s">
        <v>232</v>
      </c>
      <c r="G2" s="502"/>
      <c r="H2" s="502"/>
      <c r="I2" s="503"/>
      <c r="J2" s="510" t="s">
        <v>233</v>
      </c>
      <c r="K2" s="511"/>
      <c r="L2" s="511"/>
      <c r="M2" s="511"/>
      <c r="N2" s="504" t="s">
        <v>683</v>
      </c>
      <c r="O2" s="505"/>
      <c r="P2" s="505"/>
      <c r="Q2" s="585"/>
    </row>
    <row r="3" spans="2:18" x14ac:dyDescent="0.2">
      <c r="B3" s="90"/>
      <c r="C3" s="90"/>
      <c r="Q3" s="90"/>
    </row>
    <row r="4" spans="2:18" x14ac:dyDescent="0.2">
      <c r="B4" s="90"/>
      <c r="C4" s="90"/>
      <c r="D4" s="125" t="str">
        <f>IF(COUNTA(fish_lakes) &lt; COUNTA(lake_names), "WARNING: copy rows to account for all lakes!", "Rows OK")</f>
        <v>Rows OK</v>
      </c>
      <c r="E4" s="125"/>
      <c r="Q4" s="90"/>
    </row>
    <row r="5" spans="2:18" x14ac:dyDescent="0.2">
      <c r="B5" s="90"/>
      <c r="C5" s="90"/>
      <c r="Q5" s="90"/>
    </row>
    <row r="6" spans="2:18" ht="15.75" x14ac:dyDescent="0.25">
      <c r="B6" s="90"/>
      <c r="C6" s="90"/>
      <c r="D6" s="4" t="s">
        <v>349</v>
      </c>
      <c r="E6" s="4"/>
      <c r="F6" s="1"/>
      <c r="G6" s="1"/>
      <c r="H6" s="1"/>
      <c r="I6" s="1"/>
      <c r="J6" s="1"/>
      <c r="K6" s="1"/>
      <c r="L6" s="1"/>
      <c r="M6" s="1"/>
      <c r="N6" s="1"/>
      <c r="O6" s="1"/>
      <c r="P6" s="1"/>
      <c r="Q6" s="1"/>
      <c r="R6" s="1"/>
    </row>
    <row r="7" spans="2:18" ht="114.75" x14ac:dyDescent="0.2">
      <c r="B7" s="90"/>
      <c r="C7" s="90"/>
      <c r="D7" s="94" t="s">
        <v>350</v>
      </c>
      <c r="E7" s="94"/>
      <c r="G7" s="246" t="s">
        <v>522</v>
      </c>
      <c r="H7" s="246" t="s">
        <v>523</v>
      </c>
      <c r="I7" s="246" t="s">
        <v>524</v>
      </c>
      <c r="J7" s="246" t="s">
        <v>525</v>
      </c>
      <c r="K7" s="246" t="s">
        <v>526</v>
      </c>
      <c r="L7" s="246" t="s">
        <v>527</v>
      </c>
      <c r="M7" s="246" t="s">
        <v>528</v>
      </c>
      <c r="N7" s="246" t="s">
        <v>529</v>
      </c>
      <c r="O7" s="246" t="s">
        <v>530</v>
      </c>
      <c r="P7" s="247"/>
      <c r="Q7" s="247"/>
      <c r="R7" s="247"/>
    </row>
    <row r="8" spans="2:18" ht="12.75" customHeight="1" x14ac:dyDescent="0.2">
      <c r="B8" s="513" t="s">
        <v>20</v>
      </c>
      <c r="C8" s="554"/>
      <c r="D8" s="554" t="s">
        <v>110</v>
      </c>
      <c r="E8" s="554" t="s">
        <v>17</v>
      </c>
      <c r="F8" s="130"/>
      <c r="G8" s="513" t="s">
        <v>111</v>
      </c>
      <c r="H8" s="513"/>
      <c r="I8" s="513"/>
      <c r="J8" s="513"/>
      <c r="K8" s="513"/>
      <c r="L8" s="513"/>
      <c r="M8" s="513"/>
      <c r="N8" s="513"/>
      <c r="O8" s="513"/>
      <c r="P8" s="513" t="s">
        <v>127</v>
      </c>
      <c r="Q8" s="513" t="s">
        <v>128</v>
      </c>
      <c r="R8" s="513" t="s">
        <v>129</v>
      </c>
    </row>
    <row r="9" spans="2:18" ht="93" customHeight="1" thickBot="1" x14ac:dyDescent="0.25">
      <c r="B9" s="554"/>
      <c r="C9" s="584"/>
      <c r="D9" s="572"/>
      <c r="E9" s="572"/>
      <c r="F9" s="132" t="s">
        <v>130</v>
      </c>
      <c r="G9" s="141" t="s">
        <v>112</v>
      </c>
      <c r="H9" s="141" t="s">
        <v>114</v>
      </c>
      <c r="I9" s="141" t="s">
        <v>348</v>
      </c>
      <c r="J9" s="141" t="s">
        <v>113</v>
      </c>
      <c r="K9" s="141" t="s">
        <v>115</v>
      </c>
      <c r="L9" s="141" t="s">
        <v>118</v>
      </c>
      <c r="M9" s="141" t="s">
        <v>116</v>
      </c>
      <c r="N9" s="141" t="s">
        <v>124</v>
      </c>
      <c r="O9" s="141" t="s">
        <v>117</v>
      </c>
      <c r="P9" s="554"/>
      <c r="Q9" s="554"/>
      <c r="R9" s="554"/>
    </row>
    <row r="10" spans="2:18" ht="25.5" x14ac:dyDescent="0.2">
      <c r="B10" s="581" t="s">
        <v>803</v>
      </c>
      <c r="C10" s="189" t="str">
        <f>B10</f>
        <v>LakeCadillac</v>
      </c>
      <c r="D10" s="142" t="s">
        <v>114</v>
      </c>
      <c r="E10" s="143" t="s">
        <v>352</v>
      </c>
      <c r="F10" s="144" t="s">
        <v>119</v>
      </c>
      <c r="G10" s="288">
        <v>0</v>
      </c>
      <c r="H10" s="288">
        <v>0</v>
      </c>
      <c r="I10" s="288">
        <v>0</v>
      </c>
      <c r="J10" s="288">
        <v>0</v>
      </c>
      <c r="K10" s="288">
        <v>0</v>
      </c>
      <c r="L10" s="288">
        <v>0</v>
      </c>
      <c r="M10" s="288">
        <v>0</v>
      </c>
      <c r="N10" s="288">
        <v>0</v>
      </c>
      <c r="O10" s="288">
        <v>0</v>
      </c>
      <c r="P10" s="289">
        <v>0.5</v>
      </c>
      <c r="Q10" s="290" t="str">
        <f>IF(R10&gt;0, P10/R10, "-")</f>
        <v>-</v>
      </c>
      <c r="R10" s="291"/>
    </row>
    <row r="11" spans="2:18" x14ac:dyDescent="0.2">
      <c r="B11" s="582"/>
      <c r="C11" s="190" t="str">
        <f>B10</f>
        <v>LakeCadillac</v>
      </c>
      <c r="D11" s="22" t="s">
        <v>348</v>
      </c>
      <c r="E11" s="139" t="s">
        <v>352</v>
      </c>
      <c r="F11" s="23"/>
      <c r="G11" s="292">
        <v>1</v>
      </c>
      <c r="H11" s="292">
        <v>0</v>
      </c>
      <c r="I11" s="292">
        <v>0</v>
      </c>
      <c r="J11" s="292">
        <v>0</v>
      </c>
      <c r="K11" s="292">
        <v>0</v>
      </c>
      <c r="L11" s="292">
        <v>0</v>
      </c>
      <c r="M11" s="292">
        <v>0</v>
      </c>
      <c r="N11" s="292">
        <v>0</v>
      </c>
      <c r="O11" s="292">
        <v>0</v>
      </c>
      <c r="P11" s="339">
        <v>2.8912421014924174E-2</v>
      </c>
      <c r="Q11" s="460">
        <f>IF(R11&gt;0, P11/R11, "-")</f>
        <v>507235.4564021785</v>
      </c>
      <c r="R11" s="293">
        <v>5.7000000000000001E-8</v>
      </c>
    </row>
    <row r="12" spans="2:18" x14ac:dyDescent="0.2">
      <c r="B12" s="582"/>
      <c r="C12" s="190" t="str">
        <f>B10</f>
        <v>LakeCadillac</v>
      </c>
      <c r="D12" s="22" t="s">
        <v>126</v>
      </c>
      <c r="E12" s="139" t="s">
        <v>351</v>
      </c>
      <c r="F12" s="23"/>
      <c r="G12" s="292">
        <v>0</v>
      </c>
      <c r="H12" s="292">
        <v>0</v>
      </c>
      <c r="I12" s="292">
        <v>0</v>
      </c>
      <c r="J12" s="292">
        <v>0</v>
      </c>
      <c r="K12" s="292">
        <v>0</v>
      </c>
      <c r="L12" s="292">
        <v>0</v>
      </c>
      <c r="M12" s="292">
        <v>0</v>
      </c>
      <c r="N12" s="292">
        <v>0</v>
      </c>
      <c r="O12" s="292">
        <v>0</v>
      </c>
      <c r="P12" s="339">
        <v>1.0314775841651828E-2</v>
      </c>
      <c r="Q12" s="460">
        <f t="shared" ref="Q12:Q17" si="0">IF(R12&gt;0, P12/R12, "-")</f>
        <v>40.450101339811084</v>
      </c>
      <c r="R12" s="293">
        <v>2.5500000000000002E-4</v>
      </c>
    </row>
    <row r="13" spans="2:18" x14ac:dyDescent="0.2">
      <c r="B13" s="582"/>
      <c r="C13" s="190" t="str">
        <f>B10</f>
        <v>LakeCadillac</v>
      </c>
      <c r="D13" s="22" t="s">
        <v>115</v>
      </c>
      <c r="E13" s="139" t="s">
        <v>352</v>
      </c>
      <c r="F13" s="23" t="s">
        <v>120</v>
      </c>
      <c r="G13" s="292">
        <v>0</v>
      </c>
      <c r="H13" s="292">
        <v>0</v>
      </c>
      <c r="I13" s="292">
        <v>1</v>
      </c>
      <c r="J13" s="292">
        <v>0</v>
      </c>
      <c r="K13" s="292">
        <v>0</v>
      </c>
      <c r="L13" s="292">
        <v>0</v>
      </c>
      <c r="M13" s="292">
        <v>0</v>
      </c>
      <c r="N13" s="292">
        <v>0</v>
      </c>
      <c r="O13" s="292">
        <v>0</v>
      </c>
      <c r="P13" s="339">
        <v>3.7550000000000001E-3</v>
      </c>
      <c r="Q13" s="460">
        <f t="shared" si="0"/>
        <v>5.3642857142857138E-2</v>
      </c>
      <c r="R13" s="456">
        <v>7.0000000000000007E-2</v>
      </c>
    </row>
    <row r="14" spans="2:18" x14ac:dyDescent="0.2">
      <c r="B14" s="582"/>
      <c r="C14" s="190" t="str">
        <f>B10</f>
        <v>LakeCadillac</v>
      </c>
      <c r="D14" s="22" t="s">
        <v>118</v>
      </c>
      <c r="E14" s="139" t="s">
        <v>351</v>
      </c>
      <c r="F14" s="23" t="s">
        <v>123</v>
      </c>
      <c r="G14" s="292">
        <v>0</v>
      </c>
      <c r="H14" s="292">
        <v>0</v>
      </c>
      <c r="I14" s="292">
        <v>0</v>
      </c>
      <c r="J14" s="292">
        <v>1</v>
      </c>
      <c r="K14" s="292">
        <v>0</v>
      </c>
      <c r="L14" s="292">
        <v>0</v>
      </c>
      <c r="M14" s="292">
        <v>0</v>
      </c>
      <c r="N14" s="292">
        <v>0</v>
      </c>
      <c r="O14" s="292">
        <v>0</v>
      </c>
      <c r="P14" s="339">
        <v>1.8775E-3</v>
      </c>
      <c r="Q14" s="460">
        <f t="shared" si="0"/>
        <v>2.5033333333333335E-3</v>
      </c>
      <c r="R14" s="457">
        <v>0.75</v>
      </c>
    </row>
    <row r="15" spans="2:18" ht="25.5" x14ac:dyDescent="0.2">
      <c r="B15" s="582"/>
      <c r="C15" s="190" t="str">
        <f>B10</f>
        <v>LakeCadillac</v>
      </c>
      <c r="D15" s="22" t="s">
        <v>116</v>
      </c>
      <c r="E15" s="139" t="s">
        <v>352</v>
      </c>
      <c r="F15" s="23" t="s">
        <v>121</v>
      </c>
      <c r="G15" s="292">
        <v>0</v>
      </c>
      <c r="H15" s="292">
        <v>0</v>
      </c>
      <c r="I15" s="292">
        <v>0</v>
      </c>
      <c r="J15" s="292">
        <v>0</v>
      </c>
      <c r="K15" s="294">
        <v>1</v>
      </c>
      <c r="L15" s="292">
        <v>0</v>
      </c>
      <c r="M15" s="292">
        <v>0</v>
      </c>
      <c r="N15" s="292">
        <v>0</v>
      </c>
      <c r="O15" s="292">
        <v>0</v>
      </c>
      <c r="P15" s="339">
        <v>9.7630000000000004E-4</v>
      </c>
      <c r="Q15" s="460">
        <f t="shared" si="0"/>
        <v>4.8814999999999996E-3</v>
      </c>
      <c r="R15" s="457">
        <v>0.2</v>
      </c>
    </row>
    <row r="16" spans="2:18" x14ac:dyDescent="0.2">
      <c r="B16" s="582"/>
      <c r="C16" s="190" t="str">
        <f>B10</f>
        <v>LakeCadillac</v>
      </c>
      <c r="D16" s="22" t="s">
        <v>124</v>
      </c>
      <c r="E16" s="139" t="s">
        <v>351</v>
      </c>
      <c r="F16" s="23" t="s">
        <v>125</v>
      </c>
      <c r="G16" s="292">
        <v>0</v>
      </c>
      <c r="H16" s="292">
        <v>0</v>
      </c>
      <c r="I16" s="292">
        <v>0</v>
      </c>
      <c r="J16" s="292">
        <v>0.5</v>
      </c>
      <c r="K16" s="292">
        <v>0</v>
      </c>
      <c r="L16" s="294">
        <v>0.5</v>
      </c>
      <c r="M16" s="292">
        <v>0</v>
      </c>
      <c r="N16" s="292">
        <v>0</v>
      </c>
      <c r="O16" s="292">
        <v>0</v>
      </c>
      <c r="P16" s="339">
        <v>3.7550000000000002E-4</v>
      </c>
      <c r="Q16" s="460">
        <f t="shared" si="0"/>
        <v>1.5020000000000002E-4</v>
      </c>
      <c r="R16" s="458">
        <v>2.5</v>
      </c>
    </row>
    <row r="17" spans="2:18" ht="13.5" thickBot="1" x14ac:dyDescent="0.25">
      <c r="B17" s="583"/>
      <c r="C17" s="191" t="str">
        <f>B10</f>
        <v>LakeCadillac</v>
      </c>
      <c r="D17" s="145" t="s">
        <v>117</v>
      </c>
      <c r="E17" s="146" t="s">
        <v>352</v>
      </c>
      <c r="F17" s="147" t="s">
        <v>122</v>
      </c>
      <c r="G17" s="295">
        <v>0</v>
      </c>
      <c r="H17" s="295">
        <v>0</v>
      </c>
      <c r="I17" s="295">
        <v>0</v>
      </c>
      <c r="J17" s="295">
        <v>0</v>
      </c>
      <c r="K17" s="295">
        <v>0</v>
      </c>
      <c r="L17" s="295">
        <v>0.5</v>
      </c>
      <c r="M17" s="295">
        <v>0.5</v>
      </c>
      <c r="N17" s="295">
        <v>0</v>
      </c>
      <c r="O17" s="295">
        <v>0</v>
      </c>
      <c r="P17" s="340">
        <v>5.2570000000000004E-4</v>
      </c>
      <c r="Q17" s="461">
        <f t="shared" si="0"/>
        <v>3.5046666666666671E-4</v>
      </c>
      <c r="R17" s="459">
        <v>1.5</v>
      </c>
    </row>
    <row r="18" spans="2:18" ht="25.5" x14ac:dyDescent="0.2">
      <c r="B18" s="581" t="s">
        <v>804</v>
      </c>
      <c r="C18" s="189" t="str">
        <f>B18</f>
        <v>LakeMitchell</v>
      </c>
      <c r="D18" s="142" t="s">
        <v>114</v>
      </c>
      <c r="E18" s="143" t="s">
        <v>352</v>
      </c>
      <c r="F18" s="144" t="s">
        <v>119</v>
      </c>
      <c r="G18" s="288">
        <v>0</v>
      </c>
      <c r="H18" s="288">
        <v>0</v>
      </c>
      <c r="I18" s="288">
        <v>0</v>
      </c>
      <c r="J18" s="288">
        <v>0</v>
      </c>
      <c r="K18" s="288">
        <v>0</v>
      </c>
      <c r="L18" s="288">
        <v>0</v>
      </c>
      <c r="M18" s="288">
        <v>0</v>
      </c>
      <c r="N18" s="288">
        <v>0</v>
      </c>
      <c r="O18" s="288">
        <v>0</v>
      </c>
      <c r="P18" s="289">
        <v>0.5</v>
      </c>
      <c r="Q18" s="462" t="str">
        <f>IF(R18&gt;0, P18/R18, "-")</f>
        <v>-</v>
      </c>
      <c r="R18" s="291"/>
    </row>
    <row r="19" spans="2:18" x14ac:dyDescent="0.2">
      <c r="B19" s="582"/>
      <c r="C19" s="190" t="str">
        <f>B18</f>
        <v>LakeMitchell</v>
      </c>
      <c r="D19" s="22" t="s">
        <v>348</v>
      </c>
      <c r="E19" s="139" t="s">
        <v>352</v>
      </c>
      <c r="F19" s="23"/>
      <c r="G19" s="292">
        <v>1</v>
      </c>
      <c r="H19" s="292">
        <v>0</v>
      </c>
      <c r="I19" s="292">
        <v>0</v>
      </c>
      <c r="J19" s="292">
        <v>0</v>
      </c>
      <c r="K19" s="292">
        <v>0</v>
      </c>
      <c r="L19" s="292">
        <v>0</v>
      </c>
      <c r="M19" s="292">
        <v>0</v>
      </c>
      <c r="N19" s="292">
        <v>0</v>
      </c>
      <c r="O19" s="292">
        <v>0</v>
      </c>
      <c r="P19" s="339">
        <v>2.556311067871311E-2</v>
      </c>
      <c r="Q19" s="460">
        <f t="shared" ref="Q19:Q25" si="1">IF(R19&gt;0, P19/R19, "-")</f>
        <v>448475.62594233523</v>
      </c>
      <c r="R19" s="293">
        <v>5.7000000000000001E-8</v>
      </c>
    </row>
    <row r="20" spans="2:18" x14ac:dyDescent="0.2">
      <c r="B20" s="582"/>
      <c r="C20" s="190" t="str">
        <f>B18</f>
        <v>LakeMitchell</v>
      </c>
      <c r="D20" s="22" t="s">
        <v>126</v>
      </c>
      <c r="E20" s="139" t="s">
        <v>351</v>
      </c>
      <c r="F20" s="23"/>
      <c r="G20" s="292">
        <v>0</v>
      </c>
      <c r="H20" s="292">
        <v>0</v>
      </c>
      <c r="I20" s="292">
        <v>0</v>
      </c>
      <c r="J20" s="292">
        <v>0</v>
      </c>
      <c r="K20" s="292">
        <v>0</v>
      </c>
      <c r="L20" s="292">
        <v>0</v>
      </c>
      <c r="M20" s="292">
        <v>0</v>
      </c>
      <c r="N20" s="292">
        <v>0</v>
      </c>
      <c r="O20" s="292">
        <v>0</v>
      </c>
      <c r="P20" s="339">
        <v>7.9620046160715097E-3</v>
      </c>
      <c r="Q20" s="460">
        <f t="shared" si="1"/>
        <v>31.223547514005919</v>
      </c>
      <c r="R20" s="293">
        <v>2.5500000000000002E-4</v>
      </c>
    </row>
    <row r="21" spans="2:18" x14ac:dyDescent="0.2">
      <c r="B21" s="582"/>
      <c r="C21" s="190" t="str">
        <f>B18</f>
        <v>LakeMitchell</v>
      </c>
      <c r="D21" s="22" t="s">
        <v>115</v>
      </c>
      <c r="E21" s="139" t="s">
        <v>352</v>
      </c>
      <c r="F21" s="23" t="s">
        <v>120</v>
      </c>
      <c r="G21" s="292">
        <v>0</v>
      </c>
      <c r="H21" s="292">
        <v>0</v>
      </c>
      <c r="I21" s="292">
        <v>1</v>
      </c>
      <c r="J21" s="292">
        <v>0</v>
      </c>
      <c r="K21" s="292">
        <v>0</v>
      </c>
      <c r="L21" s="292">
        <v>0</v>
      </c>
      <c r="M21" s="292">
        <v>0</v>
      </c>
      <c r="N21" s="292">
        <v>0</v>
      </c>
      <c r="O21" s="292">
        <v>0</v>
      </c>
      <c r="P21" s="339">
        <v>1.74E-3</v>
      </c>
      <c r="Q21" s="460">
        <f t="shared" si="1"/>
        <v>2.4857142857142855E-2</v>
      </c>
      <c r="R21" s="456">
        <v>7.0000000000000007E-2</v>
      </c>
    </row>
    <row r="22" spans="2:18" x14ac:dyDescent="0.2">
      <c r="B22" s="582"/>
      <c r="C22" s="190" t="str">
        <f>B18</f>
        <v>LakeMitchell</v>
      </c>
      <c r="D22" s="22" t="s">
        <v>118</v>
      </c>
      <c r="E22" s="139" t="s">
        <v>351</v>
      </c>
      <c r="F22" s="23" t="s">
        <v>123</v>
      </c>
      <c r="G22" s="292">
        <v>0</v>
      </c>
      <c r="H22" s="292">
        <v>0</v>
      </c>
      <c r="I22" s="292">
        <v>0</v>
      </c>
      <c r="J22" s="292">
        <v>1</v>
      </c>
      <c r="K22" s="292">
        <v>0</v>
      </c>
      <c r="L22" s="292">
        <v>0</v>
      </c>
      <c r="M22" s="292">
        <v>0</v>
      </c>
      <c r="N22" s="292">
        <v>0</v>
      </c>
      <c r="O22" s="292">
        <v>0</v>
      </c>
      <c r="P22" s="339">
        <v>1.4499999999999999E-3</v>
      </c>
      <c r="Q22" s="460">
        <f t="shared" si="1"/>
        <v>1.9333333333333331E-3</v>
      </c>
      <c r="R22" s="457">
        <v>0.75</v>
      </c>
    </row>
    <row r="23" spans="2:18" ht="25.5" x14ac:dyDescent="0.2">
      <c r="B23" s="582"/>
      <c r="C23" s="190" t="str">
        <f>B18</f>
        <v>LakeMitchell</v>
      </c>
      <c r="D23" s="22" t="s">
        <v>116</v>
      </c>
      <c r="E23" s="139" t="s">
        <v>352</v>
      </c>
      <c r="F23" s="23" t="s">
        <v>121</v>
      </c>
      <c r="G23" s="292">
        <v>0</v>
      </c>
      <c r="H23" s="292">
        <v>0</v>
      </c>
      <c r="I23" s="292">
        <v>0</v>
      </c>
      <c r="J23" s="292">
        <v>0.5</v>
      </c>
      <c r="K23" s="294">
        <v>0.5</v>
      </c>
      <c r="L23" s="292">
        <v>0</v>
      </c>
      <c r="M23" s="292">
        <v>0</v>
      </c>
      <c r="N23" s="292">
        <v>0</v>
      </c>
      <c r="O23" s="292">
        <v>0</v>
      </c>
      <c r="P23" s="339">
        <v>1.4499999999999999E-3</v>
      </c>
      <c r="Q23" s="460">
        <f t="shared" si="1"/>
        <v>2.8999999999999998E-3</v>
      </c>
      <c r="R23" s="457">
        <v>0.5</v>
      </c>
    </row>
    <row r="24" spans="2:18" x14ac:dyDescent="0.2">
      <c r="B24" s="582"/>
      <c r="C24" s="190" t="str">
        <f>B18</f>
        <v>LakeMitchell</v>
      </c>
      <c r="D24" s="22" t="s">
        <v>124</v>
      </c>
      <c r="E24" s="139" t="s">
        <v>351</v>
      </c>
      <c r="F24" s="23" t="s">
        <v>125</v>
      </c>
      <c r="G24" s="292">
        <v>0</v>
      </c>
      <c r="H24" s="292">
        <v>0</v>
      </c>
      <c r="I24" s="292">
        <v>0</v>
      </c>
      <c r="J24" s="292">
        <v>0.5</v>
      </c>
      <c r="K24" s="292">
        <v>0</v>
      </c>
      <c r="L24" s="294">
        <v>0.5</v>
      </c>
      <c r="M24" s="292">
        <v>0</v>
      </c>
      <c r="N24" s="292">
        <v>0</v>
      </c>
      <c r="O24" s="292">
        <v>0</v>
      </c>
      <c r="P24" s="339">
        <v>2.9E-4</v>
      </c>
      <c r="Q24" s="460">
        <f t="shared" si="1"/>
        <v>1.16E-4</v>
      </c>
      <c r="R24" s="458">
        <v>2.5</v>
      </c>
    </row>
    <row r="25" spans="2:18" ht="13.5" thickBot="1" x14ac:dyDescent="0.25">
      <c r="B25" s="583"/>
      <c r="C25" s="191" t="str">
        <f>B18</f>
        <v>LakeMitchell</v>
      </c>
      <c r="D25" s="145" t="s">
        <v>117</v>
      </c>
      <c r="E25" s="146" t="s">
        <v>352</v>
      </c>
      <c r="F25" s="146" t="s">
        <v>122</v>
      </c>
      <c r="G25" s="295">
        <v>0</v>
      </c>
      <c r="H25" s="295">
        <v>0</v>
      </c>
      <c r="I25" s="295">
        <v>0</v>
      </c>
      <c r="J25" s="295">
        <v>0</v>
      </c>
      <c r="K25" s="295">
        <v>0.25</v>
      </c>
      <c r="L25" s="295">
        <v>0.25</v>
      </c>
      <c r="M25" s="295">
        <v>0.5</v>
      </c>
      <c r="N25" s="295">
        <v>0</v>
      </c>
      <c r="O25" s="295">
        <v>0</v>
      </c>
      <c r="P25" s="340">
        <v>8.7000000000000001E-4</v>
      </c>
      <c r="Q25" s="461">
        <f t="shared" si="1"/>
        <v>8.7000000000000001E-4</v>
      </c>
      <c r="R25" s="459">
        <v>1</v>
      </c>
    </row>
  </sheetData>
  <mergeCells count="14">
    <mergeCell ref="F2:I2"/>
    <mergeCell ref="J2:M2"/>
    <mergeCell ref="E8:E9"/>
    <mergeCell ref="B2:E2"/>
    <mergeCell ref="D8:D9"/>
    <mergeCell ref="G8:O8"/>
    <mergeCell ref="N2:Q2"/>
    <mergeCell ref="P8:P9"/>
    <mergeCell ref="Q8:Q9"/>
    <mergeCell ref="B18:B25"/>
    <mergeCell ref="R8:R9"/>
    <mergeCell ref="B8:B9"/>
    <mergeCell ref="C8:C9"/>
    <mergeCell ref="B10:B17"/>
  </mergeCells>
  <dataValidations count="3">
    <dataValidation type="decimal" allowBlank="1" showInputMessage="1" showErrorMessage="1" errorTitle="Invalid entry" error="Please enter a fraction between zero and one." promptTitle="Diet Fraction" prompt="Enter the fraction of the row organism's diet that comes from the column source. Blank values will be interpreted as zero." sqref="G10:O25" xr:uid="{00000000-0002-0000-0B00-000000000000}">
      <formula1>0</formula1>
      <formula2>1</formula2>
    </dataValidation>
    <dataValidation type="list" allowBlank="1" showInputMessage="1" showErrorMessage="1" errorTitle="Invalid entry" error="Please select a lake defined on the &quot;Lakes&quot; page." promptTitle="Lake name" prompt="Select the lake this food web applies to." sqref="B10:B1048576" xr:uid="{00000000-0002-0000-0B00-000001000000}">
      <formula1>lake_names</formula1>
    </dataValidation>
    <dataValidation type="list" allowBlank="1" showInputMessage="1" showErrorMessage="1" sqref="E10:E1048576" xr:uid="{00000000-0002-0000-0B00-000002000000}">
      <formula1>"SW,Sed"</formula1>
    </dataValidation>
  </dataValidations>
  <pageMargins left="0.7" right="0.7" top="0.75" bottom="0.75" header="0.3" footer="0.3"/>
  <pageSetup orientation="portrait" horizontalDpi="1200" verticalDpi="1200"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6">
    <tabColor indexed="46"/>
  </sheetPr>
  <dimension ref="A1:O501"/>
  <sheetViews>
    <sheetView workbookViewId="0">
      <selection activeCell="F17" sqref="F17"/>
    </sheetView>
  </sheetViews>
  <sheetFormatPr defaultColWidth="9.28515625" defaultRowHeight="12.75" x14ac:dyDescent="0.2"/>
  <cols>
    <col min="1" max="1" width="4.28515625" style="244" customWidth="1"/>
    <col min="2" max="2" width="9.28515625" style="1"/>
    <col min="3" max="3" width="16.5703125" style="1" customWidth="1"/>
    <col min="4" max="4" width="11.5703125" style="1" bestFit="1" customWidth="1"/>
    <col min="5" max="5" width="9.28515625" style="1"/>
    <col min="6" max="6" width="12.5703125" style="1" bestFit="1" customWidth="1"/>
    <col min="7" max="7" width="14.7109375" style="1" customWidth="1"/>
    <col min="8" max="8" width="9.28515625" style="1"/>
    <col min="9" max="9" width="4.28515625" style="244" customWidth="1"/>
    <col min="10" max="10" width="60.7109375" style="177" customWidth="1"/>
    <col min="11" max="11" width="4.28515625" style="244" customWidth="1"/>
    <col min="12" max="12" width="4.28515625" style="1" customWidth="1"/>
    <col min="13" max="15" width="8.5703125" style="1" customWidth="1"/>
    <col min="16" max="16384" width="9.28515625" style="1"/>
  </cols>
  <sheetData>
    <row r="1" spans="1:15" ht="13.5" thickBot="1" x14ac:dyDescent="0.25">
      <c r="A1" s="171"/>
      <c r="B1" s="62"/>
      <c r="C1" s="62"/>
      <c r="D1" s="62"/>
      <c r="E1" s="62"/>
      <c r="F1" s="62"/>
      <c r="G1" s="62"/>
      <c r="H1" s="62"/>
      <c r="I1" s="173"/>
      <c r="J1" s="62"/>
      <c r="K1" s="175"/>
      <c r="L1" s="54"/>
      <c r="M1" s="54" t="s">
        <v>13</v>
      </c>
    </row>
    <row r="2" spans="1:15" ht="46.5" customHeight="1" x14ac:dyDescent="0.2">
      <c r="A2" s="172"/>
      <c r="B2" s="184" t="s">
        <v>8</v>
      </c>
      <c r="C2" s="592" t="str">
        <f>setupfile_dir</f>
        <v>C:\RTR\Foundries\TRIM</v>
      </c>
      <c r="D2" s="593"/>
      <c r="E2" s="594"/>
      <c r="F2" s="244"/>
      <c r="G2" s="174"/>
      <c r="H2" s="244"/>
      <c r="I2" s="174"/>
      <c r="J2" s="595" t="s">
        <v>237</v>
      </c>
      <c r="K2" s="176"/>
    </row>
    <row r="3" spans="1:15" ht="26.25" thickBot="1" x14ac:dyDescent="0.25">
      <c r="A3" s="172"/>
      <c r="B3" s="254" t="s">
        <v>7</v>
      </c>
      <c r="C3" s="597" t="str">
        <f>scenario_name &amp; " (1) Sources.txt"</f>
        <v>Foundries_SS (1) Sources.txt</v>
      </c>
      <c r="D3" s="598"/>
      <c r="E3" s="599"/>
      <c r="F3" s="244"/>
      <c r="G3" s="245"/>
      <c r="H3" s="244"/>
      <c r="I3" s="174"/>
      <c r="J3" s="596"/>
      <c r="K3" s="176"/>
    </row>
    <row r="4" spans="1:15" ht="13.5" thickBot="1" x14ac:dyDescent="0.25">
      <c r="A4" s="172"/>
      <c r="B4" s="59"/>
      <c r="C4" s="59"/>
      <c r="D4" s="59"/>
      <c r="E4" s="59"/>
      <c r="F4" s="59"/>
      <c r="G4" s="59"/>
      <c r="H4" s="59"/>
      <c r="I4" s="174"/>
      <c r="J4" s="59"/>
      <c r="K4" s="176"/>
    </row>
    <row r="5" spans="1:15" ht="12.75" customHeight="1" x14ac:dyDescent="0.2">
      <c r="A5" s="172"/>
      <c r="B5" s="1" t="s">
        <v>605</v>
      </c>
      <c r="I5" s="174"/>
      <c r="J5" s="328" t="str">
        <f>ConcatenateWithSpaces($B$5:$H$5)</f>
        <v>// TRIM.FaTE library file with site-specific emission sources</v>
      </c>
      <c r="K5" s="176"/>
      <c r="M5" s="600" t="s">
        <v>231</v>
      </c>
      <c r="N5" s="601"/>
      <c r="O5" s="602"/>
    </row>
    <row r="6" spans="1:15" ht="13.5" thickBot="1" x14ac:dyDescent="0.25">
      <c r="A6" s="172"/>
      <c r="I6" s="174"/>
      <c r="J6" s="328" t="str">
        <f>ConcatenateWithSpaces($B$6:$H$6)</f>
        <v/>
      </c>
      <c r="K6" s="176"/>
      <c r="M6" s="603"/>
      <c r="N6" s="604"/>
      <c r="O6" s="605"/>
    </row>
    <row r="7" spans="1:15" x14ac:dyDescent="0.2">
      <c r="A7" s="172"/>
      <c r="B7" s="26" t="str">
        <f>"// "&amp; Parameters!$J$7</f>
        <v>// Foundries_SS</v>
      </c>
      <c r="I7" s="174"/>
      <c r="J7" s="328" t="str">
        <f>ConcatenateWithSpaces($B$7:$H$7)</f>
        <v>// Foundries_SS</v>
      </c>
      <c r="K7" s="176"/>
      <c r="M7" s="518" t="s">
        <v>232</v>
      </c>
      <c r="N7" s="519"/>
      <c r="O7" s="520"/>
    </row>
    <row r="8" spans="1:15" ht="13.5" thickBot="1" x14ac:dyDescent="0.25">
      <c r="A8" s="172"/>
      <c r="B8" s="26" t="str">
        <f>"// "&amp; Parameters!$J$9</f>
        <v>// Site-specific scenario for Int Iron Steel Foundries in Wexford County, MI</v>
      </c>
      <c r="I8" s="174"/>
      <c r="J8" s="328" t="str">
        <f>ConcatenateWithSpaces($B$8:$H$8)</f>
        <v>// Site-specific scenario for Int Iron Steel Foundries in Wexford County, MI</v>
      </c>
      <c r="K8" s="176"/>
      <c r="M8" s="606"/>
      <c r="N8" s="607"/>
      <c r="O8" s="608"/>
    </row>
    <row r="9" spans="1:15" x14ac:dyDescent="0.2">
      <c r="A9" s="172"/>
      <c r="I9" s="174"/>
      <c r="J9" s="328" t="str">
        <f>ConcatenateWithSpaces($B$9:$H$9)</f>
        <v/>
      </c>
      <c r="K9" s="176"/>
      <c r="M9" s="586" t="s">
        <v>233</v>
      </c>
      <c r="N9" s="587"/>
      <c r="O9" s="588"/>
    </row>
    <row r="10" spans="1:15" ht="13.5" thickBot="1" x14ac:dyDescent="0.25">
      <c r="A10" s="172"/>
      <c r="B10" s="1" t="s">
        <v>374</v>
      </c>
      <c r="C10" s="185">
        <f ca="1">NOW()</f>
        <v>43843.428775231485</v>
      </c>
      <c r="I10" s="174"/>
      <c r="J10" s="328" t="str">
        <f ca="1">ConcatenateWithSpaces($B$10:$H$10)</f>
        <v>// Generated:  1/13/2020 10:17:26 AM</v>
      </c>
      <c r="K10" s="176"/>
      <c r="M10" s="589"/>
      <c r="N10" s="590"/>
      <c r="O10" s="591"/>
    </row>
    <row r="11" spans="1:15" x14ac:dyDescent="0.2">
      <c r="A11" s="172"/>
      <c r="I11" s="174"/>
      <c r="J11" s="328" t="str">
        <f>ConcatenateWithSpaces($B$11:$H$11)</f>
        <v/>
      </c>
      <c r="K11" s="176"/>
    </row>
    <row r="12" spans="1:15" x14ac:dyDescent="0.2">
      <c r="A12" s="172"/>
      <c r="B12" s="1" t="s">
        <v>257</v>
      </c>
      <c r="I12" s="174"/>
      <c r="J12" s="328" t="str">
        <f>ConcatenateWithSpaces($B$12:$H$12)</f>
        <v>Version:1</v>
      </c>
      <c r="K12" s="176"/>
    </row>
    <row r="13" spans="1:15" x14ac:dyDescent="0.2">
      <c r="A13" s="172"/>
      <c r="I13" s="174"/>
      <c r="J13" s="328" t="str">
        <f>ConcatenateWithSpaces($B$13:$H$13)</f>
        <v/>
      </c>
      <c r="K13" s="176"/>
    </row>
    <row r="14" spans="1:15" x14ac:dyDescent="0.2">
      <c r="A14" s="172"/>
      <c r="I14" s="174"/>
      <c r="J14" s="328" t="str">
        <f>ConcatenateWithSpaces($B$14:$H$14)</f>
        <v/>
      </c>
      <c r="K14" s="176"/>
    </row>
    <row r="15" spans="1:15" x14ac:dyDescent="0.2">
      <c r="A15" s="172"/>
      <c r="B15" s="1" t="s">
        <v>613</v>
      </c>
      <c r="I15" s="174"/>
      <c r="J15" s="328" t="str">
        <f>ConcatenateWithSpaces($B$15:$H$15)</f>
        <v>// This file must be imported into the TRIM.FaTE library directly</v>
      </c>
      <c r="K15" s="176"/>
    </row>
    <row r="16" spans="1:15" x14ac:dyDescent="0.2">
      <c r="A16" s="172"/>
      <c r="B16" s="1" t="s">
        <v>615</v>
      </c>
      <c r="I16" s="174"/>
      <c r="J16" s="328" t="str">
        <f>ConcatenateWithSpaces($B$16:$H$16)</f>
        <v>// (not the scenario). Sources must then be manually added to the</v>
      </c>
      <c r="K16" s="176"/>
    </row>
    <row r="17" spans="1:11" x14ac:dyDescent="0.2">
      <c r="A17" s="172"/>
      <c r="B17" s="1" t="s">
        <v>614</v>
      </c>
      <c r="I17" s="174"/>
      <c r="J17" s="328" t="str">
        <f>ConcatenateWithSpaces($B$17:$H$17)</f>
        <v>// scenario using the graphical interface.</v>
      </c>
      <c r="K17" s="176"/>
    </row>
    <row r="18" spans="1:11" x14ac:dyDescent="0.2">
      <c r="A18" s="172"/>
      <c r="I18" s="174"/>
      <c r="J18" s="328" t="str">
        <f>ConcatenateWithSpaces($B$18:$H$18)</f>
        <v/>
      </c>
      <c r="K18" s="176"/>
    </row>
    <row r="19" spans="1:11" x14ac:dyDescent="0.2">
      <c r="A19" s="172"/>
      <c r="I19" s="174"/>
      <c r="J19" s="328" t="str">
        <f>ConcatenateWithSpaces($B$19:$H$19)</f>
        <v/>
      </c>
      <c r="K19" s="176"/>
    </row>
    <row r="20" spans="1:11" x14ac:dyDescent="0.2">
      <c r="A20" s="172"/>
      <c r="B20" s="1" t="s">
        <v>606</v>
      </c>
      <c r="C20" s="26" t="str">
        <f>Layout!$U$8</f>
        <v>Screening_Source</v>
      </c>
      <c r="I20" s="174"/>
      <c r="J20" s="328" t="str">
        <f>ConcatenateWithSpaces($B$20:$H$20)</f>
        <v>PointSource: Screening_Source</v>
      </c>
      <c r="K20" s="176"/>
    </row>
    <row r="21" spans="1:11" x14ac:dyDescent="0.2">
      <c r="A21" s="172"/>
      <c r="B21" s="1" t="s">
        <v>607</v>
      </c>
      <c r="I21" s="174"/>
      <c r="J21" s="328" t="str">
        <f>ConcatenateWithSpaces($B$21:$H$21)</f>
        <v>Property: Enabled</v>
      </c>
      <c r="K21" s="176"/>
    </row>
    <row r="22" spans="1:11" x14ac:dyDescent="0.2">
      <c r="A22" s="172"/>
      <c r="B22" s="1" t="s">
        <v>521</v>
      </c>
      <c r="C22" s="26" t="str">
        <f>IF(ISERROR(FIND(",", $C$23)), "Constant", "InputFromFile")</f>
        <v>Constant</v>
      </c>
      <c r="I22" s="174"/>
      <c r="J22" s="328" t="str">
        <f>ConcatenateWithSpaces($B$22:$H$22)</f>
        <v>Form: Constant</v>
      </c>
      <c r="K22" s="176"/>
    </row>
    <row r="23" spans="1:11" x14ac:dyDescent="0.2">
      <c r="A23" s="172"/>
      <c r="B23" s="1" t="s">
        <v>2</v>
      </c>
      <c r="C23" s="1" t="b">
        <v>1</v>
      </c>
      <c r="I23" s="174"/>
      <c r="J23" s="328" t="str">
        <f>ConcatenateWithSpaces($B$23:$H$23)</f>
        <v>Value: True</v>
      </c>
      <c r="K23" s="176"/>
    </row>
    <row r="24" spans="1:11" x14ac:dyDescent="0.2">
      <c r="A24" s="172"/>
      <c r="B24" s="1" t="s">
        <v>607</v>
      </c>
      <c r="I24" s="174"/>
      <c r="J24" s="328" t="str">
        <f>ConcatenateWithSpaces($B$24:$H$24)</f>
        <v>Property: Enabled</v>
      </c>
      <c r="K24" s="176"/>
    </row>
    <row r="25" spans="1:11" x14ac:dyDescent="0.2">
      <c r="A25" s="172"/>
      <c r="B25" s="1" t="s">
        <v>521</v>
      </c>
      <c r="C25" s="26" t="str">
        <f>IF(ISERROR(FIND(",", $C$26)), "Constant", "InputFromFile")</f>
        <v>Constant</v>
      </c>
      <c r="I25" s="174"/>
      <c r="J25" s="328" t="str">
        <f>ConcatenateWithSpaces($B$25:$H$25)</f>
        <v>Form: Constant</v>
      </c>
      <c r="K25" s="176"/>
    </row>
    <row r="26" spans="1:11" x14ac:dyDescent="0.2">
      <c r="A26" s="172"/>
      <c r="B26" s="1" t="s">
        <v>2</v>
      </c>
      <c r="C26" s="1" t="b">
        <v>1</v>
      </c>
      <c r="I26" s="174"/>
      <c r="J26" s="328" t="str">
        <f>ConcatenateWithSpaces($B$26:$H$26)</f>
        <v>Value: True</v>
      </c>
      <c r="K26" s="176"/>
    </row>
    <row r="27" spans="1:11" x14ac:dyDescent="0.2">
      <c r="A27" s="172"/>
      <c r="B27" s="1" t="s">
        <v>608</v>
      </c>
      <c r="I27" s="174"/>
      <c r="J27" s="328" t="str">
        <f>ConcatenateWithSpaces($B$27:$H$27)</f>
        <v>Property: X</v>
      </c>
      <c r="K27" s="176"/>
    </row>
    <row r="28" spans="1:11" x14ac:dyDescent="0.2">
      <c r="A28" s="172"/>
      <c r="B28" s="1" t="s">
        <v>521</v>
      </c>
      <c r="C28" s="26" t="str">
        <f>IF(ISERROR(FIND(",", $C$29)), "Constant", "InputFromFile")</f>
        <v>Constant</v>
      </c>
      <c r="I28" s="174"/>
      <c r="J28" s="328" t="str">
        <f>ConcatenateWithSpaces($B$28:$H$28)</f>
        <v>Form: Constant</v>
      </c>
      <c r="K28" s="176"/>
    </row>
    <row r="29" spans="1:11" x14ac:dyDescent="0.2">
      <c r="A29" s="172"/>
      <c r="B29" s="1" t="s">
        <v>2</v>
      </c>
      <c r="C29" s="180">
        <f>Layout!$U$10</f>
        <v>628347.20721653989</v>
      </c>
      <c r="I29" s="174"/>
      <c r="J29" s="328" t="str">
        <f>ConcatenateWithSpaces($B$29:$H$29)</f>
        <v>Value: 628347.20721654</v>
      </c>
      <c r="K29" s="176"/>
    </row>
    <row r="30" spans="1:11" x14ac:dyDescent="0.2">
      <c r="A30" s="172"/>
      <c r="B30" s="1" t="s">
        <v>609</v>
      </c>
      <c r="I30" s="174"/>
      <c r="J30" s="328" t="str">
        <f>ConcatenateWithSpaces($B$30:$H$30)</f>
        <v>Property: Y</v>
      </c>
      <c r="K30" s="176"/>
    </row>
    <row r="31" spans="1:11" x14ac:dyDescent="0.2">
      <c r="A31" s="172"/>
      <c r="B31" s="1" t="s">
        <v>521</v>
      </c>
      <c r="C31" s="26" t="str">
        <f>IF(ISERROR(FIND(",", $C$32)), "Constant", "InputFromFile")</f>
        <v>Constant</v>
      </c>
      <c r="I31" s="174"/>
      <c r="J31" s="328" t="str">
        <f>ConcatenateWithSpaces($B$31:$H$31)</f>
        <v>Form: Constant</v>
      </c>
      <c r="K31" s="176"/>
    </row>
    <row r="32" spans="1:11" x14ac:dyDescent="0.2">
      <c r="A32" s="172"/>
      <c r="B32" s="1" t="s">
        <v>2</v>
      </c>
      <c r="C32" s="180">
        <f>Layout!$U$11</f>
        <v>4899532.3300129734</v>
      </c>
      <c r="I32" s="174"/>
      <c r="J32" s="328" t="str">
        <f>ConcatenateWithSpaces($B$32:$H$32)</f>
        <v>Value: 4899532.33001297</v>
      </c>
      <c r="K32" s="176"/>
    </row>
    <row r="33" spans="1:11" x14ac:dyDescent="0.2">
      <c r="A33" s="172"/>
      <c r="B33" s="1" t="s">
        <v>610</v>
      </c>
      <c r="I33" s="174"/>
      <c r="J33" s="328" t="str">
        <f>ConcatenateWithSpaces($B$33:$H$33)</f>
        <v>Property: Elevation</v>
      </c>
      <c r="K33" s="176"/>
    </row>
    <row r="34" spans="1:11" x14ac:dyDescent="0.2">
      <c r="A34" s="172"/>
      <c r="B34" s="1" t="s">
        <v>521</v>
      </c>
      <c r="C34" s="26" t="str">
        <f>IF(ISERROR(FIND(",", $C$35)), "Constant", "InputFromFile")</f>
        <v>Constant</v>
      </c>
      <c r="I34" s="174"/>
      <c r="J34" s="328" t="str">
        <f>ConcatenateWithSpaces($B$34:$H$34)</f>
        <v>Form: Constant</v>
      </c>
      <c r="K34" s="176"/>
    </row>
    <row r="35" spans="1:11" x14ac:dyDescent="0.2">
      <c r="A35" s="172"/>
      <c r="B35" s="1" t="s">
        <v>2</v>
      </c>
      <c r="C35" s="26">
        <f>Layout!$U$12</f>
        <v>80</v>
      </c>
      <c r="I35" s="174"/>
      <c r="J35" s="328" t="str">
        <f>ConcatenateWithSpaces($B$35:$H$35)</f>
        <v>Value: 80</v>
      </c>
      <c r="K35" s="176"/>
    </row>
    <row r="36" spans="1:11" x14ac:dyDescent="0.2">
      <c r="A36" s="172"/>
      <c r="B36" s="1" t="s">
        <v>611</v>
      </c>
      <c r="I36" s="174"/>
      <c r="J36" s="328" t="str">
        <f>ConcatenateWithSpaces($B$36:$H$36)</f>
        <v>Property: EmissionRate</v>
      </c>
      <c r="K36" s="176"/>
    </row>
    <row r="37" spans="1:11" x14ac:dyDescent="0.2">
      <c r="A37" s="172"/>
      <c r="B37" s="1" t="s">
        <v>612</v>
      </c>
      <c r="C37" s="26" t="str">
        <f>"{" &amp; Layout!$T$13 &amp; "}"</f>
        <v>{Arsenic}</v>
      </c>
      <c r="D37" s="26">
        <f>Layout!$U$13</f>
        <v>0</v>
      </c>
      <c r="I37" s="174"/>
      <c r="J37" s="328" t="str">
        <f>ConcatenateWithSpaces($B$37:$H$37)</f>
        <v>Value:  {Arsenic} 0</v>
      </c>
      <c r="K37" s="176"/>
    </row>
    <row r="38" spans="1:11" x14ac:dyDescent="0.2">
      <c r="A38" s="172"/>
      <c r="B38" s="1" t="s">
        <v>612</v>
      </c>
      <c r="C38" s="26" t="str">
        <f>"{" &amp; Layout!$T$14 &amp; "}"</f>
        <v>{2-Methylnaphthalene}</v>
      </c>
      <c r="D38" s="26">
        <f>Layout!$U$14</f>
        <v>0</v>
      </c>
      <c r="I38" s="174"/>
      <c r="J38" s="328" t="str">
        <f>ConcatenateWithSpaces($B$38:$H$38)</f>
        <v>Value:  {2-Methylnaphthalene} 0</v>
      </c>
      <c r="K38" s="176"/>
    </row>
    <row r="39" spans="1:11" x14ac:dyDescent="0.2">
      <c r="A39" s="172"/>
      <c r="B39" s="1" t="s">
        <v>612</v>
      </c>
      <c r="C39" s="26" t="str">
        <f>"{" &amp; Layout!$T$15 &amp; "}"</f>
        <v>{Fluorene}</v>
      </c>
      <c r="D39" s="26">
        <f>Layout!$U$15</f>
        <v>0</v>
      </c>
      <c r="I39" s="174"/>
      <c r="J39" s="328" t="str">
        <f>ConcatenateWithSpaces($B$39:$H$39)</f>
        <v>Value:  {Fluorene} 0</v>
      </c>
      <c r="K39" s="176"/>
    </row>
    <row r="40" spans="1:11" x14ac:dyDescent="0.2">
      <c r="A40" s="172"/>
      <c r="B40" s="1" t="s">
        <v>612</v>
      </c>
      <c r="C40" s="26" t="str">
        <f>"{" &amp; Layout!$T$16 &amp; "}"</f>
        <v>{Fluoranthene}</v>
      </c>
      <c r="D40" s="26">
        <f>Layout!$U$16</f>
        <v>0</v>
      </c>
      <c r="I40" s="174"/>
      <c r="J40" s="328" t="str">
        <f>ConcatenateWithSpaces($B$40:$H$40)</f>
        <v>Value:  {Fluoranthene} 0</v>
      </c>
      <c r="K40" s="176"/>
    </row>
    <row r="41" spans="1:11" x14ac:dyDescent="0.2">
      <c r="A41" s="172"/>
      <c r="B41" s="1" t="s">
        <v>612</v>
      </c>
      <c r="C41" s="26" t="str">
        <f>"{" &amp; Layout!$T$17 &amp; "}"</f>
        <v>{MethylMercury}</v>
      </c>
      <c r="D41" s="26">
        <f>Layout!$U$17</f>
        <v>0</v>
      </c>
      <c r="I41" s="174"/>
      <c r="J41" s="328" t="str">
        <f>ConcatenateWithSpaces($B$41:$H$41)</f>
        <v>Value:  {MethylMercury} 0</v>
      </c>
      <c r="K41" s="176"/>
    </row>
    <row r="42" spans="1:11" x14ac:dyDescent="0.2">
      <c r="A42" s="172"/>
      <c r="B42" s="1" t="s">
        <v>612</v>
      </c>
      <c r="C42" s="26" t="str">
        <f>"{" &amp; Layout!$T$18 &amp; "}"</f>
        <v>{Lead}</v>
      </c>
      <c r="D42" s="26">
        <f>Layout!$U$18</f>
        <v>0</v>
      </c>
      <c r="I42" s="174"/>
      <c r="J42" s="328" t="str">
        <f>ConcatenateWithSpaces($B$42:$H$42)</f>
        <v>Value:  {Lead} 0</v>
      </c>
      <c r="K42" s="176"/>
    </row>
    <row r="43" spans="1:11" x14ac:dyDescent="0.2">
      <c r="A43" s="172"/>
      <c r="B43" s="1" t="s">
        <v>612</v>
      </c>
      <c r="C43" s="26" t="str">
        <f>"{" &amp; Layout!$T$19 &amp; "}"</f>
        <v>{Indeno(1,2,3-cd)pyrene}</v>
      </c>
      <c r="D43" s="26">
        <f>Layout!$U$19</f>
        <v>0</v>
      </c>
      <c r="I43" s="174"/>
      <c r="J43" s="328" t="str">
        <f>ConcatenateWithSpaces($B$43:$H$43)</f>
        <v>Value:  {Indeno(1,2,3-cd)pyrene} 0</v>
      </c>
      <c r="K43" s="176"/>
    </row>
    <row r="44" spans="1:11" x14ac:dyDescent="0.2">
      <c r="A44" s="172"/>
      <c r="B44" s="1" t="s">
        <v>612</v>
      </c>
      <c r="C44" s="26" t="str">
        <f>"{" &amp; Layout!$T$20 &amp; "}"</f>
        <v>{Elemental Mercury}</v>
      </c>
      <c r="D44" s="26">
        <f>Layout!$U$20</f>
        <v>0</v>
      </c>
      <c r="I44" s="174"/>
      <c r="J44" s="328" t="str">
        <f>ConcatenateWithSpaces($B$44:$H$44)</f>
        <v>Value:  {Elemental Mercury} 0</v>
      </c>
      <c r="K44" s="176"/>
    </row>
    <row r="45" spans="1:11" x14ac:dyDescent="0.2">
      <c r="A45" s="172"/>
      <c r="B45" s="1" t="s">
        <v>612</v>
      </c>
      <c r="C45" s="26" t="str">
        <f>"{" &amp; Layout!$T$21 &amp; "}"</f>
        <v>{Divalent Mercury}</v>
      </c>
      <c r="D45" s="26">
        <f>Layout!$U$21</f>
        <v>0</v>
      </c>
      <c r="I45" s="174"/>
      <c r="J45" s="328" t="str">
        <f>ConcatenateWithSpaces($B$45:$H$45)</f>
        <v>Value:  {Divalent Mercury} 0</v>
      </c>
      <c r="K45" s="176"/>
    </row>
    <row r="46" spans="1:11" x14ac:dyDescent="0.2">
      <c r="A46" s="172"/>
      <c r="B46" s="1" t="s">
        <v>612</v>
      </c>
      <c r="C46" s="26" t="str">
        <f>"{" &amp; Layout!$T$22 &amp; "}"</f>
        <v>{Dibenz(a,h)anthracene}</v>
      </c>
      <c r="D46" s="26">
        <f>Layout!$U$22</f>
        <v>0</v>
      </c>
      <c r="I46" s="174"/>
      <c r="J46" s="328" t="str">
        <f>ConcatenateWithSpaces($B$46:$H$46)</f>
        <v>Value:  {Dibenz(a,h)anthracene} 0</v>
      </c>
      <c r="K46" s="176"/>
    </row>
    <row r="47" spans="1:11" x14ac:dyDescent="0.2">
      <c r="A47" s="172"/>
      <c r="B47" s="1" t="s">
        <v>612</v>
      </c>
      <c r="C47" s="26" t="str">
        <f>"{" &amp; Layout!$T$23 &amp; "}"</f>
        <v>{Chrysene}</v>
      </c>
      <c r="D47" s="26">
        <f>Layout!$U$23</f>
        <v>0</v>
      </c>
      <c r="I47" s="174"/>
      <c r="J47" s="328" t="str">
        <f>ConcatenateWithSpaces($B$47:$H$47)</f>
        <v>Value:  {Chrysene} 0</v>
      </c>
      <c r="K47" s="176"/>
    </row>
    <row r="48" spans="1:11" x14ac:dyDescent="0.2">
      <c r="A48" s="172"/>
      <c r="B48" s="1" t="s">
        <v>612</v>
      </c>
      <c r="C48" s="26" t="str">
        <f>"{" &amp; Layout!$T$24 &amp; "}"</f>
        <v>{Cadmium}</v>
      </c>
      <c r="D48" s="26">
        <f>Layout!$U$24</f>
        <v>0</v>
      </c>
      <c r="I48" s="174"/>
      <c r="J48" s="328" t="str">
        <f>ConcatenateWithSpaces($B$48:$H$48)</f>
        <v>Value:  {Cadmium} 0</v>
      </c>
      <c r="K48" s="176"/>
    </row>
    <row r="49" spans="1:11" x14ac:dyDescent="0.2">
      <c r="A49" s="172"/>
      <c r="B49" s="1" t="s">
        <v>612</v>
      </c>
      <c r="C49" s="26" t="str">
        <f>"{" &amp; Layout!$T$25 &amp; "}"</f>
        <v>{Benzo(k)fluoranthene}</v>
      </c>
      <c r="D49" s="26">
        <f>Layout!$U$25</f>
        <v>0</v>
      </c>
      <c r="I49" s="174"/>
      <c r="J49" s="328" t="str">
        <f>ConcatenateWithSpaces($B$49:$H$49)</f>
        <v>Value:  {Benzo(k)fluoranthene} 0</v>
      </c>
      <c r="K49" s="176"/>
    </row>
    <row r="50" spans="1:11" x14ac:dyDescent="0.2">
      <c r="A50" s="172"/>
      <c r="B50" s="1" t="s">
        <v>612</v>
      </c>
      <c r="C50" s="26" t="str">
        <f>"{" &amp; Layout!$T$26 &amp; "}"</f>
        <v>{7,12-Dimethylbenz(a)anthracene}</v>
      </c>
      <c r="D50" s="26">
        <f>Layout!$U$26</f>
        <v>0</v>
      </c>
      <c r="I50" s="174"/>
      <c r="J50" s="328" t="str">
        <f>ConcatenateWithSpaces($B$50:$H$50)</f>
        <v>Value:  {7,12-Dimethylbenz(a)anthracene} 0</v>
      </c>
      <c r="K50" s="176"/>
    </row>
    <row r="51" spans="1:11" x14ac:dyDescent="0.2">
      <c r="A51" s="172"/>
      <c r="B51" s="1" t="s">
        <v>612</v>
      </c>
      <c r="C51" s="26" t="str">
        <f>"{" &amp; Layout!$T$27 &amp; "}"</f>
        <v>{Acenaphthene}</v>
      </c>
      <c r="D51" s="26">
        <f>Layout!$U$27</f>
        <v>0</v>
      </c>
      <c r="I51" s="174"/>
      <c r="J51" s="328" t="str">
        <f>ConcatenateWithSpaces($B$51:$H$51)</f>
        <v>Value:  {Acenaphthene} 0</v>
      </c>
      <c r="K51" s="176"/>
    </row>
    <row r="52" spans="1:11" x14ac:dyDescent="0.2">
      <c r="A52" s="172"/>
      <c r="B52" s="1" t="s">
        <v>612</v>
      </c>
      <c r="C52" s="26" t="str">
        <f>"{" &amp; Layout!$T$28 &amp; "}"</f>
        <v>{Acenaphthylene}</v>
      </c>
      <c r="D52" s="26">
        <f>Layout!$U$28</f>
        <v>0</v>
      </c>
      <c r="I52" s="174"/>
      <c r="J52" s="328" t="str">
        <f>ConcatenateWithSpaces($B$52:$H$52)</f>
        <v>Value:  {Acenaphthylene} 0</v>
      </c>
      <c r="K52" s="176"/>
    </row>
    <row r="53" spans="1:11" x14ac:dyDescent="0.2">
      <c r="A53" s="172"/>
      <c r="B53" s="1" t="s">
        <v>612</v>
      </c>
      <c r="C53" s="26" t="str">
        <f>"{" &amp; Layout!$T$29 &amp; "}"</f>
        <v>{Benz(a)anthracene}</v>
      </c>
      <c r="D53" s="26">
        <f>Layout!$U$29</f>
        <v>0</v>
      </c>
      <c r="I53" s="174"/>
      <c r="J53" s="328" t="str">
        <f>ConcatenateWithSpaces($B$53:$H$53)</f>
        <v>Value:  {Benz(a)anthracene} 0</v>
      </c>
      <c r="K53" s="176"/>
    </row>
    <row r="54" spans="1:11" x14ac:dyDescent="0.2">
      <c r="A54" s="172"/>
      <c r="B54" s="1" t="s">
        <v>612</v>
      </c>
      <c r="C54" s="26" t="str">
        <f>"{" &amp; Layout!$T$30 &amp; "}"</f>
        <v>{Benzo(A)pyrene}</v>
      </c>
      <c r="D54" s="26">
        <f>Layout!$U$30</f>
        <v>0</v>
      </c>
      <c r="I54" s="174"/>
      <c r="J54" s="328" t="str">
        <f>ConcatenateWithSpaces($B$54:$H$54)</f>
        <v>Value:  {Benzo(A)pyrene} 0</v>
      </c>
      <c r="K54" s="176"/>
    </row>
    <row r="55" spans="1:11" x14ac:dyDescent="0.2">
      <c r="A55" s="172"/>
      <c r="B55" s="1" t="s">
        <v>612</v>
      </c>
      <c r="C55" s="26" t="str">
        <f>"{" &amp; Layout!$T$31 &amp; "}"</f>
        <v>{Benzo(b)fluoranthene}</v>
      </c>
      <c r="D55" s="26">
        <f>Layout!$U$31</f>
        <v>0</v>
      </c>
      <c r="I55" s="174"/>
      <c r="J55" s="328" t="str">
        <f>ConcatenateWithSpaces($B$55:$H$55)</f>
        <v>Value:  {Benzo(b)fluoranthene} 0</v>
      </c>
      <c r="K55" s="176"/>
    </row>
    <row r="56" spans="1:11" x14ac:dyDescent="0.2">
      <c r="A56" s="172"/>
      <c r="B56" s="1" t="s">
        <v>612</v>
      </c>
      <c r="C56" s="26" t="str">
        <f>"{" &amp; Layout!$T$32 &amp; "}"</f>
        <v>{Benzo(g,h,i)perylene}</v>
      </c>
      <c r="D56" s="26">
        <f>Layout!$U$32</f>
        <v>0</v>
      </c>
      <c r="I56" s="174"/>
      <c r="J56" s="328" t="str">
        <f>ConcatenateWithSpaces($B$56:$H$56)</f>
        <v>Value:  {Benzo(g,h,i)perylene} 0</v>
      </c>
      <c r="K56" s="176"/>
    </row>
    <row r="57" spans="1:11" x14ac:dyDescent="0.2">
      <c r="A57" s="172"/>
      <c r="B57" s="1" t="s">
        <v>612</v>
      </c>
      <c r="C57" s="26" t="str">
        <f>"{" &amp; Layout!$T$33 &amp; "}"</f>
        <v>{2,3,7,8-TCDF}</v>
      </c>
      <c r="D57" s="26">
        <f>Layout!$U$33</f>
        <v>0</v>
      </c>
      <c r="I57" s="174"/>
      <c r="J57" s="328" t="str">
        <f>ConcatenateWithSpaces($B$57:$H$57)</f>
        <v>Value:  {2,3,7,8-TCDF} 0</v>
      </c>
      <c r="K57" s="176"/>
    </row>
    <row r="58" spans="1:11" x14ac:dyDescent="0.2">
      <c r="A58" s="172"/>
      <c r="B58" s="1" t="s">
        <v>612</v>
      </c>
      <c r="C58" s="26" t="str">
        <f>"{" &amp; Layout!$T$34 &amp; "}"</f>
        <v>{2,3,7,8-TCDD}</v>
      </c>
      <c r="D58" s="26">
        <f>Layout!$U$34</f>
        <v>0</v>
      </c>
      <c r="I58" s="174"/>
      <c r="J58" s="328" t="str">
        <f>ConcatenateWithSpaces($B$58:$H$58)</f>
        <v>Value:  {2,3,7,8-TCDD} 0</v>
      </c>
      <c r="K58" s="176"/>
    </row>
    <row r="59" spans="1:11" x14ac:dyDescent="0.2">
      <c r="A59" s="172"/>
      <c r="B59" s="1" t="s">
        <v>612</v>
      </c>
      <c r="C59" s="26" t="str">
        <f>"{" &amp; Layout!$T$35 &amp; "}"</f>
        <v>{2,3,4,7,8-PeCDF}</v>
      </c>
      <c r="D59" s="26">
        <f>Layout!$U$35</f>
        <v>0</v>
      </c>
      <c r="I59" s="174"/>
      <c r="J59" s="328" t="str">
        <f>ConcatenateWithSpaces($B$59:$H$59)</f>
        <v>Value:  {2,3,4,7,8-PeCDF} 0</v>
      </c>
      <c r="K59" s="176"/>
    </row>
    <row r="60" spans="1:11" x14ac:dyDescent="0.2">
      <c r="A60" s="172"/>
      <c r="B60" s="1" t="s">
        <v>612</v>
      </c>
      <c r="C60" s="26" t="str">
        <f>"{" &amp; Layout!$T$36 &amp; "}"</f>
        <v>{2,3,4,6,7,8-HxCDF}</v>
      </c>
      <c r="D60" s="26">
        <f>Layout!$U$36</f>
        <v>0</v>
      </c>
      <c r="I60" s="174"/>
      <c r="J60" s="328" t="str">
        <f>ConcatenateWithSpaces($B$60:$H$60)</f>
        <v>Value:  {2,3,4,6,7,8-HxCDF} 0</v>
      </c>
      <c r="K60" s="176"/>
    </row>
    <row r="61" spans="1:11" x14ac:dyDescent="0.2">
      <c r="A61" s="172"/>
      <c r="B61" s="1" t="s">
        <v>612</v>
      </c>
      <c r="C61" s="26" t="str">
        <f>"{" &amp; Layout!$T$37 &amp; "}"</f>
        <v>{1,2,3,7,8-PeCDF}</v>
      </c>
      <c r="D61" s="26">
        <f>Layout!$U$37</f>
        <v>0</v>
      </c>
      <c r="I61" s="174"/>
      <c r="J61" s="328" t="str">
        <f>ConcatenateWithSpaces($B$61:$H$61)</f>
        <v>Value:  {1,2,3,7,8-PeCDF} 0</v>
      </c>
      <c r="K61" s="176"/>
    </row>
    <row r="62" spans="1:11" x14ac:dyDescent="0.2">
      <c r="A62" s="172"/>
      <c r="B62" s="1" t="s">
        <v>612</v>
      </c>
      <c r="C62" s="26" t="str">
        <f>"{" &amp; Layout!$T$38 &amp; "}"</f>
        <v>{1,2,3,7,8-PeCDD}</v>
      </c>
      <c r="D62" s="26">
        <f>Layout!$U$38</f>
        <v>0</v>
      </c>
      <c r="I62" s="174"/>
      <c r="J62" s="328" t="str">
        <f>ConcatenateWithSpaces($B$62:$H$62)</f>
        <v>Value:  {1,2,3,7,8-PeCDD} 0</v>
      </c>
      <c r="K62" s="176"/>
    </row>
    <row r="63" spans="1:11" x14ac:dyDescent="0.2">
      <c r="A63" s="172"/>
      <c r="B63" s="1" t="s">
        <v>612</v>
      </c>
      <c r="C63" s="26" t="str">
        <f>"{" &amp; Layout!$T$39 &amp; "}"</f>
        <v>{1,2,3,7,8,9-HxCDF}</v>
      </c>
      <c r="D63" s="26">
        <f>Layout!$U$39</f>
        <v>0</v>
      </c>
      <c r="I63" s="174"/>
      <c r="J63" s="328" t="str">
        <f>ConcatenateWithSpaces($B$63:$H$63)</f>
        <v>Value:  {1,2,3,7,8,9-HxCDF} 0</v>
      </c>
      <c r="K63" s="176"/>
    </row>
    <row r="64" spans="1:11" x14ac:dyDescent="0.2">
      <c r="A64" s="172"/>
      <c r="B64" s="1" t="s">
        <v>612</v>
      </c>
      <c r="C64" s="26" t="str">
        <f>"{" &amp; Layout!$T$40 &amp; "}"</f>
        <v>{1,2,3,7,8,9-HxCDD}</v>
      </c>
      <c r="D64" s="26">
        <f>Layout!$U$40</f>
        <v>0</v>
      </c>
      <c r="I64" s="174"/>
      <c r="J64" s="328" t="str">
        <f>ConcatenateWithSpaces($B$64:$H$64)</f>
        <v>Value:  {1,2,3,7,8,9-HxCDD} 0</v>
      </c>
      <c r="K64" s="176"/>
    </row>
    <row r="65" spans="1:11" x14ac:dyDescent="0.2">
      <c r="A65" s="172"/>
      <c r="B65" s="1" t="s">
        <v>612</v>
      </c>
      <c r="C65" s="26" t="str">
        <f>"{" &amp; Layout!$T$41 &amp; "}"</f>
        <v>{1,2,3,6,7,8-HxCDF}</v>
      </c>
      <c r="D65" s="26">
        <f>Layout!$U$41</f>
        <v>0</v>
      </c>
      <c r="I65" s="174"/>
      <c r="J65" s="328" t="str">
        <f>ConcatenateWithSpaces($B$65:$H$65)</f>
        <v>Value:  {1,2,3,6,7,8-HxCDF} 0</v>
      </c>
      <c r="K65" s="176"/>
    </row>
    <row r="66" spans="1:11" x14ac:dyDescent="0.2">
      <c r="A66" s="172"/>
      <c r="B66" s="1" t="s">
        <v>612</v>
      </c>
      <c r="C66" s="26" t="str">
        <f>"{" &amp; Layout!$T$42 &amp; "}"</f>
        <v>{1,2,3,6,7,8-HxCDD}</v>
      </c>
      <c r="D66" s="26">
        <f>Layout!$U$42</f>
        <v>0</v>
      </c>
      <c r="I66" s="174"/>
      <c r="J66" s="328" t="str">
        <f>ConcatenateWithSpaces($B$66:$H$66)</f>
        <v>Value:  {1,2,3,6,7,8-HxCDD} 0</v>
      </c>
      <c r="K66" s="176"/>
    </row>
    <row r="67" spans="1:11" x14ac:dyDescent="0.2">
      <c r="A67" s="172"/>
      <c r="B67" s="1" t="s">
        <v>612</v>
      </c>
      <c r="C67" s="26" t="str">
        <f>"{" &amp; Layout!$T$43 &amp; "}"</f>
        <v>{1,2,3,4,7,8-HxCDF}</v>
      </c>
      <c r="D67" s="26">
        <f>Layout!$U$43</f>
        <v>0</v>
      </c>
      <c r="I67" s="174"/>
      <c r="J67" s="328" t="str">
        <f>ConcatenateWithSpaces($B$67:$H$67)</f>
        <v>Value:  {1,2,3,4,7,8-HxCDF} 0</v>
      </c>
      <c r="K67" s="176"/>
    </row>
    <row r="68" spans="1:11" x14ac:dyDescent="0.2">
      <c r="A68" s="172"/>
      <c r="B68" s="1" t="s">
        <v>612</v>
      </c>
      <c r="C68" s="26" t="str">
        <f>"{" &amp; Layout!$T$44 &amp; "}"</f>
        <v>{1,2,3,4,7,8-HxCDD}</v>
      </c>
      <c r="D68" s="26">
        <f>Layout!$U$44</f>
        <v>0</v>
      </c>
      <c r="I68" s="174"/>
      <c r="J68" s="328" t="str">
        <f>ConcatenateWithSpaces($B$68:$H$68)</f>
        <v>Value:  {1,2,3,4,7,8-HxCDD} 0</v>
      </c>
      <c r="K68" s="176"/>
    </row>
    <row r="69" spans="1:11" x14ac:dyDescent="0.2">
      <c r="A69" s="172"/>
      <c r="B69" s="1" t="s">
        <v>612</v>
      </c>
      <c r="C69" s="26" t="str">
        <f>"{" &amp; Layout!$T$45 &amp; "}"</f>
        <v>{1,2,3,4,7,8,9-HpCDF}</v>
      </c>
      <c r="D69" s="26">
        <f>Layout!$U$45</f>
        <v>0</v>
      </c>
      <c r="I69" s="174"/>
      <c r="J69" s="328" t="str">
        <f>ConcatenateWithSpaces($B$69:$H$69)</f>
        <v>Value:  {1,2,3,4,7,8,9-HpCDF} 0</v>
      </c>
      <c r="K69" s="176"/>
    </row>
    <row r="70" spans="1:11" x14ac:dyDescent="0.2">
      <c r="A70" s="172"/>
      <c r="B70" s="1" t="s">
        <v>612</v>
      </c>
      <c r="C70" s="26" t="str">
        <f>"{" &amp; Layout!$T$46 &amp; "}"</f>
        <v>{1,2,3,4,6,7,8-HpCDF}</v>
      </c>
      <c r="D70" s="26">
        <f>Layout!$U$46</f>
        <v>0</v>
      </c>
      <c r="I70" s="174"/>
      <c r="J70" s="328" t="str">
        <f>ConcatenateWithSpaces($B$70:$H$70)</f>
        <v>Value:  {1,2,3,4,6,7,8-HpCDF} 0</v>
      </c>
      <c r="K70" s="176"/>
    </row>
    <row r="71" spans="1:11" x14ac:dyDescent="0.2">
      <c r="A71" s="172"/>
      <c r="B71" s="1" t="s">
        <v>612</v>
      </c>
      <c r="C71" s="26" t="str">
        <f>"{" &amp; Layout!$T$47 &amp; "}"</f>
        <v>{1,2,3,4,6,7,8-HpCDD}</v>
      </c>
      <c r="D71" s="26">
        <f>Layout!$U$47</f>
        <v>0</v>
      </c>
      <c r="I71" s="174"/>
      <c r="J71" s="177" t="str">
        <f>ConcatenateWithSpaces($B$71:$H$71)</f>
        <v>Value:  {1,2,3,4,6,7,8-HpCDD} 0</v>
      </c>
      <c r="K71" s="176"/>
    </row>
    <row r="72" spans="1:11" x14ac:dyDescent="0.2">
      <c r="A72" s="172"/>
      <c r="B72" s="1" t="s">
        <v>612</v>
      </c>
      <c r="C72" s="26" t="str">
        <f>"{" &amp; Layout!$T$48 &amp; "}"</f>
        <v>{1,2,3,4,6,7,8,9-OCDF}</v>
      </c>
      <c r="D72" s="26">
        <f>Layout!$U$48</f>
        <v>0</v>
      </c>
      <c r="I72" s="174"/>
      <c r="J72" s="177" t="str">
        <f>ConcatenateWithSpaces($B$72:$H$72)</f>
        <v>Value:  {1,2,3,4,6,7,8,9-OCDF} 0</v>
      </c>
      <c r="K72" s="176"/>
    </row>
    <row r="73" spans="1:11" x14ac:dyDescent="0.2">
      <c r="A73" s="172"/>
      <c r="B73" s="1" t="s">
        <v>612</v>
      </c>
      <c r="C73" s="26" t="str">
        <f>"{" &amp; Layout!$T$49 &amp; "}"</f>
        <v>{1,2,3,4,6,7,8,9-OCDD}</v>
      </c>
      <c r="D73" s="26">
        <f>Layout!$U$49</f>
        <v>0</v>
      </c>
      <c r="I73" s="174"/>
      <c r="J73" s="177" t="str">
        <f>ConcatenateWithSpaces($B$73:$H$73)</f>
        <v>Value:  {1,2,3,4,6,7,8,9-OCDD} 0</v>
      </c>
      <c r="K73" s="176"/>
    </row>
    <row r="74" spans="1:11" x14ac:dyDescent="0.2">
      <c r="A74" s="172"/>
      <c r="I74" s="174"/>
      <c r="J74" s="177" t="str">
        <f>ConcatenateWithSpaces($B$74:$H$74)</f>
        <v/>
      </c>
      <c r="K74" s="176"/>
    </row>
    <row r="75" spans="1:11" x14ac:dyDescent="0.2">
      <c r="A75" s="172"/>
      <c r="I75" s="174"/>
      <c r="J75" s="177" t="str">
        <f>ConcatenateWithSpaces($B$75:$H$75)</f>
        <v/>
      </c>
      <c r="K75" s="176"/>
    </row>
    <row r="76" spans="1:11" x14ac:dyDescent="0.2">
      <c r="A76" s="172"/>
      <c r="I76" s="174"/>
      <c r="K76" s="176"/>
    </row>
    <row r="77" spans="1:11" x14ac:dyDescent="0.2">
      <c r="A77" s="172"/>
      <c r="I77" s="174"/>
      <c r="K77" s="176"/>
    </row>
    <row r="78" spans="1:11" x14ac:dyDescent="0.2">
      <c r="A78" s="172"/>
      <c r="I78" s="174"/>
      <c r="K78" s="176"/>
    </row>
    <row r="79" spans="1:11" x14ac:dyDescent="0.2">
      <c r="A79" s="172"/>
      <c r="I79" s="174"/>
      <c r="K79" s="176"/>
    </row>
    <row r="80" spans="1:11" x14ac:dyDescent="0.2">
      <c r="A80" s="172"/>
      <c r="I80" s="174"/>
      <c r="K80" s="176"/>
    </row>
    <row r="81" spans="1:11" x14ac:dyDescent="0.2">
      <c r="A81" s="172"/>
      <c r="I81" s="174"/>
      <c r="K81" s="176"/>
    </row>
    <row r="82" spans="1:11" x14ac:dyDescent="0.2">
      <c r="A82" s="172"/>
      <c r="I82" s="174"/>
      <c r="K82" s="176"/>
    </row>
    <row r="83" spans="1:11" x14ac:dyDescent="0.2">
      <c r="A83" s="172"/>
      <c r="I83" s="174"/>
      <c r="K83" s="176"/>
    </row>
    <row r="84" spans="1:11" x14ac:dyDescent="0.2">
      <c r="A84" s="172"/>
      <c r="I84" s="174"/>
      <c r="K84" s="176"/>
    </row>
    <row r="85" spans="1:11" x14ac:dyDescent="0.2">
      <c r="A85" s="172"/>
      <c r="I85" s="174"/>
      <c r="K85" s="176"/>
    </row>
    <row r="86" spans="1:11" x14ac:dyDescent="0.2">
      <c r="A86" s="172"/>
      <c r="I86" s="174"/>
      <c r="K86" s="176"/>
    </row>
    <row r="87" spans="1:11" x14ac:dyDescent="0.2">
      <c r="A87" s="172"/>
      <c r="I87" s="174"/>
      <c r="K87" s="176"/>
    </row>
    <row r="88" spans="1:11" x14ac:dyDescent="0.2">
      <c r="A88" s="172"/>
      <c r="I88" s="174"/>
      <c r="K88" s="176"/>
    </row>
    <row r="89" spans="1:11" x14ac:dyDescent="0.2">
      <c r="A89" s="172"/>
      <c r="I89" s="174"/>
      <c r="K89" s="176"/>
    </row>
    <row r="90" spans="1:11" x14ac:dyDescent="0.2">
      <c r="A90" s="172"/>
      <c r="I90" s="174"/>
      <c r="K90" s="176"/>
    </row>
    <row r="91" spans="1:11" x14ac:dyDescent="0.2">
      <c r="A91" s="172"/>
      <c r="I91" s="174"/>
      <c r="K91" s="176"/>
    </row>
    <row r="92" spans="1:11" x14ac:dyDescent="0.2">
      <c r="A92" s="172"/>
      <c r="I92" s="174"/>
      <c r="K92" s="176"/>
    </row>
    <row r="93" spans="1:11" x14ac:dyDescent="0.2">
      <c r="A93" s="172"/>
      <c r="I93" s="174"/>
      <c r="K93" s="176"/>
    </row>
    <row r="94" spans="1:11" x14ac:dyDescent="0.2">
      <c r="A94" s="172"/>
      <c r="I94" s="174"/>
      <c r="K94" s="176"/>
    </row>
    <row r="95" spans="1:11" x14ac:dyDescent="0.2">
      <c r="A95" s="172"/>
      <c r="I95" s="174"/>
      <c r="K95" s="176"/>
    </row>
    <row r="96" spans="1:11" x14ac:dyDescent="0.2">
      <c r="A96" s="172"/>
      <c r="I96" s="174"/>
      <c r="K96" s="176"/>
    </row>
    <row r="97" spans="1:11" x14ac:dyDescent="0.2">
      <c r="A97" s="172"/>
      <c r="I97" s="174"/>
      <c r="K97" s="176"/>
    </row>
    <row r="98" spans="1:11" x14ac:dyDescent="0.2">
      <c r="A98" s="172"/>
      <c r="I98" s="174"/>
      <c r="K98" s="176"/>
    </row>
    <row r="99" spans="1:11" x14ac:dyDescent="0.2">
      <c r="A99" s="172"/>
      <c r="I99" s="174"/>
      <c r="K99" s="176"/>
    </row>
    <row r="100" spans="1:11" x14ac:dyDescent="0.2">
      <c r="A100" s="172"/>
      <c r="I100" s="174"/>
      <c r="K100" s="176"/>
    </row>
    <row r="101" spans="1:11" x14ac:dyDescent="0.2">
      <c r="A101" s="172"/>
      <c r="I101" s="174"/>
      <c r="K101" s="176"/>
    </row>
    <row r="102" spans="1:11" x14ac:dyDescent="0.2">
      <c r="A102" s="172"/>
      <c r="I102" s="174"/>
      <c r="K102" s="176"/>
    </row>
    <row r="103" spans="1:11" x14ac:dyDescent="0.2">
      <c r="A103" s="172"/>
      <c r="I103" s="174"/>
      <c r="K103" s="176"/>
    </row>
    <row r="104" spans="1:11" x14ac:dyDescent="0.2">
      <c r="A104" s="172"/>
      <c r="I104" s="174"/>
      <c r="K104" s="176"/>
    </row>
    <row r="105" spans="1:11" x14ac:dyDescent="0.2">
      <c r="A105" s="172"/>
      <c r="I105" s="174"/>
      <c r="K105" s="176"/>
    </row>
    <row r="106" spans="1:11" x14ac:dyDescent="0.2">
      <c r="A106" s="172"/>
      <c r="I106" s="174"/>
      <c r="K106" s="176"/>
    </row>
    <row r="107" spans="1:11" x14ac:dyDescent="0.2">
      <c r="A107" s="172"/>
      <c r="I107" s="174"/>
      <c r="K107" s="176"/>
    </row>
    <row r="108" spans="1:11" x14ac:dyDescent="0.2">
      <c r="A108" s="172"/>
      <c r="I108" s="174"/>
      <c r="K108" s="176"/>
    </row>
    <row r="109" spans="1:11" x14ac:dyDescent="0.2">
      <c r="A109" s="172"/>
      <c r="I109" s="174"/>
      <c r="K109" s="176"/>
    </row>
    <row r="110" spans="1:11" x14ac:dyDescent="0.2">
      <c r="A110" s="172"/>
      <c r="I110" s="174"/>
      <c r="K110" s="176"/>
    </row>
    <row r="111" spans="1:11" x14ac:dyDescent="0.2">
      <c r="A111" s="172"/>
      <c r="I111" s="174"/>
      <c r="K111" s="176"/>
    </row>
    <row r="112" spans="1:11" x14ac:dyDescent="0.2">
      <c r="A112" s="172"/>
      <c r="I112" s="174"/>
      <c r="K112" s="176"/>
    </row>
    <row r="113" spans="1:15" x14ac:dyDescent="0.2">
      <c r="A113" s="172"/>
      <c r="I113" s="174"/>
      <c r="K113" s="176"/>
    </row>
    <row r="114" spans="1:15" x14ac:dyDescent="0.2">
      <c r="A114" s="172"/>
      <c r="I114" s="174"/>
      <c r="K114" s="176"/>
    </row>
    <row r="115" spans="1:15" x14ac:dyDescent="0.2">
      <c r="A115" s="172"/>
      <c r="I115" s="174"/>
      <c r="K115" s="176"/>
    </row>
    <row r="116" spans="1:15" x14ac:dyDescent="0.2">
      <c r="A116" s="172"/>
      <c r="I116" s="174"/>
      <c r="K116" s="176"/>
    </row>
    <row r="117" spans="1:15" x14ac:dyDescent="0.2">
      <c r="A117" s="172"/>
      <c r="I117" s="174"/>
      <c r="K117" s="176"/>
    </row>
    <row r="118" spans="1:15" s="16" customFormat="1" x14ac:dyDescent="0.2">
      <c r="A118" s="172"/>
      <c r="B118" s="1"/>
      <c r="C118" s="1"/>
      <c r="D118" s="1"/>
      <c r="E118" s="1"/>
      <c r="F118" s="1"/>
      <c r="G118" s="1"/>
      <c r="H118" s="1"/>
      <c r="I118" s="174"/>
      <c r="J118" s="177"/>
      <c r="K118" s="176"/>
      <c r="L118" s="1"/>
      <c r="M118" s="1"/>
      <c r="N118" s="1"/>
      <c r="O118" s="1"/>
    </row>
    <row r="119" spans="1:15" s="16" customFormat="1" x14ac:dyDescent="0.2">
      <c r="A119" s="172"/>
      <c r="B119" s="1"/>
      <c r="C119" s="1"/>
      <c r="D119" s="1"/>
      <c r="E119" s="1"/>
      <c r="F119" s="1"/>
      <c r="G119" s="1"/>
      <c r="H119" s="1"/>
      <c r="I119" s="174"/>
      <c r="J119" s="177"/>
      <c r="K119" s="176"/>
    </row>
    <row r="120" spans="1:15" s="16" customFormat="1" x14ac:dyDescent="0.2">
      <c r="A120" s="172"/>
      <c r="B120" s="1"/>
      <c r="C120" s="1"/>
      <c r="D120" s="1"/>
      <c r="E120" s="1"/>
      <c r="F120" s="1"/>
      <c r="G120" s="1"/>
      <c r="H120" s="1"/>
      <c r="I120" s="174"/>
      <c r="J120" s="177"/>
      <c r="K120" s="176"/>
    </row>
    <row r="121" spans="1:15" s="16" customFormat="1" x14ac:dyDescent="0.2">
      <c r="A121" s="172"/>
      <c r="B121" s="1"/>
      <c r="C121" s="1"/>
      <c r="D121" s="1"/>
      <c r="E121" s="1"/>
      <c r="F121" s="1"/>
      <c r="G121" s="1"/>
      <c r="H121" s="1"/>
      <c r="I121" s="174"/>
      <c r="J121" s="177"/>
      <c r="K121" s="176"/>
    </row>
    <row r="122" spans="1:15" s="16" customFormat="1" x14ac:dyDescent="0.2">
      <c r="A122" s="172"/>
      <c r="B122" s="1"/>
      <c r="C122" s="1"/>
      <c r="D122" s="1"/>
      <c r="E122" s="1"/>
      <c r="F122" s="1"/>
      <c r="G122" s="1"/>
      <c r="H122" s="1"/>
      <c r="I122" s="174"/>
      <c r="J122" s="177"/>
      <c r="K122" s="176"/>
    </row>
    <row r="123" spans="1:15" s="16" customFormat="1" x14ac:dyDescent="0.2">
      <c r="A123" s="172"/>
      <c r="B123" s="1"/>
      <c r="C123" s="1"/>
      <c r="D123" s="1"/>
      <c r="E123" s="1"/>
      <c r="F123" s="1"/>
      <c r="G123" s="1"/>
      <c r="H123" s="1"/>
      <c r="I123" s="174"/>
      <c r="J123" s="177"/>
      <c r="K123" s="176"/>
    </row>
    <row r="124" spans="1:15" s="16" customFormat="1" x14ac:dyDescent="0.2">
      <c r="A124" s="172"/>
      <c r="B124" s="1"/>
      <c r="C124" s="1"/>
      <c r="D124" s="1"/>
      <c r="E124" s="1"/>
      <c r="F124" s="1"/>
      <c r="G124" s="1"/>
      <c r="H124" s="1"/>
      <c r="I124" s="174"/>
      <c r="J124" s="177"/>
      <c r="K124" s="176"/>
    </row>
    <row r="125" spans="1:15" s="16" customFormat="1" x14ac:dyDescent="0.2">
      <c r="A125" s="172"/>
      <c r="B125" s="1"/>
      <c r="C125" s="1"/>
      <c r="D125" s="1"/>
      <c r="E125" s="1"/>
      <c r="F125" s="1"/>
      <c r="G125" s="1"/>
      <c r="H125" s="1"/>
      <c r="I125" s="174"/>
      <c r="J125" s="177"/>
      <c r="K125" s="176"/>
    </row>
    <row r="126" spans="1:15" s="16" customFormat="1" x14ac:dyDescent="0.2">
      <c r="A126" s="172"/>
      <c r="B126" s="1"/>
      <c r="C126" s="1"/>
      <c r="D126" s="1"/>
      <c r="E126" s="1"/>
      <c r="F126" s="1"/>
      <c r="G126" s="1"/>
      <c r="H126" s="1"/>
      <c r="I126" s="174"/>
      <c r="J126" s="177"/>
      <c r="K126" s="176"/>
    </row>
    <row r="127" spans="1:15" s="16" customFormat="1" x14ac:dyDescent="0.2">
      <c r="A127" s="172"/>
      <c r="B127" s="1"/>
      <c r="C127" s="1"/>
      <c r="D127" s="1"/>
      <c r="E127" s="1"/>
      <c r="F127" s="1"/>
      <c r="G127" s="1"/>
      <c r="H127" s="1"/>
      <c r="I127" s="174"/>
      <c r="J127" s="177"/>
      <c r="K127" s="176"/>
    </row>
    <row r="128" spans="1:15" s="16" customFormat="1" x14ac:dyDescent="0.2">
      <c r="A128" s="172"/>
      <c r="B128" s="1"/>
      <c r="C128" s="1"/>
      <c r="D128" s="1"/>
      <c r="E128" s="1"/>
      <c r="F128" s="1"/>
      <c r="G128" s="1"/>
      <c r="H128" s="1"/>
      <c r="I128" s="174"/>
      <c r="J128" s="177"/>
      <c r="K128" s="176"/>
    </row>
    <row r="129" spans="1:15" s="16" customFormat="1" x14ac:dyDescent="0.2">
      <c r="A129" s="172"/>
      <c r="B129" s="1"/>
      <c r="C129" s="1"/>
      <c r="D129" s="1"/>
      <c r="E129" s="1"/>
      <c r="F129" s="1"/>
      <c r="G129" s="1"/>
      <c r="H129" s="1"/>
      <c r="I129" s="174"/>
      <c r="J129" s="177"/>
      <c r="K129" s="176"/>
    </row>
    <row r="130" spans="1:15" s="16" customFormat="1" x14ac:dyDescent="0.2">
      <c r="A130" s="172"/>
      <c r="B130" s="1"/>
      <c r="C130" s="1"/>
      <c r="D130" s="1"/>
      <c r="E130" s="1"/>
      <c r="F130" s="1"/>
      <c r="G130" s="1"/>
      <c r="H130" s="1"/>
      <c r="I130" s="174"/>
      <c r="J130" s="177"/>
      <c r="K130" s="176"/>
    </row>
    <row r="131" spans="1:15" x14ac:dyDescent="0.2">
      <c r="A131" s="172"/>
      <c r="I131" s="174"/>
      <c r="K131" s="176"/>
      <c r="L131" s="16"/>
      <c r="M131" s="16"/>
      <c r="N131" s="16"/>
      <c r="O131" s="16"/>
    </row>
    <row r="132" spans="1:15" x14ac:dyDescent="0.2">
      <c r="A132" s="172"/>
      <c r="I132" s="174"/>
      <c r="K132" s="176"/>
    </row>
    <row r="133" spans="1:15" x14ac:dyDescent="0.2">
      <c r="A133" s="172"/>
      <c r="I133" s="174"/>
      <c r="K133" s="176"/>
    </row>
    <row r="134" spans="1:15" x14ac:dyDescent="0.2">
      <c r="A134" s="172"/>
      <c r="I134" s="174"/>
      <c r="K134" s="176"/>
    </row>
    <row r="135" spans="1:15" x14ac:dyDescent="0.2">
      <c r="A135" s="172"/>
      <c r="I135" s="174"/>
      <c r="K135" s="176"/>
    </row>
    <row r="136" spans="1:15" x14ac:dyDescent="0.2">
      <c r="A136" s="172"/>
      <c r="I136" s="174"/>
      <c r="K136" s="176"/>
    </row>
    <row r="137" spans="1:15" x14ac:dyDescent="0.2">
      <c r="A137" s="172"/>
      <c r="I137" s="174"/>
      <c r="K137" s="176"/>
    </row>
    <row r="138" spans="1:15" x14ac:dyDescent="0.2">
      <c r="A138" s="172"/>
      <c r="I138" s="174"/>
      <c r="K138" s="176"/>
    </row>
    <row r="139" spans="1:15" x14ac:dyDescent="0.2">
      <c r="A139" s="172"/>
      <c r="I139" s="174"/>
      <c r="K139" s="176"/>
    </row>
    <row r="140" spans="1:15" x14ac:dyDescent="0.2">
      <c r="A140" s="172"/>
      <c r="I140" s="174"/>
      <c r="K140" s="176"/>
    </row>
    <row r="141" spans="1:15" x14ac:dyDescent="0.2">
      <c r="A141" s="172"/>
      <c r="I141" s="174"/>
      <c r="K141" s="176"/>
    </row>
    <row r="142" spans="1:15" x14ac:dyDescent="0.2">
      <c r="A142" s="172"/>
      <c r="I142" s="174"/>
      <c r="K142" s="176"/>
    </row>
    <row r="143" spans="1:15" x14ac:dyDescent="0.2">
      <c r="A143" s="172"/>
      <c r="I143" s="174"/>
      <c r="K143" s="176"/>
    </row>
    <row r="144" spans="1:15" x14ac:dyDescent="0.2">
      <c r="A144" s="172"/>
      <c r="I144" s="174"/>
      <c r="K144" s="176"/>
    </row>
    <row r="145" spans="1:11" x14ac:dyDescent="0.2">
      <c r="A145" s="172"/>
      <c r="I145" s="174"/>
      <c r="K145" s="176"/>
    </row>
    <row r="146" spans="1:11" x14ac:dyDescent="0.2">
      <c r="A146" s="172"/>
      <c r="I146" s="174"/>
      <c r="K146" s="176"/>
    </row>
    <row r="147" spans="1:11" x14ac:dyDescent="0.2">
      <c r="A147" s="172"/>
      <c r="I147" s="174"/>
      <c r="K147" s="176"/>
    </row>
    <row r="148" spans="1:11" x14ac:dyDescent="0.2">
      <c r="A148" s="172"/>
      <c r="I148" s="174"/>
      <c r="K148" s="176"/>
    </row>
    <row r="149" spans="1:11" x14ac:dyDescent="0.2">
      <c r="A149" s="172"/>
      <c r="I149" s="174"/>
      <c r="K149" s="176"/>
    </row>
    <row r="150" spans="1:11" x14ac:dyDescent="0.2">
      <c r="A150" s="172"/>
      <c r="I150" s="174"/>
      <c r="K150" s="176"/>
    </row>
    <row r="151" spans="1:11" x14ac:dyDescent="0.2">
      <c r="A151" s="172"/>
      <c r="I151" s="174"/>
      <c r="K151" s="176"/>
    </row>
    <row r="152" spans="1:11" x14ac:dyDescent="0.2">
      <c r="A152" s="172"/>
      <c r="I152" s="174"/>
      <c r="K152" s="176"/>
    </row>
    <row r="153" spans="1:11" x14ac:dyDescent="0.2">
      <c r="A153" s="172"/>
      <c r="I153" s="174"/>
      <c r="K153" s="176"/>
    </row>
    <row r="154" spans="1:11" x14ac:dyDescent="0.2">
      <c r="A154" s="172"/>
      <c r="I154" s="174"/>
      <c r="K154" s="176"/>
    </row>
    <row r="155" spans="1:11" x14ac:dyDescent="0.2">
      <c r="A155" s="172"/>
      <c r="I155" s="174"/>
      <c r="K155" s="176"/>
    </row>
    <row r="156" spans="1:11" x14ac:dyDescent="0.2">
      <c r="A156" s="172"/>
      <c r="I156" s="174"/>
      <c r="K156" s="176"/>
    </row>
    <row r="157" spans="1:11" x14ac:dyDescent="0.2">
      <c r="A157" s="172"/>
      <c r="I157" s="174"/>
      <c r="K157" s="176"/>
    </row>
    <row r="158" spans="1:11" x14ac:dyDescent="0.2">
      <c r="A158" s="172"/>
      <c r="I158" s="174"/>
      <c r="K158" s="176"/>
    </row>
    <row r="159" spans="1:11" x14ac:dyDescent="0.2">
      <c r="A159" s="172"/>
      <c r="I159" s="174"/>
      <c r="K159" s="176"/>
    </row>
    <row r="160" spans="1:11" x14ac:dyDescent="0.2">
      <c r="A160" s="172"/>
      <c r="I160" s="174"/>
      <c r="K160" s="176"/>
    </row>
    <row r="161" spans="1:11" x14ac:dyDescent="0.2">
      <c r="A161" s="172"/>
      <c r="I161" s="174"/>
      <c r="K161" s="176"/>
    </row>
    <row r="162" spans="1:11" x14ac:dyDescent="0.2">
      <c r="A162" s="172"/>
      <c r="I162" s="174"/>
      <c r="K162" s="176"/>
    </row>
    <row r="163" spans="1:11" x14ac:dyDescent="0.2">
      <c r="A163" s="172"/>
      <c r="I163" s="174"/>
      <c r="K163" s="176"/>
    </row>
    <row r="164" spans="1:11" x14ac:dyDescent="0.2">
      <c r="A164" s="172"/>
      <c r="I164" s="174"/>
      <c r="K164" s="176"/>
    </row>
    <row r="165" spans="1:11" x14ac:dyDescent="0.2">
      <c r="A165" s="172"/>
      <c r="I165" s="174"/>
      <c r="K165" s="176"/>
    </row>
    <row r="166" spans="1:11" x14ac:dyDescent="0.2">
      <c r="A166" s="172"/>
      <c r="I166" s="174"/>
      <c r="K166" s="176"/>
    </row>
    <row r="167" spans="1:11" x14ac:dyDescent="0.2">
      <c r="A167" s="172"/>
      <c r="I167" s="174"/>
      <c r="K167" s="176"/>
    </row>
    <row r="168" spans="1:11" x14ac:dyDescent="0.2">
      <c r="A168" s="172"/>
      <c r="I168" s="174"/>
      <c r="K168" s="176"/>
    </row>
    <row r="169" spans="1:11" x14ac:dyDescent="0.2">
      <c r="A169" s="172"/>
      <c r="I169" s="174"/>
      <c r="K169" s="176"/>
    </row>
    <row r="170" spans="1:11" x14ac:dyDescent="0.2">
      <c r="A170" s="172"/>
      <c r="I170" s="174"/>
      <c r="K170" s="176"/>
    </row>
    <row r="171" spans="1:11" x14ac:dyDescent="0.2">
      <c r="A171" s="172"/>
      <c r="I171" s="174"/>
      <c r="K171" s="176"/>
    </row>
    <row r="172" spans="1:11" x14ac:dyDescent="0.2">
      <c r="A172" s="172"/>
      <c r="I172" s="174"/>
      <c r="K172" s="176"/>
    </row>
    <row r="173" spans="1:11" x14ac:dyDescent="0.2">
      <c r="A173" s="172"/>
      <c r="I173" s="174"/>
      <c r="K173" s="176"/>
    </row>
    <row r="174" spans="1:11" x14ac:dyDescent="0.2">
      <c r="A174" s="172"/>
      <c r="I174" s="174"/>
      <c r="K174" s="176"/>
    </row>
    <row r="175" spans="1:11" x14ac:dyDescent="0.2">
      <c r="A175" s="172"/>
      <c r="I175" s="174"/>
      <c r="K175" s="176"/>
    </row>
    <row r="176" spans="1:11" x14ac:dyDescent="0.2">
      <c r="A176" s="172"/>
      <c r="I176" s="174"/>
      <c r="K176" s="176"/>
    </row>
    <row r="177" spans="1:11" x14ac:dyDescent="0.2">
      <c r="A177" s="172"/>
      <c r="I177" s="174"/>
      <c r="K177" s="176"/>
    </row>
    <row r="178" spans="1:11" x14ac:dyDescent="0.2">
      <c r="A178" s="172"/>
      <c r="I178" s="174"/>
      <c r="K178" s="176"/>
    </row>
    <row r="179" spans="1:11" x14ac:dyDescent="0.2">
      <c r="A179" s="172"/>
      <c r="I179" s="174"/>
      <c r="K179" s="176"/>
    </row>
    <row r="180" spans="1:11" x14ac:dyDescent="0.2">
      <c r="A180" s="172"/>
      <c r="I180" s="174"/>
      <c r="K180" s="176"/>
    </row>
    <row r="181" spans="1:11" x14ac:dyDescent="0.2">
      <c r="A181" s="172"/>
      <c r="I181" s="174"/>
      <c r="K181" s="176"/>
    </row>
    <row r="182" spans="1:11" x14ac:dyDescent="0.2">
      <c r="A182" s="172"/>
      <c r="I182" s="174"/>
      <c r="K182" s="176"/>
    </row>
    <row r="183" spans="1:11" x14ac:dyDescent="0.2">
      <c r="A183" s="172"/>
      <c r="I183" s="174"/>
      <c r="K183" s="176"/>
    </row>
    <row r="184" spans="1:11" x14ac:dyDescent="0.2">
      <c r="A184" s="172"/>
      <c r="I184" s="174"/>
      <c r="K184" s="176"/>
    </row>
    <row r="185" spans="1:11" x14ac:dyDescent="0.2">
      <c r="A185" s="172"/>
      <c r="I185" s="174"/>
      <c r="K185" s="176"/>
    </row>
    <row r="186" spans="1:11" x14ac:dyDescent="0.2">
      <c r="A186" s="172"/>
      <c r="I186" s="174"/>
      <c r="K186" s="176"/>
    </row>
    <row r="187" spans="1:11" x14ac:dyDescent="0.2">
      <c r="A187" s="172"/>
      <c r="I187" s="174"/>
      <c r="K187" s="176"/>
    </row>
    <row r="188" spans="1:11" x14ac:dyDescent="0.2">
      <c r="A188" s="172"/>
      <c r="I188" s="174"/>
      <c r="K188" s="176"/>
    </row>
    <row r="189" spans="1:11" x14ac:dyDescent="0.2">
      <c r="A189" s="172"/>
      <c r="I189" s="174"/>
      <c r="K189" s="176"/>
    </row>
    <row r="190" spans="1:11" x14ac:dyDescent="0.2">
      <c r="A190" s="172"/>
      <c r="I190" s="174"/>
      <c r="K190" s="176"/>
    </row>
    <row r="191" spans="1:11" x14ac:dyDescent="0.2">
      <c r="A191" s="172"/>
      <c r="I191" s="174"/>
      <c r="K191" s="176"/>
    </row>
    <row r="192" spans="1:11" x14ac:dyDescent="0.2">
      <c r="A192" s="172"/>
      <c r="I192" s="174"/>
      <c r="K192" s="176"/>
    </row>
    <row r="193" spans="1:11" x14ac:dyDescent="0.2">
      <c r="A193" s="172"/>
      <c r="I193" s="174"/>
      <c r="K193" s="176"/>
    </row>
    <row r="194" spans="1:11" x14ac:dyDescent="0.2">
      <c r="A194" s="172"/>
      <c r="I194" s="174"/>
      <c r="K194" s="176"/>
    </row>
    <row r="195" spans="1:11" x14ac:dyDescent="0.2">
      <c r="A195" s="172"/>
      <c r="I195" s="174"/>
      <c r="K195" s="176"/>
    </row>
    <row r="196" spans="1:11" x14ac:dyDescent="0.2">
      <c r="A196" s="172"/>
      <c r="I196" s="174"/>
      <c r="K196" s="176"/>
    </row>
    <row r="197" spans="1:11" x14ac:dyDescent="0.2">
      <c r="A197" s="172"/>
      <c r="I197" s="174"/>
      <c r="K197" s="176"/>
    </row>
    <row r="198" spans="1:11" x14ac:dyDescent="0.2">
      <c r="A198" s="172"/>
      <c r="I198" s="174"/>
      <c r="K198" s="176"/>
    </row>
    <row r="199" spans="1:11" x14ac:dyDescent="0.2">
      <c r="A199" s="172"/>
      <c r="I199" s="174"/>
      <c r="K199" s="176"/>
    </row>
    <row r="200" spans="1:11" x14ac:dyDescent="0.2">
      <c r="A200" s="172"/>
      <c r="I200" s="174"/>
      <c r="K200" s="176"/>
    </row>
    <row r="201" spans="1:11" x14ac:dyDescent="0.2">
      <c r="A201" s="172"/>
      <c r="I201" s="174"/>
      <c r="K201" s="176"/>
    </row>
    <row r="202" spans="1:11" x14ac:dyDescent="0.2">
      <c r="A202" s="172"/>
      <c r="I202" s="174"/>
      <c r="K202" s="176"/>
    </row>
    <row r="203" spans="1:11" x14ac:dyDescent="0.2">
      <c r="A203" s="172"/>
      <c r="I203" s="174"/>
      <c r="K203" s="176"/>
    </row>
    <row r="204" spans="1:11" x14ac:dyDescent="0.2">
      <c r="A204" s="172"/>
      <c r="I204" s="174"/>
      <c r="K204" s="176"/>
    </row>
    <row r="205" spans="1:11" x14ac:dyDescent="0.2">
      <c r="A205" s="172"/>
      <c r="I205" s="174"/>
      <c r="K205" s="176"/>
    </row>
    <row r="206" spans="1:11" x14ac:dyDescent="0.2">
      <c r="A206" s="172"/>
      <c r="I206" s="174"/>
      <c r="K206" s="176"/>
    </row>
    <row r="207" spans="1:11" x14ac:dyDescent="0.2">
      <c r="A207" s="172"/>
      <c r="I207" s="174"/>
      <c r="K207" s="176"/>
    </row>
    <row r="208" spans="1:11" x14ac:dyDescent="0.2">
      <c r="A208" s="172"/>
      <c r="I208" s="174"/>
      <c r="K208" s="176"/>
    </row>
    <row r="209" spans="1:11" x14ac:dyDescent="0.2">
      <c r="A209" s="172"/>
      <c r="I209" s="174"/>
      <c r="K209" s="176"/>
    </row>
    <row r="210" spans="1:11" x14ac:dyDescent="0.2">
      <c r="A210" s="172"/>
      <c r="I210" s="174"/>
      <c r="K210" s="176"/>
    </row>
    <row r="211" spans="1:11" x14ac:dyDescent="0.2">
      <c r="A211" s="172"/>
      <c r="I211" s="174"/>
      <c r="K211" s="176"/>
    </row>
    <row r="212" spans="1:11" x14ac:dyDescent="0.2">
      <c r="A212" s="172"/>
      <c r="I212" s="174"/>
      <c r="K212" s="176"/>
    </row>
    <row r="213" spans="1:11" x14ac:dyDescent="0.2">
      <c r="A213" s="172"/>
      <c r="I213" s="174"/>
      <c r="K213" s="176"/>
    </row>
    <row r="214" spans="1:11" x14ac:dyDescent="0.2">
      <c r="A214" s="172"/>
      <c r="I214" s="174"/>
      <c r="K214" s="176"/>
    </row>
    <row r="215" spans="1:11" x14ac:dyDescent="0.2">
      <c r="A215" s="172"/>
      <c r="I215" s="174"/>
      <c r="K215" s="176"/>
    </row>
    <row r="216" spans="1:11" x14ac:dyDescent="0.2">
      <c r="A216" s="172"/>
      <c r="I216" s="174"/>
      <c r="K216" s="176"/>
    </row>
    <row r="217" spans="1:11" x14ac:dyDescent="0.2">
      <c r="A217" s="172"/>
      <c r="I217" s="174"/>
      <c r="K217" s="176"/>
    </row>
    <row r="218" spans="1:11" x14ac:dyDescent="0.2">
      <c r="A218" s="172"/>
      <c r="I218" s="174"/>
      <c r="K218" s="176"/>
    </row>
    <row r="219" spans="1:11" x14ac:dyDescent="0.2">
      <c r="A219" s="172"/>
      <c r="I219" s="174"/>
      <c r="K219" s="176"/>
    </row>
    <row r="220" spans="1:11" x14ac:dyDescent="0.2">
      <c r="A220" s="172"/>
      <c r="I220" s="174"/>
      <c r="K220" s="176"/>
    </row>
    <row r="221" spans="1:11" x14ac:dyDescent="0.2">
      <c r="A221" s="172"/>
      <c r="I221" s="174"/>
      <c r="K221" s="176"/>
    </row>
    <row r="222" spans="1:11" x14ac:dyDescent="0.2">
      <c r="A222" s="172"/>
      <c r="I222" s="174"/>
      <c r="K222" s="176"/>
    </row>
    <row r="223" spans="1:11" x14ac:dyDescent="0.2">
      <c r="A223" s="172"/>
      <c r="I223" s="174"/>
      <c r="K223" s="176"/>
    </row>
    <row r="224" spans="1:11" x14ac:dyDescent="0.2">
      <c r="A224" s="172"/>
      <c r="I224" s="174"/>
      <c r="K224" s="176"/>
    </row>
    <row r="225" spans="1:11" x14ac:dyDescent="0.2">
      <c r="A225" s="172"/>
      <c r="I225" s="174"/>
      <c r="K225" s="176"/>
    </row>
    <row r="226" spans="1:11" x14ac:dyDescent="0.2">
      <c r="A226" s="172"/>
      <c r="I226" s="174"/>
      <c r="K226" s="176"/>
    </row>
    <row r="227" spans="1:11" x14ac:dyDescent="0.2">
      <c r="A227" s="172"/>
      <c r="I227" s="174"/>
      <c r="K227" s="176"/>
    </row>
    <row r="228" spans="1:11" x14ac:dyDescent="0.2">
      <c r="A228" s="172"/>
      <c r="I228" s="174"/>
      <c r="K228" s="176"/>
    </row>
    <row r="229" spans="1:11" x14ac:dyDescent="0.2">
      <c r="A229" s="172"/>
      <c r="I229" s="174"/>
      <c r="K229" s="176"/>
    </row>
    <row r="230" spans="1:11" x14ac:dyDescent="0.2">
      <c r="A230" s="172"/>
      <c r="I230" s="174"/>
      <c r="K230" s="176"/>
    </row>
    <row r="231" spans="1:11" x14ac:dyDescent="0.2">
      <c r="A231" s="172"/>
      <c r="I231" s="174"/>
      <c r="K231" s="176"/>
    </row>
    <row r="232" spans="1:11" x14ac:dyDescent="0.2">
      <c r="A232" s="172"/>
      <c r="I232" s="174"/>
      <c r="K232" s="176"/>
    </row>
    <row r="233" spans="1:11" x14ac:dyDescent="0.2">
      <c r="A233" s="172"/>
      <c r="I233" s="174"/>
      <c r="K233" s="176"/>
    </row>
    <row r="234" spans="1:11" x14ac:dyDescent="0.2">
      <c r="A234" s="172"/>
      <c r="I234" s="174"/>
      <c r="K234" s="176"/>
    </row>
    <row r="235" spans="1:11" x14ac:dyDescent="0.2">
      <c r="A235" s="172"/>
      <c r="I235" s="174"/>
      <c r="K235" s="176"/>
    </row>
    <row r="236" spans="1:11" x14ac:dyDescent="0.2">
      <c r="A236" s="172"/>
      <c r="I236" s="174"/>
      <c r="K236" s="176"/>
    </row>
    <row r="237" spans="1:11" x14ac:dyDescent="0.2">
      <c r="A237" s="172"/>
      <c r="I237" s="174"/>
      <c r="K237" s="176"/>
    </row>
    <row r="238" spans="1:11" x14ac:dyDescent="0.2">
      <c r="A238" s="172"/>
      <c r="I238" s="174"/>
      <c r="K238" s="176"/>
    </row>
    <row r="239" spans="1:11" x14ac:dyDescent="0.2">
      <c r="A239" s="172"/>
      <c r="I239" s="174"/>
      <c r="K239" s="176"/>
    </row>
    <row r="240" spans="1:11" x14ac:dyDescent="0.2">
      <c r="A240" s="172"/>
      <c r="I240" s="174"/>
      <c r="K240" s="176"/>
    </row>
    <row r="241" spans="1:11" x14ac:dyDescent="0.2">
      <c r="A241" s="172"/>
      <c r="I241" s="174"/>
      <c r="K241" s="176"/>
    </row>
    <row r="242" spans="1:11" x14ac:dyDescent="0.2">
      <c r="A242" s="172"/>
      <c r="I242" s="174"/>
      <c r="K242" s="176"/>
    </row>
    <row r="243" spans="1:11" x14ac:dyDescent="0.2">
      <c r="A243" s="172"/>
      <c r="I243" s="174"/>
      <c r="K243" s="176"/>
    </row>
    <row r="244" spans="1:11" x14ac:dyDescent="0.2">
      <c r="A244" s="172"/>
      <c r="I244" s="174"/>
      <c r="K244" s="176"/>
    </row>
    <row r="245" spans="1:11" x14ac:dyDescent="0.2">
      <c r="A245" s="172"/>
      <c r="I245" s="174"/>
      <c r="K245" s="176"/>
    </row>
    <row r="246" spans="1:11" x14ac:dyDescent="0.2">
      <c r="A246" s="172"/>
      <c r="I246" s="174"/>
      <c r="K246" s="176"/>
    </row>
    <row r="247" spans="1:11" x14ac:dyDescent="0.2">
      <c r="A247" s="172"/>
      <c r="I247" s="174"/>
      <c r="K247" s="176"/>
    </row>
    <row r="248" spans="1:11" x14ac:dyDescent="0.2">
      <c r="A248" s="172"/>
      <c r="I248" s="174"/>
      <c r="K248" s="176"/>
    </row>
    <row r="249" spans="1:11" x14ac:dyDescent="0.2">
      <c r="A249" s="172"/>
      <c r="I249" s="174"/>
      <c r="K249" s="176"/>
    </row>
    <row r="250" spans="1:11" x14ac:dyDescent="0.2">
      <c r="A250" s="172"/>
      <c r="I250" s="174"/>
      <c r="K250" s="176"/>
    </row>
    <row r="251" spans="1:11" x14ac:dyDescent="0.2">
      <c r="A251" s="172"/>
      <c r="I251" s="174"/>
      <c r="K251" s="176"/>
    </row>
    <row r="252" spans="1:11" x14ac:dyDescent="0.2">
      <c r="A252" s="172"/>
      <c r="I252" s="174"/>
      <c r="K252" s="176"/>
    </row>
    <row r="253" spans="1:11" x14ac:dyDescent="0.2">
      <c r="A253" s="172"/>
      <c r="I253" s="174"/>
      <c r="K253" s="176"/>
    </row>
    <row r="254" spans="1:11" x14ac:dyDescent="0.2">
      <c r="A254" s="172"/>
      <c r="I254" s="174"/>
      <c r="K254" s="176"/>
    </row>
    <row r="255" spans="1:11" x14ac:dyDescent="0.2">
      <c r="A255" s="172"/>
      <c r="I255" s="174"/>
      <c r="K255" s="176"/>
    </row>
    <row r="256" spans="1:11" x14ac:dyDescent="0.2">
      <c r="A256" s="172"/>
      <c r="I256" s="174"/>
      <c r="K256" s="176"/>
    </row>
    <row r="257" spans="1:11" x14ac:dyDescent="0.2">
      <c r="A257" s="172"/>
      <c r="I257" s="174"/>
      <c r="K257" s="176"/>
    </row>
    <row r="258" spans="1:11" x14ac:dyDescent="0.2">
      <c r="A258" s="172"/>
      <c r="I258" s="174"/>
      <c r="K258" s="176"/>
    </row>
    <row r="259" spans="1:11" x14ac:dyDescent="0.2">
      <c r="A259" s="172"/>
      <c r="I259" s="174"/>
      <c r="K259" s="176"/>
    </row>
    <row r="260" spans="1:11" x14ac:dyDescent="0.2">
      <c r="A260" s="172"/>
      <c r="I260" s="174"/>
      <c r="K260" s="176"/>
    </row>
    <row r="261" spans="1:11" x14ac:dyDescent="0.2">
      <c r="A261" s="172"/>
      <c r="I261" s="174"/>
      <c r="K261" s="176"/>
    </row>
    <row r="262" spans="1:11" x14ac:dyDescent="0.2">
      <c r="A262" s="172"/>
      <c r="I262" s="174"/>
      <c r="K262" s="176"/>
    </row>
    <row r="263" spans="1:11" x14ac:dyDescent="0.2">
      <c r="A263" s="172"/>
      <c r="I263" s="174"/>
      <c r="K263" s="176"/>
    </row>
    <row r="264" spans="1:11" x14ac:dyDescent="0.2">
      <c r="A264" s="172"/>
      <c r="I264" s="174"/>
      <c r="K264" s="176"/>
    </row>
    <row r="265" spans="1:11" x14ac:dyDescent="0.2">
      <c r="A265" s="172"/>
      <c r="I265" s="174"/>
      <c r="K265" s="176"/>
    </row>
    <row r="266" spans="1:11" x14ac:dyDescent="0.2">
      <c r="A266" s="172"/>
      <c r="I266" s="174"/>
      <c r="K266" s="176"/>
    </row>
    <row r="267" spans="1:11" x14ac:dyDescent="0.2">
      <c r="A267" s="172"/>
      <c r="I267" s="174"/>
      <c r="K267" s="176"/>
    </row>
    <row r="268" spans="1:11" x14ac:dyDescent="0.2">
      <c r="A268" s="172"/>
      <c r="I268" s="174"/>
      <c r="K268" s="176"/>
    </row>
    <row r="269" spans="1:11" x14ac:dyDescent="0.2">
      <c r="A269" s="172"/>
      <c r="I269" s="174"/>
      <c r="K269" s="176"/>
    </row>
    <row r="270" spans="1:11" x14ac:dyDescent="0.2">
      <c r="A270" s="172"/>
      <c r="I270" s="174"/>
      <c r="K270" s="176"/>
    </row>
    <row r="271" spans="1:11" x14ac:dyDescent="0.2">
      <c r="A271" s="172"/>
      <c r="I271" s="174"/>
      <c r="K271" s="176"/>
    </row>
    <row r="272" spans="1:11" x14ac:dyDescent="0.2">
      <c r="A272" s="172"/>
      <c r="I272" s="174"/>
      <c r="K272" s="176"/>
    </row>
    <row r="273" spans="1:11" x14ac:dyDescent="0.2">
      <c r="A273" s="172"/>
      <c r="I273" s="174"/>
      <c r="K273" s="176"/>
    </row>
    <row r="274" spans="1:11" x14ac:dyDescent="0.2">
      <c r="A274" s="172"/>
      <c r="I274" s="174"/>
      <c r="K274" s="176"/>
    </row>
    <row r="275" spans="1:11" x14ac:dyDescent="0.2">
      <c r="A275" s="172"/>
      <c r="I275" s="174"/>
      <c r="K275" s="176"/>
    </row>
    <row r="276" spans="1:11" x14ac:dyDescent="0.2">
      <c r="A276" s="172"/>
      <c r="I276" s="174"/>
      <c r="K276" s="176"/>
    </row>
    <row r="277" spans="1:11" x14ac:dyDescent="0.2">
      <c r="A277" s="172"/>
      <c r="I277" s="174"/>
      <c r="K277" s="176"/>
    </row>
    <row r="278" spans="1:11" x14ac:dyDescent="0.2">
      <c r="A278" s="172"/>
      <c r="I278" s="174"/>
      <c r="K278" s="176"/>
    </row>
    <row r="279" spans="1:11" x14ac:dyDescent="0.2">
      <c r="A279" s="172"/>
      <c r="I279" s="174"/>
      <c r="K279" s="176"/>
    </row>
    <row r="280" spans="1:11" x14ac:dyDescent="0.2">
      <c r="A280" s="172"/>
      <c r="I280" s="174"/>
      <c r="K280" s="176"/>
    </row>
    <row r="281" spans="1:11" x14ac:dyDescent="0.2">
      <c r="A281" s="172"/>
      <c r="I281" s="174"/>
      <c r="K281" s="176"/>
    </row>
    <row r="282" spans="1:11" x14ac:dyDescent="0.2">
      <c r="A282" s="172"/>
      <c r="I282" s="174"/>
      <c r="K282" s="176"/>
    </row>
    <row r="283" spans="1:11" x14ac:dyDescent="0.2">
      <c r="A283" s="172"/>
      <c r="I283" s="174"/>
      <c r="K283" s="176"/>
    </row>
    <row r="284" spans="1:11" x14ac:dyDescent="0.2">
      <c r="A284" s="172"/>
      <c r="I284" s="174"/>
      <c r="K284" s="176"/>
    </row>
    <row r="285" spans="1:11" x14ac:dyDescent="0.2">
      <c r="A285" s="172"/>
      <c r="I285" s="174"/>
      <c r="K285" s="176"/>
    </row>
    <row r="286" spans="1:11" x14ac:dyDescent="0.2">
      <c r="A286" s="172"/>
      <c r="I286" s="174"/>
      <c r="K286" s="176"/>
    </row>
    <row r="287" spans="1:11" x14ac:dyDescent="0.2">
      <c r="A287" s="172"/>
      <c r="I287" s="174"/>
      <c r="K287" s="176"/>
    </row>
    <row r="288" spans="1:11" x14ac:dyDescent="0.2">
      <c r="A288" s="172"/>
      <c r="I288" s="174"/>
      <c r="K288" s="176"/>
    </row>
    <row r="289" spans="1:11" x14ac:dyDescent="0.2">
      <c r="A289" s="172"/>
      <c r="I289" s="174"/>
      <c r="K289" s="176"/>
    </row>
    <row r="290" spans="1:11" x14ac:dyDescent="0.2">
      <c r="A290" s="172"/>
      <c r="I290" s="174"/>
      <c r="K290" s="176"/>
    </row>
    <row r="291" spans="1:11" x14ac:dyDescent="0.2">
      <c r="A291" s="172"/>
      <c r="I291" s="174"/>
      <c r="K291" s="176"/>
    </row>
    <row r="292" spans="1:11" x14ac:dyDescent="0.2">
      <c r="A292" s="172"/>
      <c r="I292" s="174"/>
      <c r="K292" s="176"/>
    </row>
    <row r="293" spans="1:11" x14ac:dyDescent="0.2">
      <c r="A293" s="172"/>
      <c r="I293" s="174"/>
      <c r="K293" s="176"/>
    </row>
    <row r="294" spans="1:11" x14ac:dyDescent="0.2">
      <c r="A294" s="172"/>
      <c r="I294" s="174"/>
      <c r="K294" s="176"/>
    </row>
    <row r="295" spans="1:11" x14ac:dyDescent="0.2">
      <c r="A295" s="172"/>
      <c r="I295" s="174"/>
      <c r="K295" s="176"/>
    </row>
    <row r="296" spans="1:11" x14ac:dyDescent="0.2">
      <c r="A296" s="172"/>
      <c r="I296" s="174"/>
      <c r="K296" s="176"/>
    </row>
    <row r="297" spans="1:11" x14ac:dyDescent="0.2">
      <c r="A297" s="172"/>
      <c r="I297" s="174"/>
      <c r="K297" s="176"/>
    </row>
    <row r="298" spans="1:11" x14ac:dyDescent="0.2">
      <c r="A298" s="172"/>
      <c r="I298" s="174"/>
      <c r="K298" s="176"/>
    </row>
    <row r="299" spans="1:11" x14ac:dyDescent="0.2">
      <c r="A299" s="172"/>
      <c r="I299" s="174"/>
      <c r="K299" s="176"/>
    </row>
    <row r="300" spans="1:11" x14ac:dyDescent="0.2">
      <c r="A300" s="172"/>
      <c r="I300" s="174"/>
      <c r="K300" s="176"/>
    </row>
    <row r="301" spans="1:11" x14ac:dyDescent="0.2">
      <c r="A301" s="172"/>
      <c r="I301" s="174"/>
      <c r="K301" s="176"/>
    </row>
    <row r="302" spans="1:11" x14ac:dyDescent="0.2">
      <c r="A302" s="172"/>
      <c r="I302" s="174"/>
      <c r="K302" s="176"/>
    </row>
    <row r="303" spans="1:11" x14ac:dyDescent="0.2">
      <c r="A303" s="172"/>
      <c r="I303" s="174"/>
      <c r="K303" s="176"/>
    </row>
    <row r="304" spans="1:11" x14ac:dyDescent="0.2">
      <c r="A304" s="172"/>
      <c r="I304" s="174"/>
      <c r="K304" s="176"/>
    </row>
    <row r="305" spans="1:11" x14ac:dyDescent="0.2">
      <c r="A305" s="172"/>
      <c r="I305" s="174"/>
      <c r="K305" s="176"/>
    </row>
    <row r="306" spans="1:11" x14ac:dyDescent="0.2">
      <c r="A306" s="172"/>
      <c r="I306" s="174"/>
      <c r="K306" s="176"/>
    </row>
    <row r="307" spans="1:11" x14ac:dyDescent="0.2">
      <c r="A307" s="172"/>
      <c r="I307" s="174"/>
      <c r="K307" s="176"/>
    </row>
    <row r="308" spans="1:11" x14ac:dyDescent="0.2">
      <c r="A308" s="172"/>
      <c r="I308" s="174"/>
      <c r="K308" s="176"/>
    </row>
    <row r="309" spans="1:11" x14ac:dyDescent="0.2">
      <c r="A309" s="172"/>
      <c r="I309" s="174"/>
      <c r="K309" s="176"/>
    </row>
    <row r="310" spans="1:11" x14ac:dyDescent="0.2">
      <c r="A310" s="172"/>
      <c r="I310" s="174"/>
      <c r="K310" s="176"/>
    </row>
    <row r="311" spans="1:11" x14ac:dyDescent="0.2">
      <c r="A311" s="172"/>
      <c r="I311" s="174"/>
      <c r="K311" s="176"/>
    </row>
    <row r="312" spans="1:11" x14ac:dyDescent="0.2">
      <c r="A312" s="172"/>
      <c r="I312" s="174"/>
      <c r="K312" s="176"/>
    </row>
    <row r="313" spans="1:11" x14ac:dyDescent="0.2">
      <c r="A313" s="172"/>
      <c r="I313" s="174"/>
      <c r="K313" s="176"/>
    </row>
    <row r="314" spans="1:11" x14ac:dyDescent="0.2">
      <c r="A314" s="172"/>
      <c r="I314" s="174"/>
      <c r="K314" s="176"/>
    </row>
    <row r="315" spans="1:11" x14ac:dyDescent="0.2">
      <c r="A315" s="172"/>
      <c r="I315" s="174"/>
      <c r="K315" s="176"/>
    </row>
    <row r="316" spans="1:11" x14ac:dyDescent="0.2">
      <c r="A316" s="172"/>
      <c r="I316" s="174"/>
      <c r="K316" s="176"/>
    </row>
    <row r="317" spans="1:11" x14ac:dyDescent="0.2">
      <c r="A317" s="172"/>
      <c r="I317" s="174"/>
      <c r="K317" s="176"/>
    </row>
    <row r="318" spans="1:11" x14ac:dyDescent="0.2">
      <c r="A318" s="172"/>
      <c r="I318" s="174"/>
      <c r="K318" s="176"/>
    </row>
    <row r="319" spans="1:11" x14ac:dyDescent="0.2">
      <c r="A319" s="172"/>
      <c r="I319" s="174"/>
      <c r="K319" s="176"/>
    </row>
    <row r="320" spans="1:11" x14ac:dyDescent="0.2">
      <c r="A320" s="172"/>
      <c r="I320" s="174"/>
      <c r="K320" s="176"/>
    </row>
    <row r="321" spans="1:11" x14ac:dyDescent="0.2">
      <c r="A321" s="172"/>
      <c r="I321" s="174"/>
      <c r="K321" s="176"/>
    </row>
    <row r="322" spans="1:11" x14ac:dyDescent="0.2">
      <c r="A322" s="172"/>
      <c r="I322" s="174"/>
      <c r="K322" s="176"/>
    </row>
    <row r="323" spans="1:11" x14ac:dyDescent="0.2">
      <c r="A323" s="172"/>
      <c r="I323" s="174"/>
      <c r="K323" s="176"/>
    </row>
    <row r="324" spans="1:11" x14ac:dyDescent="0.2">
      <c r="A324" s="172"/>
      <c r="I324" s="174"/>
      <c r="K324" s="176"/>
    </row>
    <row r="325" spans="1:11" x14ac:dyDescent="0.2">
      <c r="A325" s="172"/>
      <c r="I325" s="174"/>
      <c r="K325" s="176"/>
    </row>
    <row r="326" spans="1:11" x14ac:dyDescent="0.2">
      <c r="A326" s="172"/>
      <c r="I326" s="174"/>
      <c r="K326" s="176"/>
    </row>
    <row r="327" spans="1:11" x14ac:dyDescent="0.2">
      <c r="A327" s="172"/>
      <c r="I327" s="174"/>
      <c r="K327" s="176"/>
    </row>
    <row r="328" spans="1:11" x14ac:dyDescent="0.2">
      <c r="A328" s="172"/>
      <c r="I328" s="174"/>
      <c r="K328" s="176"/>
    </row>
    <row r="329" spans="1:11" x14ac:dyDescent="0.2">
      <c r="A329" s="172"/>
      <c r="I329" s="174"/>
      <c r="K329" s="176"/>
    </row>
    <row r="330" spans="1:11" x14ac:dyDescent="0.2">
      <c r="A330" s="172"/>
      <c r="I330" s="174"/>
      <c r="K330" s="176"/>
    </row>
    <row r="331" spans="1:11" x14ac:dyDescent="0.2">
      <c r="A331" s="172"/>
      <c r="I331" s="174"/>
      <c r="K331" s="176"/>
    </row>
    <row r="332" spans="1:11" x14ac:dyDescent="0.2">
      <c r="A332" s="172"/>
      <c r="I332" s="174"/>
      <c r="K332" s="176"/>
    </row>
    <row r="333" spans="1:11" x14ac:dyDescent="0.2">
      <c r="A333" s="172"/>
      <c r="I333" s="174"/>
      <c r="K333" s="176"/>
    </row>
    <row r="334" spans="1:11" x14ac:dyDescent="0.2">
      <c r="A334" s="172"/>
      <c r="I334" s="174"/>
      <c r="K334" s="176"/>
    </row>
    <row r="335" spans="1:11" x14ac:dyDescent="0.2">
      <c r="A335" s="172"/>
      <c r="I335" s="174"/>
      <c r="K335" s="176"/>
    </row>
    <row r="336" spans="1:11" x14ac:dyDescent="0.2">
      <c r="A336" s="172"/>
      <c r="I336" s="174"/>
      <c r="K336" s="176"/>
    </row>
    <row r="337" spans="1:11" x14ac:dyDescent="0.2">
      <c r="A337" s="172"/>
      <c r="I337" s="174"/>
      <c r="K337" s="176"/>
    </row>
    <row r="338" spans="1:11" x14ac:dyDescent="0.2">
      <c r="A338" s="172"/>
      <c r="I338" s="174"/>
      <c r="K338" s="176"/>
    </row>
    <row r="339" spans="1:11" x14ac:dyDescent="0.2">
      <c r="A339" s="172"/>
      <c r="I339" s="174"/>
      <c r="K339" s="176"/>
    </row>
    <row r="340" spans="1:11" x14ac:dyDescent="0.2">
      <c r="A340" s="172"/>
      <c r="I340" s="174"/>
      <c r="K340" s="176"/>
    </row>
    <row r="341" spans="1:11" x14ac:dyDescent="0.2">
      <c r="A341" s="172"/>
      <c r="I341" s="174"/>
      <c r="K341" s="176"/>
    </row>
    <row r="342" spans="1:11" x14ac:dyDescent="0.2">
      <c r="A342" s="172"/>
      <c r="I342" s="174"/>
      <c r="K342" s="176"/>
    </row>
    <row r="343" spans="1:11" x14ac:dyDescent="0.2">
      <c r="A343" s="172"/>
      <c r="I343" s="174"/>
      <c r="K343" s="176"/>
    </row>
    <row r="344" spans="1:11" x14ac:dyDescent="0.2">
      <c r="A344" s="172"/>
      <c r="I344" s="174"/>
      <c r="K344" s="176"/>
    </row>
    <row r="345" spans="1:11" x14ac:dyDescent="0.2">
      <c r="A345" s="172"/>
      <c r="I345" s="174"/>
      <c r="K345" s="176"/>
    </row>
    <row r="346" spans="1:11" x14ac:dyDescent="0.2">
      <c r="A346" s="172"/>
      <c r="I346" s="174"/>
      <c r="K346" s="176"/>
    </row>
    <row r="347" spans="1:11" x14ac:dyDescent="0.2">
      <c r="A347" s="172"/>
      <c r="I347" s="174"/>
      <c r="K347" s="176"/>
    </row>
    <row r="348" spans="1:11" x14ac:dyDescent="0.2">
      <c r="A348" s="172"/>
      <c r="I348" s="174"/>
      <c r="K348" s="176"/>
    </row>
    <row r="349" spans="1:11" x14ac:dyDescent="0.2">
      <c r="A349" s="172"/>
      <c r="I349" s="174"/>
      <c r="K349" s="176"/>
    </row>
    <row r="350" spans="1:11" x14ac:dyDescent="0.2">
      <c r="A350" s="172"/>
      <c r="I350" s="174"/>
      <c r="K350" s="176"/>
    </row>
    <row r="351" spans="1:11" x14ac:dyDescent="0.2">
      <c r="A351" s="172"/>
      <c r="I351" s="174"/>
      <c r="K351" s="176"/>
    </row>
    <row r="352" spans="1:11" x14ac:dyDescent="0.2">
      <c r="A352" s="172"/>
      <c r="I352" s="174"/>
      <c r="K352" s="176"/>
    </row>
    <row r="353" spans="1:11" x14ac:dyDescent="0.2">
      <c r="A353" s="172"/>
      <c r="I353" s="174"/>
      <c r="K353" s="176"/>
    </row>
    <row r="354" spans="1:11" x14ac:dyDescent="0.2">
      <c r="A354" s="172"/>
      <c r="I354" s="174"/>
      <c r="K354" s="176"/>
    </row>
    <row r="355" spans="1:11" x14ac:dyDescent="0.2">
      <c r="A355" s="172"/>
      <c r="I355" s="174"/>
      <c r="K355" s="176"/>
    </row>
    <row r="356" spans="1:11" x14ac:dyDescent="0.2">
      <c r="A356" s="172"/>
      <c r="I356" s="174"/>
      <c r="K356" s="176"/>
    </row>
    <row r="357" spans="1:11" x14ac:dyDescent="0.2">
      <c r="A357" s="172"/>
      <c r="I357" s="174"/>
      <c r="K357" s="176"/>
    </row>
    <row r="358" spans="1:11" x14ac:dyDescent="0.2">
      <c r="A358" s="172"/>
      <c r="I358" s="174"/>
      <c r="K358" s="176"/>
    </row>
    <row r="359" spans="1:11" x14ac:dyDescent="0.2">
      <c r="A359" s="172"/>
      <c r="I359" s="174"/>
      <c r="K359" s="176"/>
    </row>
    <row r="360" spans="1:11" x14ac:dyDescent="0.2">
      <c r="A360" s="172"/>
      <c r="I360" s="174"/>
      <c r="K360" s="176"/>
    </row>
    <row r="361" spans="1:11" x14ac:dyDescent="0.2">
      <c r="A361" s="172"/>
      <c r="I361" s="174"/>
      <c r="K361" s="176"/>
    </row>
    <row r="362" spans="1:11" x14ac:dyDescent="0.2">
      <c r="A362" s="172"/>
      <c r="I362" s="174"/>
      <c r="K362" s="176"/>
    </row>
    <row r="363" spans="1:11" x14ac:dyDescent="0.2">
      <c r="A363" s="172"/>
      <c r="I363" s="174"/>
      <c r="K363" s="176"/>
    </row>
    <row r="364" spans="1:11" x14ac:dyDescent="0.2">
      <c r="A364" s="172"/>
      <c r="I364" s="174"/>
      <c r="K364" s="176"/>
    </row>
    <row r="365" spans="1:11" x14ac:dyDescent="0.2">
      <c r="A365" s="172"/>
      <c r="I365" s="174"/>
      <c r="K365" s="176"/>
    </row>
    <row r="366" spans="1:11" x14ac:dyDescent="0.2">
      <c r="A366" s="172"/>
      <c r="I366" s="174"/>
      <c r="K366" s="176"/>
    </row>
    <row r="367" spans="1:11" x14ac:dyDescent="0.2">
      <c r="A367" s="172"/>
      <c r="I367" s="174"/>
      <c r="K367" s="176"/>
    </row>
    <row r="368" spans="1:11" x14ac:dyDescent="0.2">
      <c r="A368" s="172"/>
      <c r="I368" s="174"/>
      <c r="K368" s="176"/>
    </row>
    <row r="369" spans="1:11" x14ac:dyDescent="0.2">
      <c r="A369" s="172"/>
      <c r="I369" s="174"/>
      <c r="K369" s="176"/>
    </row>
    <row r="370" spans="1:11" x14ac:dyDescent="0.2">
      <c r="A370" s="172"/>
      <c r="I370" s="174"/>
      <c r="K370" s="176"/>
    </row>
    <row r="371" spans="1:11" x14ac:dyDescent="0.2">
      <c r="A371" s="172"/>
      <c r="I371" s="174"/>
      <c r="K371" s="176"/>
    </row>
    <row r="372" spans="1:11" x14ac:dyDescent="0.2">
      <c r="A372" s="172"/>
      <c r="I372" s="174"/>
      <c r="K372" s="176"/>
    </row>
    <row r="373" spans="1:11" x14ac:dyDescent="0.2">
      <c r="A373" s="172"/>
      <c r="I373" s="174"/>
      <c r="K373" s="176"/>
    </row>
    <row r="374" spans="1:11" x14ac:dyDescent="0.2">
      <c r="A374" s="172"/>
      <c r="I374" s="174"/>
      <c r="K374" s="176"/>
    </row>
    <row r="375" spans="1:11" x14ac:dyDescent="0.2">
      <c r="A375" s="172"/>
      <c r="I375" s="174"/>
      <c r="K375" s="176"/>
    </row>
    <row r="376" spans="1:11" x14ac:dyDescent="0.2">
      <c r="A376" s="172"/>
      <c r="I376" s="174"/>
      <c r="K376" s="176"/>
    </row>
    <row r="377" spans="1:11" x14ac:dyDescent="0.2">
      <c r="A377" s="172"/>
      <c r="I377" s="174"/>
      <c r="K377" s="176"/>
    </row>
    <row r="378" spans="1:11" x14ac:dyDescent="0.2">
      <c r="A378" s="172"/>
      <c r="I378" s="174"/>
      <c r="K378" s="176"/>
    </row>
    <row r="379" spans="1:11" x14ac:dyDescent="0.2">
      <c r="A379" s="172"/>
      <c r="I379" s="174"/>
      <c r="K379" s="176"/>
    </row>
    <row r="380" spans="1:11" x14ac:dyDescent="0.2">
      <c r="A380" s="172"/>
      <c r="I380" s="174"/>
      <c r="K380" s="176"/>
    </row>
    <row r="381" spans="1:11" x14ac:dyDescent="0.2">
      <c r="A381" s="172"/>
      <c r="I381" s="174"/>
      <c r="K381" s="176"/>
    </row>
    <row r="382" spans="1:11" x14ac:dyDescent="0.2">
      <c r="A382" s="172"/>
      <c r="I382" s="174"/>
      <c r="K382" s="176"/>
    </row>
    <row r="383" spans="1:11" x14ac:dyDescent="0.2">
      <c r="A383" s="172"/>
      <c r="I383" s="174"/>
      <c r="K383" s="176"/>
    </row>
    <row r="384" spans="1:11" x14ac:dyDescent="0.2">
      <c r="A384" s="172"/>
      <c r="I384" s="174"/>
      <c r="K384" s="176"/>
    </row>
    <row r="385" spans="1:11" x14ac:dyDescent="0.2">
      <c r="A385" s="172"/>
      <c r="I385" s="174"/>
      <c r="K385" s="176"/>
    </row>
    <row r="386" spans="1:11" x14ac:dyDescent="0.2">
      <c r="A386" s="172"/>
      <c r="I386" s="174"/>
      <c r="K386" s="176"/>
    </row>
    <row r="387" spans="1:11" x14ac:dyDescent="0.2">
      <c r="A387" s="172"/>
      <c r="I387" s="174"/>
      <c r="K387" s="176"/>
    </row>
    <row r="388" spans="1:11" x14ac:dyDescent="0.2">
      <c r="A388" s="172"/>
      <c r="I388" s="174"/>
      <c r="K388" s="176"/>
    </row>
    <row r="389" spans="1:11" x14ac:dyDescent="0.2">
      <c r="A389" s="172"/>
      <c r="I389" s="174"/>
      <c r="K389" s="176"/>
    </row>
    <row r="390" spans="1:11" x14ac:dyDescent="0.2">
      <c r="A390" s="172"/>
      <c r="I390" s="174"/>
      <c r="K390" s="176"/>
    </row>
    <row r="391" spans="1:11" x14ac:dyDescent="0.2">
      <c r="A391" s="172"/>
      <c r="I391" s="174"/>
      <c r="K391" s="176"/>
    </row>
    <row r="392" spans="1:11" x14ac:dyDescent="0.2">
      <c r="A392" s="172"/>
      <c r="I392" s="174"/>
      <c r="K392" s="176"/>
    </row>
    <row r="393" spans="1:11" x14ac:dyDescent="0.2">
      <c r="A393" s="172"/>
      <c r="I393" s="174"/>
      <c r="K393" s="176"/>
    </row>
    <row r="394" spans="1:11" x14ac:dyDescent="0.2">
      <c r="A394" s="172"/>
      <c r="I394" s="174"/>
      <c r="K394" s="176"/>
    </row>
    <row r="395" spans="1:11" x14ac:dyDescent="0.2">
      <c r="A395" s="172"/>
      <c r="I395" s="174"/>
      <c r="K395" s="176"/>
    </row>
    <row r="396" spans="1:11" x14ac:dyDescent="0.2">
      <c r="A396" s="172"/>
      <c r="I396" s="174"/>
      <c r="K396" s="176"/>
    </row>
    <row r="397" spans="1:11" x14ac:dyDescent="0.2">
      <c r="A397" s="172"/>
      <c r="I397" s="174"/>
      <c r="K397" s="176"/>
    </row>
    <row r="398" spans="1:11" x14ac:dyDescent="0.2">
      <c r="A398" s="172"/>
      <c r="I398" s="174"/>
      <c r="K398" s="176"/>
    </row>
    <row r="399" spans="1:11" x14ac:dyDescent="0.2">
      <c r="A399" s="172"/>
      <c r="I399" s="174"/>
      <c r="K399" s="176"/>
    </row>
    <row r="400" spans="1:11" x14ac:dyDescent="0.2">
      <c r="A400" s="172"/>
      <c r="I400" s="174"/>
      <c r="K400" s="176"/>
    </row>
    <row r="401" spans="1:11" x14ac:dyDescent="0.2">
      <c r="A401" s="172"/>
      <c r="I401" s="174"/>
      <c r="K401" s="176"/>
    </row>
    <row r="402" spans="1:11" x14ac:dyDescent="0.2">
      <c r="A402" s="172"/>
      <c r="I402" s="174"/>
      <c r="K402" s="176"/>
    </row>
    <row r="403" spans="1:11" x14ac:dyDescent="0.2">
      <c r="A403" s="172"/>
      <c r="I403" s="174"/>
      <c r="K403" s="176"/>
    </row>
    <row r="404" spans="1:11" x14ac:dyDescent="0.2">
      <c r="A404" s="172"/>
      <c r="I404" s="174"/>
      <c r="K404" s="176"/>
    </row>
    <row r="405" spans="1:11" x14ac:dyDescent="0.2">
      <c r="A405" s="172"/>
      <c r="I405" s="174"/>
      <c r="K405" s="176"/>
    </row>
    <row r="406" spans="1:11" x14ac:dyDescent="0.2">
      <c r="A406" s="172"/>
      <c r="I406" s="174"/>
      <c r="K406" s="176"/>
    </row>
    <row r="407" spans="1:11" x14ac:dyDescent="0.2">
      <c r="A407" s="172"/>
      <c r="I407" s="174"/>
      <c r="K407" s="176"/>
    </row>
    <row r="408" spans="1:11" x14ac:dyDescent="0.2">
      <c r="A408" s="172"/>
      <c r="I408" s="174"/>
      <c r="K408" s="176"/>
    </row>
    <row r="409" spans="1:11" x14ac:dyDescent="0.2">
      <c r="A409" s="172"/>
      <c r="I409" s="174"/>
      <c r="K409" s="176"/>
    </row>
    <row r="410" spans="1:11" x14ac:dyDescent="0.2">
      <c r="A410" s="172"/>
      <c r="I410" s="174"/>
      <c r="K410" s="176"/>
    </row>
    <row r="411" spans="1:11" x14ac:dyDescent="0.2">
      <c r="A411" s="172"/>
      <c r="I411" s="174"/>
      <c r="K411" s="176"/>
    </row>
    <row r="412" spans="1:11" x14ac:dyDescent="0.2">
      <c r="A412" s="172"/>
      <c r="I412" s="174"/>
      <c r="K412" s="176"/>
    </row>
    <row r="413" spans="1:11" x14ac:dyDescent="0.2">
      <c r="A413" s="172"/>
      <c r="I413" s="174"/>
      <c r="K413" s="176"/>
    </row>
    <row r="414" spans="1:11" x14ac:dyDescent="0.2">
      <c r="A414" s="172"/>
      <c r="I414" s="174"/>
      <c r="K414" s="176"/>
    </row>
    <row r="415" spans="1:11" x14ac:dyDescent="0.2">
      <c r="A415" s="172"/>
      <c r="I415" s="174"/>
      <c r="K415" s="176"/>
    </row>
    <row r="416" spans="1:11" x14ac:dyDescent="0.2">
      <c r="A416" s="172"/>
      <c r="I416" s="174"/>
      <c r="K416" s="176"/>
    </row>
    <row r="417" spans="1:11" x14ac:dyDescent="0.2">
      <c r="A417" s="172"/>
      <c r="I417" s="174"/>
      <c r="K417" s="176"/>
    </row>
    <row r="418" spans="1:11" x14ac:dyDescent="0.2">
      <c r="A418" s="172"/>
      <c r="I418" s="174"/>
      <c r="K418" s="176"/>
    </row>
    <row r="419" spans="1:11" x14ac:dyDescent="0.2">
      <c r="A419" s="172"/>
      <c r="I419" s="174"/>
      <c r="K419" s="176"/>
    </row>
    <row r="420" spans="1:11" x14ac:dyDescent="0.2">
      <c r="A420" s="172"/>
      <c r="I420" s="174"/>
      <c r="K420" s="176"/>
    </row>
    <row r="421" spans="1:11" x14ac:dyDescent="0.2">
      <c r="A421" s="172"/>
      <c r="I421" s="174"/>
      <c r="K421" s="176"/>
    </row>
    <row r="422" spans="1:11" x14ac:dyDescent="0.2">
      <c r="A422" s="172"/>
      <c r="I422" s="174"/>
      <c r="K422" s="176"/>
    </row>
    <row r="423" spans="1:11" x14ac:dyDescent="0.2">
      <c r="A423" s="172"/>
      <c r="I423" s="174"/>
      <c r="K423" s="176"/>
    </row>
    <row r="424" spans="1:11" x14ac:dyDescent="0.2">
      <c r="A424" s="172"/>
      <c r="I424" s="174"/>
      <c r="K424" s="176"/>
    </row>
    <row r="425" spans="1:11" x14ac:dyDescent="0.2">
      <c r="A425" s="172"/>
      <c r="I425" s="174"/>
      <c r="K425" s="176"/>
    </row>
    <row r="426" spans="1:11" x14ac:dyDescent="0.2">
      <c r="A426" s="172"/>
      <c r="I426" s="174"/>
      <c r="K426" s="176"/>
    </row>
    <row r="427" spans="1:11" x14ac:dyDescent="0.2">
      <c r="A427" s="172"/>
      <c r="I427" s="174"/>
      <c r="K427" s="176"/>
    </row>
    <row r="428" spans="1:11" x14ac:dyDescent="0.2">
      <c r="A428" s="172"/>
      <c r="I428" s="174"/>
      <c r="K428" s="176"/>
    </row>
    <row r="429" spans="1:11" x14ac:dyDescent="0.2">
      <c r="A429" s="172"/>
      <c r="I429" s="174"/>
      <c r="K429" s="176"/>
    </row>
    <row r="430" spans="1:11" x14ac:dyDescent="0.2">
      <c r="A430" s="172"/>
      <c r="I430" s="174"/>
      <c r="K430" s="176"/>
    </row>
    <row r="431" spans="1:11" x14ac:dyDescent="0.2">
      <c r="A431" s="172"/>
      <c r="I431" s="174"/>
      <c r="K431" s="176"/>
    </row>
    <row r="432" spans="1:11" x14ac:dyDescent="0.2">
      <c r="A432" s="172"/>
      <c r="I432" s="174"/>
      <c r="K432" s="176"/>
    </row>
    <row r="433" spans="1:11" x14ac:dyDescent="0.2">
      <c r="A433" s="172"/>
      <c r="I433" s="174"/>
      <c r="K433" s="176"/>
    </row>
    <row r="434" spans="1:11" x14ac:dyDescent="0.2">
      <c r="A434" s="172"/>
      <c r="I434" s="174"/>
      <c r="K434" s="176"/>
    </row>
    <row r="435" spans="1:11" x14ac:dyDescent="0.2">
      <c r="A435" s="172"/>
      <c r="I435" s="174"/>
      <c r="K435" s="176"/>
    </row>
    <row r="436" spans="1:11" x14ac:dyDescent="0.2">
      <c r="A436" s="172"/>
      <c r="I436" s="174"/>
      <c r="K436" s="176"/>
    </row>
    <row r="437" spans="1:11" x14ac:dyDescent="0.2">
      <c r="A437" s="172"/>
      <c r="I437" s="174"/>
      <c r="K437" s="176"/>
    </row>
    <row r="438" spans="1:11" x14ac:dyDescent="0.2">
      <c r="A438" s="172"/>
      <c r="I438" s="174"/>
      <c r="K438" s="176"/>
    </row>
    <row r="439" spans="1:11" x14ac:dyDescent="0.2">
      <c r="A439" s="172"/>
      <c r="I439" s="174"/>
      <c r="K439" s="176"/>
    </row>
    <row r="440" spans="1:11" x14ac:dyDescent="0.2">
      <c r="A440" s="172"/>
      <c r="I440" s="174"/>
      <c r="K440" s="176"/>
    </row>
    <row r="441" spans="1:11" x14ac:dyDescent="0.2">
      <c r="A441" s="172"/>
      <c r="I441" s="174"/>
      <c r="K441" s="176"/>
    </row>
    <row r="442" spans="1:11" x14ac:dyDescent="0.2">
      <c r="A442" s="172"/>
      <c r="I442" s="174"/>
      <c r="K442" s="176"/>
    </row>
    <row r="443" spans="1:11" x14ac:dyDescent="0.2">
      <c r="A443" s="172"/>
      <c r="I443" s="174"/>
      <c r="K443" s="176"/>
    </row>
    <row r="444" spans="1:11" x14ac:dyDescent="0.2">
      <c r="A444" s="172"/>
      <c r="I444" s="174"/>
      <c r="K444" s="176"/>
    </row>
    <row r="445" spans="1:11" x14ac:dyDescent="0.2">
      <c r="A445" s="172"/>
      <c r="I445" s="174"/>
      <c r="K445" s="176"/>
    </row>
    <row r="446" spans="1:11" x14ac:dyDescent="0.2">
      <c r="A446" s="172"/>
      <c r="I446" s="174"/>
      <c r="K446" s="176"/>
    </row>
    <row r="447" spans="1:11" x14ac:dyDescent="0.2">
      <c r="A447" s="172"/>
      <c r="I447" s="174"/>
      <c r="K447" s="176"/>
    </row>
    <row r="448" spans="1:11" x14ac:dyDescent="0.2">
      <c r="A448" s="172"/>
      <c r="I448" s="174"/>
      <c r="K448" s="176"/>
    </row>
    <row r="449" spans="1:11" x14ac:dyDescent="0.2">
      <c r="A449" s="172"/>
      <c r="I449" s="174"/>
      <c r="K449" s="176"/>
    </row>
    <row r="450" spans="1:11" x14ac:dyDescent="0.2">
      <c r="A450" s="172"/>
      <c r="I450" s="174"/>
      <c r="K450" s="176"/>
    </row>
    <row r="451" spans="1:11" x14ac:dyDescent="0.2">
      <c r="A451" s="172"/>
      <c r="I451" s="174"/>
      <c r="K451" s="176"/>
    </row>
    <row r="452" spans="1:11" x14ac:dyDescent="0.2">
      <c r="A452" s="172"/>
      <c r="I452" s="174"/>
      <c r="K452" s="176"/>
    </row>
    <row r="453" spans="1:11" x14ac:dyDescent="0.2">
      <c r="A453" s="172"/>
      <c r="I453" s="174"/>
      <c r="K453" s="176"/>
    </row>
    <row r="454" spans="1:11" x14ac:dyDescent="0.2">
      <c r="A454" s="172"/>
      <c r="I454" s="174"/>
      <c r="K454" s="176"/>
    </row>
    <row r="455" spans="1:11" x14ac:dyDescent="0.2">
      <c r="A455" s="172"/>
      <c r="I455" s="174"/>
      <c r="K455" s="176"/>
    </row>
    <row r="456" spans="1:11" x14ac:dyDescent="0.2">
      <c r="A456" s="172"/>
      <c r="I456" s="174"/>
      <c r="K456" s="176"/>
    </row>
    <row r="457" spans="1:11" x14ac:dyDescent="0.2">
      <c r="A457" s="172"/>
      <c r="I457" s="174"/>
      <c r="K457" s="176"/>
    </row>
    <row r="458" spans="1:11" x14ac:dyDescent="0.2">
      <c r="A458" s="172"/>
      <c r="I458" s="174"/>
      <c r="K458" s="176"/>
    </row>
    <row r="459" spans="1:11" x14ac:dyDescent="0.2">
      <c r="A459" s="172"/>
      <c r="I459" s="174"/>
      <c r="K459" s="176"/>
    </row>
    <row r="460" spans="1:11" x14ac:dyDescent="0.2">
      <c r="A460" s="172"/>
      <c r="I460" s="174"/>
      <c r="K460" s="176"/>
    </row>
    <row r="461" spans="1:11" x14ac:dyDescent="0.2">
      <c r="A461" s="172"/>
      <c r="I461" s="174"/>
      <c r="K461" s="176"/>
    </row>
    <row r="462" spans="1:11" x14ac:dyDescent="0.2">
      <c r="A462" s="172"/>
      <c r="I462" s="174"/>
      <c r="K462" s="176"/>
    </row>
    <row r="463" spans="1:11" x14ac:dyDescent="0.2">
      <c r="A463" s="172"/>
      <c r="I463" s="174"/>
      <c r="K463" s="176"/>
    </row>
    <row r="464" spans="1:11" x14ac:dyDescent="0.2">
      <c r="A464" s="172"/>
      <c r="I464" s="174"/>
      <c r="K464" s="176"/>
    </row>
    <row r="465" spans="1:11" x14ac:dyDescent="0.2">
      <c r="A465" s="172"/>
      <c r="I465" s="174"/>
      <c r="K465" s="176"/>
    </row>
    <row r="466" spans="1:11" x14ac:dyDescent="0.2">
      <c r="A466" s="172"/>
      <c r="I466" s="174"/>
      <c r="K466" s="176"/>
    </row>
    <row r="467" spans="1:11" x14ac:dyDescent="0.2">
      <c r="A467" s="172"/>
      <c r="I467" s="174"/>
      <c r="K467" s="176"/>
    </row>
    <row r="468" spans="1:11" x14ac:dyDescent="0.2">
      <c r="A468" s="172"/>
      <c r="I468" s="174"/>
      <c r="K468" s="176"/>
    </row>
    <row r="469" spans="1:11" x14ac:dyDescent="0.2">
      <c r="A469" s="172"/>
      <c r="I469" s="174"/>
      <c r="K469" s="176"/>
    </row>
    <row r="470" spans="1:11" x14ac:dyDescent="0.2">
      <c r="A470" s="172"/>
      <c r="I470" s="174"/>
      <c r="K470" s="176"/>
    </row>
    <row r="471" spans="1:11" x14ac:dyDescent="0.2">
      <c r="A471" s="172"/>
      <c r="I471" s="174"/>
      <c r="K471" s="176"/>
    </row>
    <row r="472" spans="1:11" x14ac:dyDescent="0.2">
      <c r="A472" s="172"/>
      <c r="I472" s="174"/>
      <c r="K472" s="176"/>
    </row>
    <row r="473" spans="1:11" x14ac:dyDescent="0.2">
      <c r="A473" s="172"/>
      <c r="I473" s="174"/>
      <c r="K473" s="176"/>
    </row>
    <row r="474" spans="1:11" x14ac:dyDescent="0.2">
      <c r="A474" s="172"/>
      <c r="I474" s="174"/>
      <c r="K474" s="176"/>
    </row>
    <row r="475" spans="1:11" x14ac:dyDescent="0.2">
      <c r="A475" s="172"/>
      <c r="I475" s="174"/>
      <c r="K475" s="176"/>
    </row>
    <row r="476" spans="1:11" x14ac:dyDescent="0.2">
      <c r="A476" s="172"/>
      <c r="I476" s="174"/>
      <c r="K476" s="176"/>
    </row>
    <row r="477" spans="1:11" x14ac:dyDescent="0.2">
      <c r="A477" s="172"/>
      <c r="I477" s="174"/>
      <c r="K477" s="176"/>
    </row>
    <row r="478" spans="1:11" x14ac:dyDescent="0.2">
      <c r="A478" s="172"/>
      <c r="I478" s="174"/>
      <c r="K478" s="176"/>
    </row>
    <row r="479" spans="1:11" x14ac:dyDescent="0.2">
      <c r="A479" s="172"/>
      <c r="I479" s="174"/>
      <c r="K479" s="176"/>
    </row>
    <row r="480" spans="1:11" x14ac:dyDescent="0.2">
      <c r="A480" s="172"/>
      <c r="I480" s="174"/>
      <c r="K480" s="176"/>
    </row>
    <row r="481" spans="1:11" x14ac:dyDescent="0.2">
      <c r="A481" s="172"/>
      <c r="I481" s="174"/>
      <c r="K481" s="176"/>
    </row>
    <row r="482" spans="1:11" x14ac:dyDescent="0.2">
      <c r="A482" s="172"/>
      <c r="I482" s="174"/>
      <c r="K482" s="176"/>
    </row>
    <row r="483" spans="1:11" x14ac:dyDescent="0.2">
      <c r="A483" s="172"/>
      <c r="I483" s="174"/>
      <c r="K483" s="176"/>
    </row>
    <row r="484" spans="1:11" x14ac:dyDescent="0.2">
      <c r="A484" s="172"/>
      <c r="I484" s="174"/>
      <c r="K484" s="176"/>
    </row>
    <row r="485" spans="1:11" x14ac:dyDescent="0.2">
      <c r="A485" s="172"/>
      <c r="I485" s="174"/>
      <c r="K485" s="176"/>
    </row>
    <row r="486" spans="1:11" x14ac:dyDescent="0.2">
      <c r="A486" s="172"/>
      <c r="I486" s="174"/>
      <c r="K486" s="176"/>
    </row>
    <row r="487" spans="1:11" x14ac:dyDescent="0.2">
      <c r="A487" s="172"/>
      <c r="I487" s="174"/>
      <c r="K487" s="176"/>
    </row>
    <row r="488" spans="1:11" x14ac:dyDescent="0.2">
      <c r="A488" s="172"/>
      <c r="I488" s="174"/>
      <c r="K488" s="176"/>
    </row>
    <row r="489" spans="1:11" x14ac:dyDescent="0.2">
      <c r="A489" s="172"/>
      <c r="I489" s="174"/>
      <c r="K489" s="176"/>
    </row>
    <row r="490" spans="1:11" x14ac:dyDescent="0.2">
      <c r="A490" s="172"/>
      <c r="I490" s="174"/>
      <c r="K490" s="176"/>
    </row>
    <row r="491" spans="1:11" x14ac:dyDescent="0.2">
      <c r="A491" s="172"/>
      <c r="I491" s="174"/>
      <c r="K491" s="176"/>
    </row>
    <row r="492" spans="1:11" x14ac:dyDescent="0.2">
      <c r="A492" s="172"/>
      <c r="I492" s="174"/>
      <c r="K492" s="176"/>
    </row>
    <row r="493" spans="1:11" x14ac:dyDescent="0.2">
      <c r="A493" s="172"/>
      <c r="I493" s="174"/>
      <c r="K493" s="176"/>
    </row>
    <row r="494" spans="1:11" x14ac:dyDescent="0.2">
      <c r="A494" s="172"/>
      <c r="I494" s="174"/>
      <c r="K494" s="176"/>
    </row>
    <row r="495" spans="1:11" x14ac:dyDescent="0.2">
      <c r="A495" s="172"/>
      <c r="I495" s="174"/>
      <c r="K495" s="176"/>
    </row>
    <row r="496" spans="1:11" x14ac:dyDescent="0.2">
      <c r="A496" s="172"/>
      <c r="I496" s="174"/>
      <c r="K496" s="176"/>
    </row>
    <row r="497" spans="1:11" x14ac:dyDescent="0.2">
      <c r="A497" s="172"/>
      <c r="I497" s="174"/>
      <c r="K497" s="176"/>
    </row>
    <row r="498" spans="1:11" x14ac:dyDescent="0.2">
      <c r="A498" s="172"/>
      <c r="I498" s="174"/>
      <c r="K498" s="176"/>
    </row>
    <row r="499" spans="1:11" x14ac:dyDescent="0.2">
      <c r="A499" s="172"/>
      <c r="I499" s="174"/>
      <c r="K499" s="176"/>
    </row>
    <row r="500" spans="1:11" x14ac:dyDescent="0.2">
      <c r="A500" s="172"/>
      <c r="I500" s="174"/>
      <c r="K500" s="176"/>
    </row>
    <row r="501" spans="1:11" ht="13.5" thickBot="1" x14ac:dyDescent="0.25">
      <c r="A501" s="251"/>
      <c r="I501" s="250"/>
      <c r="K501" s="249"/>
    </row>
  </sheetData>
  <mergeCells count="6">
    <mergeCell ref="M9:O10"/>
    <mergeCell ref="C2:E2"/>
    <mergeCell ref="J2:J3"/>
    <mergeCell ref="C3:E3"/>
    <mergeCell ref="M5:O6"/>
    <mergeCell ref="M7:O8"/>
  </mergeCells>
  <hyperlinks>
    <hyperlink ref="M1" location="'Main'!A1" display="Main" xr:uid="{00000000-0004-0000-0C00-000000000000}"/>
  </hyperlinks>
  <pageMargins left="0.75" right="0.75" top="1" bottom="1" header="0.5" footer="0.5"/>
  <pageSetup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ExportFile">
                <anchor moveWithCells="1" sizeWithCells="1">
                  <from>
                    <xdr:col>6</xdr:col>
                    <xdr:colOff>57150</xdr:colOff>
                    <xdr:row>1</xdr:row>
                    <xdr:rowOff>38100</xdr:rowOff>
                  </from>
                  <to>
                    <xdr:col>6</xdr:col>
                    <xdr:colOff>628650</xdr:colOff>
                    <xdr:row>2</xdr:row>
                    <xdr:rowOff>247650</xdr:rowOff>
                  </to>
                </anchor>
              </controlPr>
            </control>
          </mc:Choice>
        </mc:AlternateContent>
        <mc:AlternateContent xmlns:mc="http://schemas.openxmlformats.org/markup-compatibility/2006">
          <mc:Choice Requires="x14">
            <control shapeId="78850" r:id="rId5" name="Button 2">
              <controlPr defaultSize="0" print="0" autoFill="0" autoPict="0" macro="[0]!GenerateSources">
                <anchor moveWithCells="1" sizeWithCells="1">
                  <from>
                    <xdr:col>5</xdr:col>
                    <xdr:colOff>76200</xdr:colOff>
                    <xdr:row>1</xdr:row>
                    <xdr:rowOff>28575</xdr:rowOff>
                  </from>
                  <to>
                    <xdr:col>5</xdr:col>
                    <xdr:colOff>723900</xdr:colOff>
                    <xdr:row>2</xdr:row>
                    <xdr:rowOff>247650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tabColor indexed="46"/>
  </sheetPr>
  <dimension ref="A1:O937"/>
  <sheetViews>
    <sheetView topLeftCell="A94" workbookViewId="0">
      <selection activeCell="B85" sqref="B85"/>
    </sheetView>
  </sheetViews>
  <sheetFormatPr defaultColWidth="9.28515625" defaultRowHeight="12.75" x14ac:dyDescent="0.2"/>
  <cols>
    <col min="1" max="1" width="4.28515625" style="172" customWidth="1"/>
    <col min="2" max="2" width="14.7109375" style="57" customWidth="1"/>
    <col min="3" max="3" width="15.7109375" style="16" customWidth="1"/>
    <col min="4" max="4" width="16.42578125" style="16" customWidth="1"/>
    <col min="5" max="5" width="12.7109375" style="16" customWidth="1"/>
    <col min="6" max="6" width="11.42578125" style="16" customWidth="1"/>
    <col min="7" max="7" width="11.7109375" style="16" customWidth="1"/>
    <col min="8" max="8" width="12.7109375" style="58" customWidth="1"/>
    <col min="9" max="9" width="4.28515625" style="174" customWidth="1"/>
    <col min="10" max="10" width="64.28515625" style="177" customWidth="1"/>
    <col min="11" max="11" width="4.28515625" style="176" customWidth="1"/>
    <col min="12" max="12" width="8.5703125" style="1" bestFit="1" customWidth="1"/>
    <col min="13" max="15" width="8.5703125" style="1" customWidth="1"/>
    <col min="16" max="16384" width="9.28515625" style="1"/>
  </cols>
  <sheetData>
    <row r="1" spans="1:15" ht="13.5" thickBot="1" x14ac:dyDescent="0.25">
      <c r="A1" s="171"/>
      <c r="B1" s="62"/>
      <c r="C1" s="62"/>
      <c r="D1" s="62"/>
      <c r="E1" s="62"/>
      <c r="F1" s="62"/>
      <c r="G1" s="62"/>
      <c r="H1" s="62"/>
      <c r="I1" s="173"/>
      <c r="J1" s="62"/>
      <c r="K1" s="175"/>
      <c r="L1" s="54"/>
      <c r="M1" s="54" t="s">
        <v>13</v>
      </c>
    </row>
    <row r="2" spans="1:15" ht="46.5" customHeight="1" x14ac:dyDescent="0.2">
      <c r="B2" s="182" t="s">
        <v>8</v>
      </c>
      <c r="C2" s="592" t="str">
        <f>setupfile_dir</f>
        <v>C:\RTR\Foundries\TRIM</v>
      </c>
      <c r="D2" s="593"/>
      <c r="E2" s="594"/>
      <c r="F2" s="174"/>
      <c r="G2" s="59"/>
      <c r="H2" s="174"/>
      <c r="J2" s="609" t="s">
        <v>360</v>
      </c>
    </row>
    <row r="3" spans="1:15" ht="20.25" customHeight="1" thickBot="1" x14ac:dyDescent="0.25">
      <c r="B3" s="181" t="s">
        <v>7</v>
      </c>
      <c r="C3" s="597" t="str">
        <f>scenario_name &amp; " (2) Volume Elements.txt"</f>
        <v>Foundries_SS (2) Volume Elements.txt</v>
      </c>
      <c r="D3" s="598"/>
      <c r="E3" s="599"/>
      <c r="F3" s="174"/>
      <c r="G3" s="60"/>
      <c r="H3" s="174"/>
      <c r="J3" s="596"/>
    </row>
    <row r="4" spans="1:15" ht="13.5" thickBot="1" x14ac:dyDescent="0.25">
      <c r="B4" s="59"/>
      <c r="C4" s="59"/>
      <c r="D4" s="59"/>
      <c r="E4" s="59"/>
      <c r="F4" s="59"/>
      <c r="G4" s="59"/>
      <c r="H4" s="59"/>
      <c r="J4" s="59"/>
    </row>
    <row r="5" spans="1:15" x14ac:dyDescent="0.2">
      <c r="B5" s="1" t="s">
        <v>544</v>
      </c>
      <c r="C5" s="1"/>
      <c r="D5" s="1"/>
      <c r="E5" s="1"/>
      <c r="F5" s="1"/>
      <c r="G5" s="1"/>
      <c r="H5" s="1"/>
      <c r="J5" s="178" t="str">
        <f>ConcatenateWithSpaces($B$5:$H$5)</f>
        <v>// TRIM.FaTE scenario spatial layout</v>
      </c>
      <c r="M5" s="600" t="s">
        <v>231</v>
      </c>
      <c r="N5" s="601"/>
      <c r="O5" s="602"/>
    </row>
    <row r="6" spans="1:15" ht="13.5" thickBot="1" x14ac:dyDescent="0.25">
      <c r="B6" s="1" t="s">
        <v>547</v>
      </c>
      <c r="C6" s="1"/>
      <c r="D6" s="1"/>
      <c r="E6" s="1"/>
      <c r="F6" s="1"/>
      <c r="G6" s="1"/>
      <c r="H6" s="1"/>
      <c r="J6" s="177" t="str">
        <f>ConcatenateWithSpaces($B$6:$H$6)</f>
        <v>// Volume elements and primary abiotic compartments</v>
      </c>
      <c r="M6" s="603"/>
      <c r="N6" s="604"/>
      <c r="O6" s="605"/>
    </row>
    <row r="7" spans="1:15" x14ac:dyDescent="0.2">
      <c r="B7" s="1"/>
      <c r="C7" s="1"/>
      <c r="D7" s="1"/>
      <c r="E7" s="1"/>
      <c r="F7" s="1"/>
      <c r="G7" s="1"/>
      <c r="H7" s="1"/>
      <c r="J7" s="177" t="str">
        <f>ConcatenateWithSpaces($B$7:$H$7)</f>
        <v/>
      </c>
      <c r="M7" s="518" t="s">
        <v>232</v>
      </c>
      <c r="N7" s="519"/>
      <c r="O7" s="520"/>
    </row>
    <row r="8" spans="1:15" ht="13.5" thickBot="1" x14ac:dyDescent="0.25">
      <c r="B8" s="26" t="str">
        <f>"// "&amp; Parameters!$J$7</f>
        <v>// Foundries_SS</v>
      </c>
      <c r="C8" s="1"/>
      <c r="D8" s="1"/>
      <c r="E8" s="1"/>
      <c r="F8" s="1"/>
      <c r="G8" s="1"/>
      <c r="H8" s="1"/>
      <c r="J8" s="177" t="str">
        <f>ConcatenateWithSpaces($B$8:$H$8)</f>
        <v>// Foundries_SS</v>
      </c>
      <c r="M8" s="606"/>
      <c r="N8" s="607"/>
      <c r="O8" s="608"/>
    </row>
    <row r="9" spans="1:15" x14ac:dyDescent="0.2">
      <c r="B9" s="26" t="str">
        <f>"// "&amp; Parameters!$J$9</f>
        <v>// Site-specific scenario for Int Iron Steel Foundries in Wexford County, MI</v>
      </c>
      <c r="C9" s="1"/>
      <c r="D9" s="1"/>
      <c r="E9" s="1"/>
      <c r="F9" s="1"/>
      <c r="G9" s="1"/>
      <c r="H9" s="1"/>
      <c r="J9" s="177" t="str">
        <f>ConcatenateWithSpaces($B$9:$H$9)</f>
        <v>// Site-specific scenario for Int Iron Steel Foundries in Wexford County, MI</v>
      </c>
      <c r="M9" s="586" t="s">
        <v>233</v>
      </c>
      <c r="N9" s="587"/>
      <c r="O9" s="588"/>
    </row>
    <row r="10" spans="1:15" ht="13.5" thickBot="1" x14ac:dyDescent="0.25">
      <c r="B10" s="1"/>
      <c r="C10" s="1"/>
      <c r="D10" s="1"/>
      <c r="E10" s="1"/>
      <c r="F10" s="1"/>
      <c r="G10" s="1"/>
      <c r="H10" s="1"/>
      <c r="J10" s="177" t="str">
        <f>ConcatenateWithSpaces($B$10:$H$10)</f>
        <v/>
      </c>
      <c r="M10" s="589"/>
      <c r="N10" s="590"/>
      <c r="O10" s="591"/>
    </row>
    <row r="11" spans="1:15" x14ac:dyDescent="0.2">
      <c r="B11" s="1" t="s">
        <v>374</v>
      </c>
      <c r="C11" s="185">
        <f ca="1">NOW()</f>
        <v>43843.428775231485</v>
      </c>
      <c r="D11" s="1"/>
      <c r="E11" s="1"/>
      <c r="F11" s="1"/>
      <c r="G11" s="1"/>
      <c r="H11" s="1"/>
      <c r="J11" s="177" t="str">
        <f ca="1">ConcatenateWithSpaces($B$11:$H$11)</f>
        <v>// Generated:  1/13/2020 10:17:26 AM</v>
      </c>
    </row>
    <row r="12" spans="1:15" x14ac:dyDescent="0.2">
      <c r="B12" s="1" t="s">
        <v>543</v>
      </c>
      <c r="C12" s="26" t="str">
        <f>Layout!$D$4</f>
        <v>UTM Zone 16N, WGS1984 Ellipsoid</v>
      </c>
      <c r="D12" s="1"/>
      <c r="E12" s="1"/>
      <c r="F12" s="1"/>
      <c r="G12" s="1"/>
      <c r="H12" s="1"/>
      <c r="J12" s="177" t="str">
        <f>ConcatenateWithSpaces($B$12:$H$12)</f>
        <v>// Coordinates: UTM Zone 16N, WGS1984 Ellipsoid</v>
      </c>
    </row>
    <row r="13" spans="1:15" x14ac:dyDescent="0.2">
      <c r="B13" s="1"/>
      <c r="C13" s="1"/>
      <c r="D13" s="1"/>
      <c r="E13" s="1"/>
      <c r="F13" s="1"/>
      <c r="G13" s="1"/>
      <c r="H13" s="1"/>
      <c r="J13" s="177" t="str">
        <f>ConcatenateWithSpaces($B$13:$H$13)</f>
        <v/>
      </c>
    </row>
    <row r="14" spans="1:15" x14ac:dyDescent="0.2">
      <c r="B14" s="1" t="s">
        <v>250</v>
      </c>
      <c r="C14" s="1"/>
      <c r="D14" s="1"/>
      <c r="E14" s="1"/>
      <c r="F14" s="1"/>
      <c r="G14" s="1"/>
      <c r="H14" s="1"/>
      <c r="J14" s="177" t="str">
        <f>ConcatenateWithSpaces($B$14:$H$14)</f>
        <v>start_volume_element_file</v>
      </c>
    </row>
    <row r="15" spans="1:15" x14ac:dyDescent="0.2">
      <c r="B15" s="1" t="s">
        <v>251</v>
      </c>
      <c r="C15" s="1"/>
      <c r="D15" s="1"/>
      <c r="E15" s="1"/>
      <c r="F15" s="1"/>
      <c r="G15" s="1"/>
      <c r="H15" s="1"/>
      <c r="J15" s="177" t="str">
        <f>ConcatenateWithSpaces($B$15:$H$15)</f>
        <v>version 1</v>
      </c>
    </row>
    <row r="16" spans="1:15" x14ac:dyDescent="0.2">
      <c r="B16" s="1"/>
      <c r="C16" s="1"/>
      <c r="D16" s="1"/>
      <c r="E16" s="1"/>
      <c r="F16" s="1"/>
      <c r="G16" s="1"/>
      <c r="H16" s="1"/>
      <c r="J16" s="177" t="str">
        <f>ConcatenateWithSpaces($B$16:$H$16)</f>
        <v/>
      </c>
    </row>
    <row r="17" spans="2:10" x14ac:dyDescent="0.2">
      <c r="B17" s="1" t="s">
        <v>252</v>
      </c>
      <c r="C17" s="1"/>
      <c r="D17" s="1"/>
      <c r="E17" s="1"/>
      <c r="F17" s="1"/>
      <c r="G17" s="1"/>
      <c r="H17" s="1"/>
      <c r="J17" s="177" t="str">
        <f>ConcatenateWithSpaces($B$17:$H$17)</f>
        <v>start_points</v>
      </c>
    </row>
    <row r="18" spans="2:10" x14ac:dyDescent="0.2">
      <c r="B18" s="1" t="s">
        <v>361</v>
      </c>
      <c r="C18" s="1"/>
      <c r="D18" s="1"/>
      <c r="E18" s="1"/>
      <c r="F18" s="1"/>
      <c r="G18" s="1"/>
      <c r="H18" s="1"/>
      <c r="J18" s="177" t="str">
        <f>ConcatenateWithSpaces($B$18:$H$18)</f>
        <v>// PointID x y</v>
      </c>
    </row>
    <row r="19" spans="2:10" x14ac:dyDescent="0.2">
      <c r="B19" s="179" t="str">
        <f>Layout!$B$10</f>
        <v>p1</v>
      </c>
      <c r="C19" s="26">
        <f>Layout!$E$10</f>
        <v>623054.492554</v>
      </c>
      <c r="D19" s="26">
        <f>Layout!$F$10</f>
        <v>4899652.0503799999</v>
      </c>
      <c r="E19" s="1"/>
      <c r="F19" s="1"/>
      <c r="G19" s="1"/>
      <c r="H19" s="1"/>
      <c r="J19" s="177" t="str">
        <f>ConcatenateWithSpaces($B$19:$H$19)</f>
        <v>p1 623054.492554 4899652.05038</v>
      </c>
    </row>
    <row r="20" spans="2:10" x14ac:dyDescent="0.2">
      <c r="B20" s="179" t="str">
        <f>Layout!$B$11</f>
        <v>p2</v>
      </c>
      <c r="C20" s="26">
        <f>Layout!$E$11</f>
        <v>623275.29210199998</v>
      </c>
      <c r="D20" s="26">
        <f>Layout!$F$11</f>
        <v>4899093.9833800001</v>
      </c>
      <c r="E20" s="1"/>
      <c r="F20" s="1"/>
      <c r="G20" s="1"/>
      <c r="H20" s="1"/>
      <c r="J20" s="177" t="str">
        <f>ConcatenateWithSpaces($B$20:$H$20)</f>
        <v>p2 623275.292102 4899093.98338</v>
      </c>
    </row>
    <row r="21" spans="2:10" x14ac:dyDescent="0.2">
      <c r="B21" s="179" t="str">
        <f>Layout!$B$12</f>
        <v>p3</v>
      </c>
      <c r="C21" s="26">
        <f>Layout!$E$12</f>
        <v>621353.35424599994</v>
      </c>
      <c r="D21" s="26">
        <f>Layout!$F$12</f>
        <v>4898422.3754000003</v>
      </c>
      <c r="E21" s="1"/>
      <c r="F21" s="1"/>
      <c r="G21" s="1"/>
      <c r="H21" s="1"/>
      <c r="J21" s="177" t="str">
        <f>ConcatenateWithSpaces($B$21:$H$21)</f>
        <v>p3 621353.354246 4898422.3754</v>
      </c>
    </row>
    <row r="22" spans="2:10" x14ac:dyDescent="0.2">
      <c r="B22" s="179" t="str">
        <f>Layout!$B$13</f>
        <v>p4</v>
      </c>
      <c r="C22" s="26">
        <f>Layout!$E$13</f>
        <v>620634.25167000003</v>
      </c>
      <c r="D22" s="26">
        <f>Layout!$F$13</f>
        <v>4899475.5034800004</v>
      </c>
      <c r="E22" s="1"/>
      <c r="F22" s="1"/>
      <c r="G22" s="1"/>
      <c r="H22" s="1"/>
      <c r="J22" s="177" t="str">
        <f>ConcatenateWithSpaces($B$22:$H$22)</f>
        <v>p4 620634.25167 4899475.50348</v>
      </c>
    </row>
    <row r="23" spans="2:10" x14ac:dyDescent="0.2">
      <c r="B23" s="179" t="str">
        <f>Layout!$B$14</f>
        <v>p5</v>
      </c>
      <c r="C23" s="26">
        <f>Layout!$E$14</f>
        <v>618972.55383600004</v>
      </c>
      <c r="D23" s="26">
        <f>Layout!$F$14</f>
        <v>4899199.0671100002</v>
      </c>
      <c r="E23" s="1"/>
      <c r="F23" s="1"/>
      <c r="G23" s="1"/>
      <c r="H23" s="1"/>
      <c r="J23" s="177" t="str">
        <f>ConcatenateWithSpaces($B$23:$H$23)</f>
        <v>p5 618972.553836 4899199.06711</v>
      </c>
    </row>
    <row r="24" spans="2:10" x14ac:dyDescent="0.2">
      <c r="B24" s="179" t="str">
        <f>Layout!$B$15</f>
        <v>p6</v>
      </c>
      <c r="C24" s="26">
        <f>Layout!$E$15</f>
        <v>620070.43051500001</v>
      </c>
      <c r="D24" s="26">
        <f>Layout!$F$15</f>
        <v>4902171.3726500003</v>
      </c>
      <c r="E24" s="1"/>
      <c r="F24" s="1"/>
      <c r="G24" s="1"/>
      <c r="H24" s="1"/>
      <c r="J24" s="177" t="str">
        <f>ConcatenateWithSpaces($B$24:$H$24)</f>
        <v>p6 620070.430515 4902171.37265</v>
      </c>
    </row>
    <row r="25" spans="2:10" x14ac:dyDescent="0.2">
      <c r="B25" s="179" t="str">
        <f>Layout!$B$16</f>
        <v>p7</v>
      </c>
      <c r="C25" s="26">
        <f>Layout!$E$16</f>
        <v>621086.379541</v>
      </c>
      <c r="D25" s="26">
        <f>Layout!$F$16</f>
        <v>4902845.9623699998</v>
      </c>
      <c r="E25" s="1"/>
      <c r="F25" s="1"/>
      <c r="G25" s="1"/>
      <c r="H25" s="1"/>
      <c r="J25" s="177" t="str">
        <f>ConcatenateWithSpaces($B$25:$H$25)</f>
        <v>p7 621086.379541 4902845.96237</v>
      </c>
    </row>
    <row r="26" spans="2:10" x14ac:dyDescent="0.2">
      <c r="B26" s="179" t="str">
        <f>Layout!$B$17</f>
        <v>p8</v>
      </c>
      <c r="C26" s="26">
        <f>Layout!$E$17</f>
        <v>621919.04997499997</v>
      </c>
      <c r="D26" s="26">
        <f>Layout!$F$17</f>
        <v>4902308.00385</v>
      </c>
      <c r="E26" s="1"/>
      <c r="F26" s="1"/>
      <c r="G26" s="1"/>
      <c r="H26" s="1"/>
      <c r="J26" s="177" t="str">
        <f>ConcatenateWithSpaces($B$26:$H$26)</f>
        <v>p8 621919.049975 4902308.00385</v>
      </c>
    </row>
    <row r="27" spans="2:10" x14ac:dyDescent="0.2">
      <c r="B27" s="179" t="str">
        <f>Layout!$B$18</f>
        <v>p9</v>
      </c>
      <c r="C27" s="26">
        <f>Layout!$E$18</f>
        <v>623959.56882399996</v>
      </c>
      <c r="D27" s="26">
        <f>Layout!$F$18</f>
        <v>4898819.7697799997</v>
      </c>
      <c r="E27" s="1"/>
      <c r="F27" s="1"/>
      <c r="G27" s="1"/>
      <c r="H27" s="1"/>
      <c r="J27" s="177" t="str">
        <f>ConcatenateWithSpaces($B$27:$H$27)</f>
        <v>p9 623959.568824 4898819.76978</v>
      </c>
    </row>
    <row r="28" spans="2:10" x14ac:dyDescent="0.2">
      <c r="B28" s="179" t="str">
        <f>Layout!$B$19</f>
        <v>p10</v>
      </c>
      <c r="C28" s="26">
        <f>Layout!$E$19</f>
        <v>623757.39395699999</v>
      </c>
      <c r="D28" s="26">
        <f>Layout!$F$19</f>
        <v>4899718.2647599997</v>
      </c>
      <c r="E28" s="1"/>
      <c r="F28" s="1"/>
      <c r="G28" s="1"/>
      <c r="H28" s="1"/>
      <c r="J28" s="177" t="str">
        <f>ConcatenateWithSpaces($B$28:$H$28)</f>
        <v>p10 623757.393957 4899718.26476</v>
      </c>
    </row>
    <row r="29" spans="2:10" x14ac:dyDescent="0.2">
      <c r="B29" s="179" t="str">
        <f>Layout!$B$20</f>
        <v>p11</v>
      </c>
      <c r="C29" s="26">
        <f>Layout!$E$20</f>
        <v>624813.72910999996</v>
      </c>
      <c r="D29" s="26">
        <f>Layout!$F$20</f>
        <v>4900435.4523200002</v>
      </c>
      <c r="E29" s="1"/>
      <c r="F29" s="1"/>
      <c r="G29" s="1"/>
      <c r="H29" s="1"/>
      <c r="J29" s="177" t="str">
        <f>ConcatenateWithSpaces($B$29:$H$29)</f>
        <v>p11 624813.72911 4900435.45232</v>
      </c>
    </row>
    <row r="30" spans="2:10" x14ac:dyDescent="0.2">
      <c r="B30" s="179" t="str">
        <f>Layout!$B$21</f>
        <v>p12</v>
      </c>
      <c r="C30" s="26">
        <f>Layout!$E$21</f>
        <v>627252.06663100002</v>
      </c>
      <c r="D30" s="26">
        <f>Layout!$F$21</f>
        <v>4900953.9122000001</v>
      </c>
      <c r="E30" s="1"/>
      <c r="F30" s="1"/>
      <c r="G30" s="1"/>
      <c r="H30" s="1"/>
      <c r="J30" s="177" t="str">
        <f>ConcatenateWithSpaces($B$30:$H$30)</f>
        <v>p12 627252.066631 4900953.9122</v>
      </c>
    </row>
    <row r="31" spans="2:10" x14ac:dyDescent="0.2">
      <c r="B31" s="179" t="str">
        <f>Layout!$B$22</f>
        <v>p13</v>
      </c>
      <c r="C31" s="26">
        <f>Layout!$E$22</f>
        <v>627737.45940599998</v>
      </c>
      <c r="D31" s="26">
        <f>Layout!$F$22</f>
        <v>4900327.74431</v>
      </c>
      <c r="E31" s="1"/>
      <c r="F31" s="1"/>
      <c r="G31" s="1"/>
      <c r="H31" s="1"/>
      <c r="J31" s="177" t="str">
        <f>ConcatenateWithSpaces($B$31:$H$31)</f>
        <v>p13 627737.459406 4900327.74431</v>
      </c>
    </row>
    <row r="32" spans="2:10" x14ac:dyDescent="0.2">
      <c r="B32" s="179" t="str">
        <f>Layout!$B$23</f>
        <v>p14</v>
      </c>
      <c r="C32" s="26">
        <f>Layout!$E$23</f>
        <v>626011.66355499998</v>
      </c>
      <c r="D32" s="26">
        <f>Layout!$F$23</f>
        <v>4899125.48924</v>
      </c>
      <c r="E32" s="1"/>
      <c r="F32" s="1"/>
      <c r="G32" s="1"/>
      <c r="H32" s="1"/>
      <c r="J32" s="177" t="str">
        <f>ConcatenateWithSpaces($B$32:$H$32)</f>
        <v>p14 626011.663555 4899125.48924</v>
      </c>
    </row>
    <row r="33" spans="2:10" x14ac:dyDescent="0.2">
      <c r="B33" s="179" t="str">
        <f>Layout!$B$24</f>
        <v>p15</v>
      </c>
      <c r="C33" s="26">
        <f>Layout!$E$24</f>
        <v>618451.38897199999</v>
      </c>
      <c r="D33" s="26">
        <f>Layout!$F$24</f>
        <v>4896203.6338799996</v>
      </c>
      <c r="E33" s="1"/>
      <c r="F33" s="1"/>
      <c r="G33" s="1"/>
      <c r="H33" s="1"/>
      <c r="J33" s="177" t="str">
        <f>ConcatenateWithSpaces($B$33:$H$33)</f>
        <v>p15 618451.388972 4896203.63388</v>
      </c>
    </row>
    <row r="34" spans="2:10" x14ac:dyDescent="0.2">
      <c r="B34" s="179" t="str">
        <f>Layout!$B$25</f>
        <v>p16</v>
      </c>
      <c r="C34" s="26">
        <f>Layout!$E$25</f>
        <v>613498.27055899997</v>
      </c>
      <c r="D34" s="26">
        <f>Layout!$F$25</f>
        <v>4897592.4010800002</v>
      </c>
      <c r="E34" s="1"/>
      <c r="F34" s="1"/>
      <c r="G34" s="1"/>
      <c r="H34" s="1"/>
      <c r="J34" s="177" t="str">
        <f>ConcatenateWithSpaces($B$34:$H$34)</f>
        <v>p16 613498.270559 4897592.40108</v>
      </c>
    </row>
    <row r="35" spans="2:10" x14ac:dyDescent="0.2">
      <c r="B35" s="179" t="str">
        <f>Layout!$B$26</f>
        <v>p17</v>
      </c>
      <c r="C35" s="26">
        <f>Layout!$E$26</f>
        <v>614490.46371299995</v>
      </c>
      <c r="D35" s="26">
        <f>Layout!$F$26</f>
        <v>4901128.7146600001</v>
      </c>
      <c r="E35" s="1"/>
      <c r="F35" s="1"/>
      <c r="G35" s="1"/>
      <c r="H35" s="1"/>
      <c r="J35" s="177" t="str">
        <f>ConcatenateWithSpaces($B$35:$H$35)</f>
        <v>p17 614490.463713 4901128.71466</v>
      </c>
    </row>
    <row r="36" spans="2:10" x14ac:dyDescent="0.2">
      <c r="B36" s="179" t="str">
        <f>Layout!$B$27</f>
        <v>p18</v>
      </c>
      <c r="C36" s="26">
        <f>Layout!$E$27</f>
        <v>621820.37334399996</v>
      </c>
      <c r="D36" s="26">
        <f>Layout!$F$27</f>
        <v>4903458.5657099998</v>
      </c>
      <c r="E36" s="1"/>
      <c r="F36" s="1"/>
      <c r="G36" s="1"/>
      <c r="H36" s="1"/>
      <c r="J36" s="177" t="str">
        <f>ConcatenateWithSpaces($B$36:$H$36)</f>
        <v>p18 621820.373344 4903458.56571</v>
      </c>
    </row>
    <row r="37" spans="2:10" x14ac:dyDescent="0.2">
      <c r="B37" s="179" t="str">
        <f>Layout!$B$28</f>
        <v>p19</v>
      </c>
      <c r="C37" s="26">
        <f>Layout!$E$28</f>
        <v>617627.21373800002</v>
      </c>
      <c r="D37" s="26">
        <f>Layout!$F$28</f>
        <v>4904020.9156200001</v>
      </c>
      <c r="E37" s="1"/>
      <c r="F37" s="1"/>
      <c r="G37" s="1"/>
      <c r="H37" s="1"/>
      <c r="J37" s="177" t="str">
        <f>ConcatenateWithSpaces($B$37:$H$37)</f>
        <v>p19 617627.213738 4904020.91562</v>
      </c>
    </row>
    <row r="38" spans="2:10" x14ac:dyDescent="0.2">
      <c r="B38" s="179" t="str">
        <f>Layout!$B$29</f>
        <v>p20</v>
      </c>
      <c r="C38" s="26">
        <f>Layout!$E$29</f>
        <v>621001.39798699995</v>
      </c>
      <c r="D38" s="26">
        <f>Layout!$F$29</f>
        <v>4905417.0381100001</v>
      </c>
      <c r="E38" s="1"/>
      <c r="F38" s="1"/>
      <c r="G38" s="1"/>
      <c r="H38" s="1"/>
      <c r="J38" s="177" t="str">
        <f>ConcatenateWithSpaces($B$38:$H$38)</f>
        <v>p20 621001.397987 4905417.03811</v>
      </c>
    </row>
    <row r="39" spans="2:10" x14ac:dyDescent="0.2">
      <c r="B39" s="179" t="str">
        <f>Layout!$B$30</f>
        <v>p21</v>
      </c>
      <c r="C39" s="26">
        <f>Layout!$E$30</f>
        <v>622682.499281</v>
      </c>
      <c r="D39" s="26">
        <f>Layout!$F$30</f>
        <v>4897093.4999299999</v>
      </c>
      <c r="E39" s="1"/>
      <c r="F39" s="1"/>
      <c r="G39" s="1"/>
      <c r="H39" s="1"/>
      <c r="J39" s="177" t="str">
        <f>ConcatenateWithSpaces($B$39:$H$39)</f>
        <v>p21 622682.499281 4897093.49993</v>
      </c>
    </row>
    <row r="40" spans="2:10" x14ac:dyDescent="0.2">
      <c r="B40" s="179" t="str">
        <f>Layout!$B$31</f>
        <v>p22</v>
      </c>
      <c r="C40" s="26">
        <f>Layout!$E$31</f>
        <v>624747.400134</v>
      </c>
      <c r="D40" s="26">
        <f>Layout!$F$31</f>
        <v>4902712.9190600002</v>
      </c>
      <c r="E40" s="1"/>
      <c r="F40" s="1"/>
      <c r="G40" s="1"/>
      <c r="H40" s="1"/>
      <c r="J40" s="177" t="str">
        <f>ConcatenateWithSpaces($B$40:$H$40)</f>
        <v>p22 624747.400134 4902712.91906</v>
      </c>
    </row>
    <row r="41" spans="2:10" x14ac:dyDescent="0.2">
      <c r="B41" s="179" t="str">
        <f>Layout!$B$32</f>
        <v>p23</v>
      </c>
      <c r="C41" s="26">
        <f>Layout!$E$32</f>
        <v>628132.89516199997</v>
      </c>
      <c r="D41" s="26">
        <f>Layout!$F$32</f>
        <v>4897294.19362</v>
      </c>
      <c r="E41" s="1"/>
      <c r="F41" s="1"/>
      <c r="G41" s="1"/>
      <c r="H41" s="1"/>
      <c r="J41" s="177" t="str">
        <f>ConcatenateWithSpaces($B$41:$H$41)</f>
        <v>p23 628132.895162 4897294.19362</v>
      </c>
    </row>
    <row r="42" spans="2:10" x14ac:dyDescent="0.2">
      <c r="B42" s="179" t="str">
        <f>Layout!$B$33</f>
        <v>p24</v>
      </c>
      <c r="C42" s="26">
        <f>Layout!$E$33</f>
        <v>612643.343903</v>
      </c>
      <c r="D42" s="26">
        <f>Layout!$F$33</f>
        <v>4903695.62952</v>
      </c>
      <c r="E42" s="1"/>
      <c r="F42" s="1"/>
      <c r="G42" s="1"/>
      <c r="H42" s="1"/>
      <c r="J42" s="177" t="str">
        <f>ConcatenateWithSpaces($B$42:$H$42)</f>
        <v>p24 612643.343903 4903695.62952</v>
      </c>
    </row>
    <row r="43" spans="2:10" x14ac:dyDescent="0.2">
      <c r="B43" s="179" t="str">
        <f>Layout!$B$34</f>
        <v>p25</v>
      </c>
      <c r="C43" s="26">
        <f>Layout!$E$34</f>
        <v>619740.08351699996</v>
      </c>
      <c r="D43" s="26">
        <f>Layout!$F$34</f>
        <v>4907787.7537900005</v>
      </c>
      <c r="E43" s="1"/>
      <c r="F43" s="1"/>
      <c r="G43" s="1"/>
      <c r="H43" s="1"/>
      <c r="J43" s="177" t="str">
        <f>ConcatenateWithSpaces($B$43:$H$43)</f>
        <v>p25 619740.083517 4907787.75379</v>
      </c>
    </row>
    <row r="44" spans="2:10" x14ac:dyDescent="0.2">
      <c r="B44" s="179" t="str">
        <f>Layout!$B$35</f>
        <v>p26</v>
      </c>
      <c r="C44" s="26">
        <f>Layout!$E$35</f>
        <v>627202.81217699999</v>
      </c>
      <c r="D44" s="26">
        <f>Layout!$F$35</f>
        <v>4905431.4980800003</v>
      </c>
      <c r="E44" s="1"/>
      <c r="F44" s="1"/>
      <c r="G44" s="1"/>
      <c r="H44" s="1"/>
      <c r="J44" s="177" t="str">
        <f>ConcatenateWithSpaces($B$44:$H$44)</f>
        <v>p26 627202.812177 4905431.49808</v>
      </c>
    </row>
    <row r="45" spans="2:10" x14ac:dyDescent="0.2">
      <c r="B45" s="179" t="str">
        <f>Layout!$B$36</f>
        <v>p27</v>
      </c>
      <c r="C45" s="26">
        <f>Layout!$E$36</f>
        <v>625395.87430100003</v>
      </c>
      <c r="D45" s="26">
        <f>Layout!$F$36</f>
        <v>4908498.00244</v>
      </c>
      <c r="E45" s="1"/>
      <c r="F45" s="1"/>
      <c r="G45" s="1"/>
      <c r="H45" s="1"/>
      <c r="J45" s="177" t="str">
        <f>ConcatenateWithSpaces($B$45:$H$45)</f>
        <v>p27 625395.874301 4908498.00244</v>
      </c>
    </row>
    <row r="46" spans="2:10" x14ac:dyDescent="0.2">
      <c r="B46" s="179" t="str">
        <f>Layout!$B$37</f>
        <v>p28</v>
      </c>
      <c r="C46" s="26">
        <f>Layout!$E$37</f>
        <v>632806.81001300004</v>
      </c>
      <c r="D46" s="26">
        <f>Layout!$F$37</f>
        <v>4902660.4983999999</v>
      </c>
      <c r="E46" s="1"/>
      <c r="F46" s="1"/>
      <c r="G46" s="1"/>
      <c r="H46" s="1"/>
      <c r="J46" s="177" t="str">
        <f>ConcatenateWithSpaces($B$46:$H$46)</f>
        <v>p28 632806.810013 4902660.4984</v>
      </c>
    </row>
    <row r="47" spans="2:10" x14ac:dyDescent="0.2">
      <c r="B47" s="179" t="str">
        <f>Layout!$B$38</f>
        <v>p29</v>
      </c>
      <c r="C47" s="26">
        <f>Layout!$E$38</f>
        <v>630499.043053</v>
      </c>
      <c r="D47" s="26">
        <f>Layout!$F$38</f>
        <v>4900084.8465299997</v>
      </c>
      <c r="E47" s="1"/>
      <c r="F47" s="1"/>
      <c r="G47" s="1"/>
      <c r="H47" s="1"/>
      <c r="J47" s="177" t="str">
        <f>ConcatenateWithSpaces($B$47:$H$47)</f>
        <v>p29 630499.043053 4900084.84653</v>
      </c>
    </row>
    <row r="48" spans="2:10" x14ac:dyDescent="0.2">
      <c r="B48" s="179" t="str">
        <f>Layout!$B$39</f>
        <v>p30</v>
      </c>
      <c r="C48" s="26">
        <f>Layout!$E$39</f>
        <v>629142.14963200002</v>
      </c>
      <c r="D48" s="26">
        <f>Layout!$F$39</f>
        <v>4901500.4809100004</v>
      </c>
      <c r="E48" s="1"/>
      <c r="F48" s="1"/>
      <c r="G48" s="1"/>
      <c r="H48" s="1"/>
      <c r="J48" s="177" t="str">
        <f>ConcatenateWithSpaces($B$48:$H$48)</f>
        <v>p30 629142.149632 4901500.48091</v>
      </c>
    </row>
    <row r="49" spans="2:10" x14ac:dyDescent="0.2">
      <c r="B49" s="179" t="str">
        <f>Layout!$B$40</f>
        <v>p31</v>
      </c>
      <c r="C49" s="26">
        <f>Layout!$E$40</f>
        <v>629427.84801700001</v>
      </c>
      <c r="D49" s="26">
        <f>Layout!$F$40</f>
        <v>4903118.6112400005</v>
      </c>
      <c r="E49" s="1"/>
      <c r="F49" s="1"/>
      <c r="G49" s="1"/>
      <c r="H49" s="1"/>
      <c r="J49" s="177" t="str">
        <f>ConcatenateWithSpaces($B$49:$H$49)</f>
        <v>p31 629427.848017 4903118.61124</v>
      </c>
    </row>
    <row r="50" spans="2:10" x14ac:dyDescent="0.2">
      <c r="B50" s="179" t="str">
        <f>Layout!$B$41</f>
        <v>p32</v>
      </c>
      <c r="C50" s="26">
        <f>Layout!$E$41</f>
        <v>629043.37762499996</v>
      </c>
      <c r="D50" s="26">
        <f>Layout!$F$41</f>
        <v>4906328.5010200003</v>
      </c>
      <c r="E50" s="1"/>
      <c r="F50" s="1"/>
      <c r="G50" s="1"/>
      <c r="H50" s="1"/>
      <c r="J50" s="177" t="str">
        <f>ConcatenateWithSpaces($B$50:$H$50)</f>
        <v>p32 629043.377625 4906328.50102</v>
      </c>
    </row>
    <row r="51" spans="2:10" x14ac:dyDescent="0.2">
      <c r="B51" s="179" t="str">
        <f>Layout!$B$42</f>
        <v>p33</v>
      </c>
      <c r="C51" s="26">
        <f>Layout!$E$42</f>
        <v>633058.07412799995</v>
      </c>
      <c r="D51" s="26">
        <f>Layout!$F$42</f>
        <v>4898377.1359099997</v>
      </c>
      <c r="E51" s="1"/>
      <c r="F51" s="1"/>
      <c r="G51" s="1"/>
      <c r="H51" s="1"/>
      <c r="J51" s="177" t="str">
        <f>ConcatenateWithSpaces($B$51:$H$51)</f>
        <v>p33 633058.074128 4898377.13591</v>
      </c>
    </row>
    <row r="52" spans="2:10" x14ac:dyDescent="0.2">
      <c r="B52" s="179" t="str">
        <f>Layout!$B$43</f>
        <v>p34</v>
      </c>
      <c r="C52" s="26">
        <f>Layout!$E$43</f>
        <v>623736.46539000003</v>
      </c>
      <c r="D52" s="26">
        <f>Layout!$F$43</f>
        <v>4892982.8952900004</v>
      </c>
      <c r="E52" s="1"/>
      <c r="F52" s="1"/>
      <c r="G52" s="1"/>
      <c r="H52" s="1"/>
      <c r="J52" s="177" t="str">
        <f>ConcatenateWithSpaces($B$52:$H$52)</f>
        <v>p34 623736.46539 4892982.89529</v>
      </c>
    </row>
    <row r="53" spans="2:10" x14ac:dyDescent="0.2">
      <c r="B53" s="179" t="str">
        <f>Layout!$B$44</f>
        <v>p35</v>
      </c>
      <c r="C53" s="26">
        <f>Layout!$E$44</f>
        <v>631071.19178700005</v>
      </c>
      <c r="D53" s="26">
        <f>Layout!$F$44</f>
        <v>4895646.4991499996</v>
      </c>
      <c r="E53" s="1"/>
      <c r="F53" s="1"/>
      <c r="G53" s="1"/>
      <c r="H53" s="1"/>
      <c r="J53" s="177" t="str">
        <f>ConcatenateWithSpaces($B$53:$H$53)</f>
        <v>p35 631071.191787 4895646.49915</v>
      </c>
    </row>
    <row r="54" spans="2:10" x14ac:dyDescent="0.2">
      <c r="B54" s="179" t="str">
        <f>Layout!$B$45</f>
        <v>p36</v>
      </c>
      <c r="C54" s="26">
        <f>Layout!$E$45</f>
        <v>614955.82730400003</v>
      </c>
      <c r="D54" s="26">
        <f>Layout!$F$45</f>
        <v>4893546.2421199996</v>
      </c>
      <c r="E54" s="1"/>
      <c r="F54" s="1"/>
      <c r="G54" s="1"/>
      <c r="H54" s="1"/>
      <c r="J54" s="177" t="str">
        <f>ConcatenateWithSpaces($B$54:$H$54)</f>
        <v>p36 614955.827304 4893546.24212</v>
      </c>
    </row>
    <row r="55" spans="2:10" x14ac:dyDescent="0.2">
      <c r="B55" s="1" t="s">
        <v>253</v>
      </c>
      <c r="C55" s="1"/>
      <c r="D55" s="1"/>
      <c r="E55" s="1"/>
      <c r="F55" s="1"/>
      <c r="G55" s="1"/>
      <c r="H55" s="1"/>
      <c r="J55" s="177" t="str">
        <f>ConcatenateWithSpaces($B$55:$H$55)</f>
        <v>end_points</v>
      </c>
    </row>
    <row r="56" spans="2:10" x14ac:dyDescent="0.2">
      <c r="B56" s="1"/>
      <c r="C56" s="1"/>
      <c r="D56" s="1"/>
      <c r="E56" s="1"/>
      <c r="F56" s="1"/>
      <c r="G56" s="1"/>
      <c r="H56" s="1"/>
      <c r="J56" s="177" t="str">
        <f>ConcatenateWithSpaces($B$56:$H$56)</f>
        <v/>
      </c>
    </row>
    <row r="57" spans="2:10" x14ac:dyDescent="0.2">
      <c r="B57" s="1" t="s">
        <v>254</v>
      </c>
      <c r="C57" s="1"/>
      <c r="D57" s="1"/>
      <c r="E57" s="1"/>
      <c r="F57" s="1"/>
      <c r="G57" s="1"/>
      <c r="H57" s="1"/>
      <c r="J57" s="177" t="str">
        <f>ConcatenateWithSpaces($B$57:$H$57)</f>
        <v>start_parcels</v>
      </c>
    </row>
    <row r="58" spans="2:10" x14ac:dyDescent="0.2">
      <c r="B58" s="1" t="s">
        <v>362</v>
      </c>
      <c r="C58" s="1"/>
      <c r="D58" s="1"/>
      <c r="E58" s="1"/>
      <c r="F58" s="1"/>
      <c r="G58" s="1"/>
      <c r="H58" s="1"/>
      <c r="J58" s="177" t="str">
        <f>ConcatenateWithSpaces($B$58:$H$58)</f>
        <v>// parcel_name, #points, pointIDs</v>
      </c>
    </row>
    <row r="59" spans="2:10" x14ac:dyDescent="0.2">
      <c r="B59" s="26" t="str">
        <f>Layout!$H$9</f>
        <v>E1</v>
      </c>
      <c r="C59" s="180">
        <f>Layout!$L$9</f>
        <v>6</v>
      </c>
      <c r="D59" s="179" t="str">
        <f>Layout!$K$9</f>
        <v>p29 p23 p14 p13 p12 p30</v>
      </c>
      <c r="E59" s="1"/>
      <c r="F59" s="1"/>
      <c r="G59" s="1"/>
      <c r="H59" s="1"/>
      <c r="J59" s="177" t="str">
        <f>ConcatenateWithSpaces($B$59:$H$59)</f>
        <v>E1 6 p29 p23 p14 p13 p12 p30</v>
      </c>
    </row>
    <row r="60" spans="2:10" x14ac:dyDescent="0.2">
      <c r="B60" s="26" t="str">
        <f>Layout!$H$10</f>
        <v>E2</v>
      </c>
      <c r="C60" s="180">
        <f>Layout!$L$10</f>
        <v>4</v>
      </c>
      <c r="D60" s="26" t="str">
        <f>Layout!$K$10</f>
        <v>p28 p29 p30 p31</v>
      </c>
      <c r="E60" s="1"/>
      <c r="F60" s="1"/>
      <c r="G60" s="1"/>
      <c r="H60" s="1"/>
      <c r="J60" s="177" t="str">
        <f>ConcatenateWithSpaces($B$60:$H$60)</f>
        <v>E2 4 p28 p29 p30 p31</v>
      </c>
    </row>
    <row r="61" spans="2:10" x14ac:dyDescent="0.2">
      <c r="B61" s="26" t="str">
        <f>Layout!$H$11</f>
        <v>E3</v>
      </c>
      <c r="C61" s="180">
        <f>Layout!$L$11</f>
        <v>3</v>
      </c>
      <c r="D61" s="26" t="str">
        <f>Layout!$K$11</f>
        <v>p33 p29 p28</v>
      </c>
      <c r="E61" s="1"/>
      <c r="F61" s="1"/>
      <c r="G61" s="1"/>
      <c r="H61" s="1"/>
      <c r="J61" s="177" t="str">
        <f>ConcatenateWithSpaces($B$61:$H$61)</f>
        <v>E3 3 p33 p29 p28</v>
      </c>
    </row>
    <row r="62" spans="2:10" x14ac:dyDescent="0.2">
      <c r="B62" s="26" t="str">
        <f>Layout!$H$12</f>
        <v>LakeCadillac</v>
      </c>
      <c r="C62" s="180">
        <f>Layout!$L$12</f>
        <v>6</v>
      </c>
      <c r="D62" s="26" t="str">
        <f>Layout!$K$12</f>
        <v>p9 p10 p11 p12 p13 p14</v>
      </c>
      <c r="E62" s="1"/>
      <c r="F62" s="1"/>
      <c r="G62" s="1"/>
      <c r="H62" s="1"/>
      <c r="J62" s="177" t="str">
        <f>ConcatenateWithSpaces($B$62:$H$62)</f>
        <v>LakeCadillac 6 p9 p10 p11 p12 p13 p14</v>
      </c>
    </row>
    <row r="63" spans="2:10" x14ac:dyDescent="0.2">
      <c r="B63" s="26" t="str">
        <f>Layout!$H$13</f>
        <v>LakeMitchell</v>
      </c>
      <c r="C63" s="180">
        <f>Layout!$L$13</f>
        <v>8</v>
      </c>
      <c r="D63" s="26" t="str">
        <f>Layout!$K$13</f>
        <v>p1 p2 p3 p4 p5 p6 p7 p8</v>
      </c>
      <c r="E63" s="1"/>
      <c r="F63" s="1"/>
      <c r="G63" s="1"/>
      <c r="H63" s="1"/>
      <c r="J63" s="177" t="str">
        <f>ConcatenateWithSpaces($B$63:$H$63)</f>
        <v>LakeMitchell 8 p1 p2 p3 p4 p5 p6 p7 p8</v>
      </c>
    </row>
    <row r="64" spans="2:10" x14ac:dyDescent="0.2">
      <c r="B64" s="26" t="str">
        <f>Layout!$H$14</f>
        <v>N1</v>
      </c>
      <c r="C64" s="180">
        <f>Layout!$L$14</f>
        <v>7</v>
      </c>
      <c r="D64" s="26" t="str">
        <f>Layout!$K$14</f>
        <v>p22 p11 p10 p1 p8 p7 p18</v>
      </c>
      <c r="E64" s="1"/>
      <c r="F64" s="1"/>
      <c r="G64" s="1"/>
      <c r="H64" s="1"/>
      <c r="J64" s="177" t="str">
        <f>ConcatenateWithSpaces($B$64:$H$64)</f>
        <v>N1 7 p22 p11 p10 p1 p8 p7 p18</v>
      </c>
    </row>
    <row r="65" spans="2:10" x14ac:dyDescent="0.2">
      <c r="B65" s="26" t="str">
        <f>Layout!$H$15</f>
        <v>N2</v>
      </c>
      <c r="C65" s="180">
        <f>Layout!$L$15</f>
        <v>6</v>
      </c>
      <c r="D65" s="26" t="str">
        <f>Layout!$K$15</f>
        <v>p26 p22 p18 p20 p25 p27</v>
      </c>
      <c r="E65" s="1"/>
      <c r="F65" s="1"/>
      <c r="G65" s="1"/>
      <c r="H65" s="1"/>
      <c r="J65" s="177" t="str">
        <f>ConcatenateWithSpaces($B$65:$H$65)</f>
        <v>N2 6 p26 p22 p18 p20 p25 p27</v>
      </c>
    </row>
    <row r="66" spans="2:10" x14ac:dyDescent="0.2">
      <c r="B66" s="26" t="str">
        <f>Layout!$H$16</f>
        <v>NE1</v>
      </c>
      <c r="C66" s="180">
        <f>Layout!$L$16</f>
        <v>6</v>
      </c>
      <c r="D66" s="26" t="str">
        <f>Layout!$K$16</f>
        <v>p31 p30 p12 p11 p22 p26</v>
      </c>
      <c r="E66" s="1"/>
      <c r="F66" s="1"/>
      <c r="G66" s="1"/>
      <c r="H66" s="1"/>
      <c r="J66" s="177" t="str">
        <f>ConcatenateWithSpaces($B$66:$H$66)</f>
        <v>NE1 6 p31 p30 p12 p11 p22 p26</v>
      </c>
    </row>
    <row r="67" spans="2:10" x14ac:dyDescent="0.2">
      <c r="B67" s="26" t="str">
        <f>Layout!$H$17</f>
        <v>NE2</v>
      </c>
      <c r="C67" s="180">
        <f>Layout!$L$17</f>
        <v>3</v>
      </c>
      <c r="D67" s="26" t="str">
        <f>Layout!$K$17</f>
        <v>p32 p26 p27</v>
      </c>
      <c r="E67" s="1"/>
      <c r="F67" s="1"/>
      <c r="G67" s="1"/>
      <c r="H67" s="1"/>
      <c r="J67" s="177" t="str">
        <f>ConcatenateWithSpaces($B$67:$H$67)</f>
        <v>NE2 3 p32 p26 p27</v>
      </c>
    </row>
    <row r="68" spans="2:10" x14ac:dyDescent="0.2">
      <c r="B68" s="26" t="str">
        <f>Layout!$H$18</f>
        <v>NE3</v>
      </c>
      <c r="C68" s="180">
        <f>Layout!$L$18</f>
        <v>4</v>
      </c>
      <c r="D68" s="26" t="str">
        <f>Layout!$K$18</f>
        <v>p28 p31 p26 p32</v>
      </c>
      <c r="E68" s="1"/>
      <c r="F68" s="1"/>
      <c r="G68" s="1"/>
      <c r="H68" s="1"/>
      <c r="J68" s="177" t="str">
        <f>ConcatenateWithSpaces($B$68:$H$68)</f>
        <v>NE3 4 p28 p31 p26 p32</v>
      </c>
    </row>
    <row r="69" spans="2:10" x14ac:dyDescent="0.2">
      <c r="B69" s="26" t="str">
        <f>Layout!$H$19</f>
        <v>NW1</v>
      </c>
      <c r="C69" s="180">
        <f>Layout!$L$19</f>
        <v>7</v>
      </c>
      <c r="D69" s="26" t="str">
        <f>Layout!$K$19</f>
        <v>p18 p7 p6 p5 p17 p19 p20</v>
      </c>
      <c r="E69" s="1"/>
      <c r="F69" s="1"/>
      <c r="G69" s="1"/>
      <c r="H69" s="1"/>
      <c r="J69" s="177" t="str">
        <f>ConcatenateWithSpaces($B$69:$H$69)</f>
        <v>NW1 7 p18 p7 p6 p5 p17 p19 p20</v>
      </c>
    </row>
    <row r="70" spans="2:10" x14ac:dyDescent="0.2">
      <c r="B70" s="26" t="str">
        <f>Layout!$H$20</f>
        <v>NW2</v>
      </c>
      <c r="C70" s="180">
        <f>Layout!$L$20</f>
        <v>5</v>
      </c>
      <c r="D70" s="26" t="str">
        <f>Layout!$K$20</f>
        <v>p20 p19 p17 p24 p25</v>
      </c>
      <c r="E70" s="1"/>
      <c r="F70" s="1"/>
      <c r="G70" s="1"/>
      <c r="H70" s="1"/>
      <c r="J70" s="177" t="str">
        <f>ConcatenateWithSpaces($B$70:$H$70)</f>
        <v>NW2 5 p20 p19 p17 p24 p25</v>
      </c>
    </row>
    <row r="71" spans="2:10" x14ac:dyDescent="0.2">
      <c r="B71" s="26" t="str">
        <f>Layout!$H$21</f>
        <v>S1</v>
      </c>
      <c r="C71" s="180">
        <f>Layout!$L$21</f>
        <v>4</v>
      </c>
      <c r="D71" s="26" t="str">
        <f>Layout!$K$21</f>
        <v>p9 p2 p1 p10</v>
      </c>
      <c r="E71" s="1"/>
      <c r="F71" s="1"/>
      <c r="G71" s="1"/>
      <c r="H71" s="1"/>
      <c r="J71" s="177" t="str">
        <f>ConcatenateWithSpaces($B$71:$H$71)</f>
        <v>S1 4 p9 p2 p1 p10</v>
      </c>
    </row>
    <row r="72" spans="2:10" x14ac:dyDescent="0.2">
      <c r="B72" s="26" t="str">
        <f>Layout!$H$22</f>
        <v>S2</v>
      </c>
      <c r="C72" s="180">
        <f>Layout!$L$22</f>
        <v>4</v>
      </c>
      <c r="D72" s="26" t="str">
        <f>Layout!$K$22</f>
        <v>p23 p21 p9 p14</v>
      </c>
      <c r="E72" s="1"/>
      <c r="F72" s="1"/>
      <c r="G72" s="1"/>
      <c r="H72" s="1"/>
      <c r="J72" s="177" t="str">
        <f>ConcatenateWithSpaces($B$72:$H$72)</f>
        <v>S2 4 p23 p21 p9 p14</v>
      </c>
    </row>
    <row r="73" spans="2:10" x14ac:dyDescent="0.2">
      <c r="B73" s="26" t="str">
        <f>Layout!$H$23</f>
        <v>SE1</v>
      </c>
      <c r="C73" s="180">
        <f>Layout!$L$23</f>
        <v>4</v>
      </c>
      <c r="D73" s="26" t="str">
        <f>Layout!$K$23</f>
        <v>p34 p21 p23 p35</v>
      </c>
      <c r="E73" s="1"/>
      <c r="F73" s="1"/>
      <c r="G73" s="1"/>
      <c r="H73" s="1"/>
      <c r="J73" s="177" t="str">
        <f>ConcatenateWithSpaces($B$73:$H$73)</f>
        <v>SE1 4 p34 p21 p23 p35</v>
      </c>
    </row>
    <row r="74" spans="2:10" x14ac:dyDescent="0.2">
      <c r="B74" s="26" t="str">
        <f>Layout!$H$24</f>
        <v>SE2</v>
      </c>
      <c r="C74" s="180">
        <f>Layout!$L$24</f>
        <v>4</v>
      </c>
      <c r="D74" s="26" t="str">
        <f>Layout!$K$24</f>
        <v>p33 p35 p23 p29</v>
      </c>
      <c r="E74" s="1"/>
      <c r="F74" s="1"/>
      <c r="G74" s="1"/>
      <c r="H74" s="1"/>
      <c r="J74" s="177" t="str">
        <f>ConcatenateWithSpaces($B$74:$H$74)</f>
        <v>SE2 4 p33 p35 p23 p29</v>
      </c>
    </row>
    <row r="75" spans="2:10" x14ac:dyDescent="0.2">
      <c r="B75" s="26" t="str">
        <f>Layout!$H$25</f>
        <v>SW1</v>
      </c>
      <c r="C75" s="180">
        <f>Layout!$L$25</f>
        <v>7</v>
      </c>
      <c r="D75" s="26" t="str">
        <f>Layout!$K$25</f>
        <v>p2 p9 p21 p15 p5 p4 p3</v>
      </c>
      <c r="E75" s="1"/>
      <c r="F75" s="1"/>
      <c r="G75" s="1"/>
      <c r="H75" s="1"/>
      <c r="J75" s="177" t="str">
        <f>ConcatenateWithSpaces($B$75:$H$75)</f>
        <v>SW1 7 p2 p9 p21 p15 p5 p4 p3</v>
      </c>
    </row>
    <row r="76" spans="2:10" x14ac:dyDescent="0.2">
      <c r="B76" s="26" t="str">
        <f>Layout!$H$26</f>
        <v>SW2</v>
      </c>
      <c r="C76" s="180">
        <f>Layout!$L$26</f>
        <v>5</v>
      </c>
      <c r="D76" s="26" t="str">
        <f>Layout!$K$26</f>
        <v>p15 p21 p34 p36 p16</v>
      </c>
      <c r="E76" s="1"/>
      <c r="F76" s="1"/>
      <c r="G76" s="1"/>
      <c r="H76" s="1"/>
      <c r="J76" s="177" t="str">
        <f>ConcatenateWithSpaces($B$76:$H$76)</f>
        <v>SW2 5 p15 p21 p34 p36 p16</v>
      </c>
    </row>
    <row r="77" spans="2:10" x14ac:dyDescent="0.2">
      <c r="B77" s="26" t="str">
        <f>Layout!$H$27</f>
        <v>W1</v>
      </c>
      <c r="C77" s="180">
        <f>Layout!$L$27</f>
        <v>4</v>
      </c>
      <c r="D77" s="26" t="str">
        <f>Layout!$K$27</f>
        <v>p5 p15 p16 p17</v>
      </c>
      <c r="E77" s="1"/>
      <c r="F77" s="1"/>
      <c r="G77" s="1"/>
      <c r="H77" s="1"/>
      <c r="J77" s="177" t="str">
        <f>ConcatenateWithSpaces($B$77:$H$77)</f>
        <v>W1 4 p5 p15 p16 p17</v>
      </c>
    </row>
    <row r="78" spans="2:10" x14ac:dyDescent="0.2">
      <c r="B78" s="1" t="s">
        <v>255</v>
      </c>
      <c r="C78" s="1"/>
      <c r="D78" s="1"/>
      <c r="E78" s="1"/>
      <c r="F78" s="1"/>
      <c r="G78" s="1"/>
      <c r="H78" s="1"/>
      <c r="J78" s="177" t="str">
        <f>ConcatenateWithSpaces($B$78:$H$78)</f>
        <v>end_parcels</v>
      </c>
    </row>
    <row r="79" spans="2:10" x14ac:dyDescent="0.2">
      <c r="B79" s="1"/>
      <c r="C79" s="1"/>
      <c r="D79" s="1"/>
      <c r="E79" s="1"/>
      <c r="F79" s="1"/>
      <c r="G79" s="1"/>
      <c r="H79" s="1"/>
      <c r="J79" s="177" t="str">
        <f>ConcatenateWithSpaces($B$79:$H$79)</f>
        <v/>
      </c>
    </row>
    <row r="80" spans="2:10" x14ac:dyDescent="0.2">
      <c r="B80" s="1" t="s">
        <v>256</v>
      </c>
      <c r="C80" s="1"/>
      <c r="D80" s="1"/>
      <c r="E80" s="1"/>
      <c r="F80" s="1"/>
      <c r="G80" s="1"/>
      <c r="H80" s="1"/>
      <c r="J80" s="177" t="str">
        <f>ConcatenateWithSpaces($B$80:$H$80)</f>
        <v>start_volume_elements</v>
      </c>
    </row>
    <row r="81" spans="2:10" x14ac:dyDescent="0.2">
      <c r="B81" s="1" t="s">
        <v>373</v>
      </c>
      <c r="C81" s="1"/>
      <c r="D81" s="1"/>
      <c r="E81" s="1"/>
      <c r="F81" s="1"/>
      <c r="G81" s="1"/>
      <c r="H81" s="1"/>
      <c r="J81" s="177" t="str">
        <f>ConcatenateWithSpaces($B$81:$H$81)</f>
        <v>// name, parcel, primary abiotic, bottom, top</v>
      </c>
    </row>
    <row r="82" spans="2:10" x14ac:dyDescent="0.2">
      <c r="B82" s="1"/>
      <c r="C82" s="1"/>
      <c r="D82" s="1"/>
      <c r="E82" s="1"/>
      <c r="F82" s="1"/>
      <c r="G82" s="1"/>
      <c r="H82" s="1"/>
      <c r="J82" s="177" t="str">
        <f>ConcatenateWithSpaces($B$82:$H$82)</f>
        <v/>
      </c>
    </row>
    <row r="83" spans="2:10" x14ac:dyDescent="0.2">
      <c r="B83" s="1" t="s">
        <v>540</v>
      </c>
      <c r="C83" s="1"/>
      <c r="D83" s="1"/>
      <c r="E83" s="1"/>
      <c r="F83" s="1"/>
      <c r="G83" s="1"/>
      <c r="H83" s="1"/>
      <c r="J83" s="177" t="str">
        <f>ConcatenateWithSpaces($B$83:$H$83)</f>
        <v>// ----------------------------------------------------------------------------</v>
      </c>
    </row>
    <row r="84" spans="2:10" x14ac:dyDescent="0.2">
      <c r="B84" s="1" t="s">
        <v>367</v>
      </c>
      <c r="C84" s="1"/>
      <c r="D84" s="1"/>
      <c r="E84" s="1"/>
      <c r="F84" s="1"/>
      <c r="G84" s="1"/>
      <c r="H84" s="1"/>
      <c r="J84" s="177" t="str">
        <f>ConcatenateWithSpaces($B$84:$H$84)</f>
        <v>// Air</v>
      </c>
    </row>
    <row r="85" spans="2:10" x14ac:dyDescent="0.2">
      <c r="B85" s="1" t="s">
        <v>540</v>
      </c>
      <c r="C85" s="1"/>
      <c r="D85" s="1"/>
      <c r="E85" s="1"/>
      <c r="F85" s="1"/>
      <c r="G85" s="1"/>
      <c r="H85" s="1"/>
      <c r="J85" s="177" t="str">
        <f>ConcatenateWithSpaces($B$85:$H$85)</f>
        <v>// ----------------------------------------------------------------------------</v>
      </c>
    </row>
    <row r="86" spans="2:10" x14ac:dyDescent="0.2">
      <c r="B86" s="1"/>
      <c r="C86" s="1"/>
      <c r="D86" s="1"/>
      <c r="E86" s="1"/>
      <c r="F86" s="1"/>
      <c r="G86" s="1"/>
      <c r="H86" s="1"/>
      <c r="J86" s="177" t="str">
        <f>ConcatenateWithSpaces($B$86:$H$86)</f>
        <v/>
      </c>
    </row>
    <row r="87" spans="2:10" x14ac:dyDescent="0.2">
      <c r="B87" s="26" t="str">
        <f>CONCATENATE("Air_", $C$87)</f>
        <v>Air_E2</v>
      </c>
      <c r="C87" s="26" t="str">
        <f>Layout!$H$10</f>
        <v>E2</v>
      </c>
      <c r="D87" s="1" t="s">
        <v>364</v>
      </c>
      <c r="E87" s="1">
        <v>0</v>
      </c>
      <c r="F87" s="26" t="str">
        <f>Parameters!$J$69</f>
        <v>800</v>
      </c>
      <c r="G87" s="1"/>
      <c r="H87" s="1"/>
      <c r="J87" s="177" t="str">
        <f>ConcatenateWithSpaces($B$87:$H$87)</f>
        <v>Air_E2 E2 "Air" 0 800</v>
      </c>
    </row>
    <row r="88" spans="2:10" x14ac:dyDescent="0.2">
      <c r="B88" s="26" t="str">
        <f>CONCATENATE("Air_", $C$88)</f>
        <v>Air_LakeCadillac</v>
      </c>
      <c r="C88" s="26" t="str">
        <f>Layout!$H$12</f>
        <v>LakeCadillac</v>
      </c>
      <c r="D88" s="1" t="s">
        <v>364</v>
      </c>
      <c r="E88" s="1">
        <v>0</v>
      </c>
      <c r="F88" s="26" t="str">
        <f>Parameters!$J$69</f>
        <v>800</v>
      </c>
      <c r="G88" s="1"/>
      <c r="H88" s="1"/>
      <c r="J88" s="177" t="str">
        <f>ConcatenateWithSpaces($B$88:$H$88)</f>
        <v>Air_LakeCadillac LakeCadillac "Air" 0 800</v>
      </c>
    </row>
    <row r="89" spans="2:10" x14ac:dyDescent="0.2">
      <c r="B89" s="26" t="str">
        <f>CONCATENATE("Air_", $C$89)</f>
        <v>Air_LakeMitchell</v>
      </c>
      <c r="C89" s="26" t="str">
        <f>Layout!$H$13</f>
        <v>LakeMitchell</v>
      </c>
      <c r="D89" s="1" t="s">
        <v>364</v>
      </c>
      <c r="E89" s="1">
        <v>0</v>
      </c>
      <c r="F89" s="26" t="str">
        <f>Parameters!$J$69</f>
        <v>800</v>
      </c>
      <c r="G89" s="1"/>
      <c r="H89" s="1"/>
      <c r="J89" s="177" t="str">
        <f>ConcatenateWithSpaces($B$89:$H$89)</f>
        <v>Air_LakeMitchell LakeMitchell "Air" 0 800</v>
      </c>
    </row>
    <row r="90" spans="2:10" x14ac:dyDescent="0.2">
      <c r="B90" s="26" t="str">
        <f>CONCATENATE("Air_", $C$90)</f>
        <v>Air_N1</v>
      </c>
      <c r="C90" s="26" t="str">
        <f>Layout!$H$14</f>
        <v>N1</v>
      </c>
      <c r="D90" s="1" t="s">
        <v>364</v>
      </c>
      <c r="E90" s="1">
        <v>0</v>
      </c>
      <c r="F90" s="26" t="str">
        <f>Parameters!$J$69</f>
        <v>800</v>
      </c>
      <c r="G90" s="1"/>
      <c r="H90" s="1"/>
      <c r="J90" s="177" t="str">
        <f>ConcatenateWithSpaces($B$90:$H$90)</f>
        <v>Air_N1 N1 "Air" 0 800</v>
      </c>
    </row>
    <row r="91" spans="2:10" x14ac:dyDescent="0.2">
      <c r="B91" s="26" t="str">
        <f>CONCATENATE("Air_", $C$91)</f>
        <v>Air_N2</v>
      </c>
      <c r="C91" s="26" t="str">
        <f>Layout!$H$15</f>
        <v>N2</v>
      </c>
      <c r="D91" s="1" t="s">
        <v>364</v>
      </c>
      <c r="E91" s="1">
        <v>0</v>
      </c>
      <c r="F91" s="26" t="str">
        <f>Parameters!$J$69</f>
        <v>800</v>
      </c>
      <c r="G91" s="1"/>
      <c r="H91" s="1"/>
      <c r="J91" s="177" t="str">
        <f>ConcatenateWithSpaces($B$91:$H$91)</f>
        <v>Air_N2 N2 "Air" 0 800</v>
      </c>
    </row>
    <row r="92" spans="2:10" x14ac:dyDescent="0.2">
      <c r="B92" s="26" t="str">
        <f>CONCATENATE("Air_", $C$92)</f>
        <v>Air_NE1</v>
      </c>
      <c r="C92" s="26" t="str">
        <f>Layout!$H$16</f>
        <v>NE1</v>
      </c>
      <c r="D92" s="1" t="s">
        <v>364</v>
      </c>
      <c r="E92" s="1">
        <v>0</v>
      </c>
      <c r="F92" s="26" t="str">
        <f>Parameters!$J$69</f>
        <v>800</v>
      </c>
      <c r="G92" s="1"/>
      <c r="H92" s="1"/>
      <c r="J92" s="177" t="str">
        <f>ConcatenateWithSpaces($B$92:$H$92)</f>
        <v>Air_NE1 NE1 "Air" 0 800</v>
      </c>
    </row>
    <row r="93" spans="2:10" x14ac:dyDescent="0.2">
      <c r="B93" s="26" t="str">
        <f>CONCATENATE("Air_", $C$93)</f>
        <v>Air_NE2</v>
      </c>
      <c r="C93" s="26" t="str">
        <f>Layout!$H$17</f>
        <v>NE2</v>
      </c>
      <c r="D93" s="1" t="s">
        <v>364</v>
      </c>
      <c r="E93" s="1">
        <v>0</v>
      </c>
      <c r="F93" s="26" t="str">
        <f>Parameters!$J$69</f>
        <v>800</v>
      </c>
      <c r="G93" s="1"/>
      <c r="H93" s="1"/>
      <c r="J93" s="177" t="str">
        <f>ConcatenateWithSpaces($B$93:$H$93)</f>
        <v>Air_NE2 NE2 "Air" 0 800</v>
      </c>
    </row>
    <row r="94" spans="2:10" x14ac:dyDescent="0.2">
      <c r="B94" s="26" t="str">
        <f>CONCATENATE("Air_", $C$94)</f>
        <v>Air_NE3</v>
      </c>
      <c r="C94" s="26" t="str">
        <f>Layout!$H$18</f>
        <v>NE3</v>
      </c>
      <c r="D94" s="1" t="s">
        <v>364</v>
      </c>
      <c r="E94" s="1">
        <v>0</v>
      </c>
      <c r="F94" s="26" t="str">
        <f>Parameters!$J$69</f>
        <v>800</v>
      </c>
      <c r="G94" s="1"/>
      <c r="H94" s="1"/>
      <c r="J94" s="177" t="str">
        <f>ConcatenateWithSpaces($B$94:$H$94)</f>
        <v>Air_NE3 NE3 "Air" 0 800</v>
      </c>
    </row>
    <row r="95" spans="2:10" x14ac:dyDescent="0.2">
      <c r="B95" s="26" t="str">
        <f>CONCATENATE("Air_", $C$95)</f>
        <v>Air_NW1</v>
      </c>
      <c r="C95" s="26" t="str">
        <f>Layout!$H$19</f>
        <v>NW1</v>
      </c>
      <c r="D95" s="1" t="s">
        <v>364</v>
      </c>
      <c r="E95" s="1">
        <v>0</v>
      </c>
      <c r="F95" s="26" t="str">
        <f>Parameters!$J$69</f>
        <v>800</v>
      </c>
      <c r="G95" s="1"/>
      <c r="H95" s="1"/>
      <c r="J95" s="177" t="str">
        <f>ConcatenateWithSpaces($B$95:$H$95)</f>
        <v>Air_NW1 NW1 "Air" 0 800</v>
      </c>
    </row>
    <row r="96" spans="2:10" x14ac:dyDescent="0.2">
      <c r="B96" s="26" t="str">
        <f>CONCATENATE("Air_", $C$96)</f>
        <v>Air_NW2</v>
      </c>
      <c r="C96" s="26" t="str">
        <f>Layout!$H$20</f>
        <v>NW2</v>
      </c>
      <c r="D96" s="1" t="s">
        <v>364</v>
      </c>
      <c r="E96" s="1">
        <v>0</v>
      </c>
      <c r="F96" s="26" t="str">
        <f>Parameters!$J$69</f>
        <v>800</v>
      </c>
      <c r="G96" s="1"/>
      <c r="H96" s="1"/>
      <c r="J96" s="177" t="str">
        <f>ConcatenateWithSpaces($B$96:$H$96)</f>
        <v>Air_NW2 NW2 "Air" 0 800</v>
      </c>
    </row>
    <row r="97" spans="2:10" x14ac:dyDescent="0.2">
      <c r="B97" s="26" t="str">
        <f>CONCATENATE("Air_", $C$97)</f>
        <v>Air_S1</v>
      </c>
      <c r="C97" s="26" t="str">
        <f>Layout!$H$21</f>
        <v>S1</v>
      </c>
      <c r="D97" s="1" t="s">
        <v>364</v>
      </c>
      <c r="E97" s="1">
        <v>0</v>
      </c>
      <c r="F97" s="26" t="str">
        <f>Parameters!$J$69</f>
        <v>800</v>
      </c>
      <c r="G97" s="1"/>
      <c r="H97" s="1"/>
      <c r="J97" s="177" t="str">
        <f>ConcatenateWithSpaces($B$97:$H$97)</f>
        <v>Air_S1 S1 "Air" 0 800</v>
      </c>
    </row>
    <row r="98" spans="2:10" x14ac:dyDescent="0.2">
      <c r="B98" s="26" t="str">
        <f>CONCATENATE("Air_", $C$98)</f>
        <v>Air_S2</v>
      </c>
      <c r="C98" s="26" t="str">
        <f>Layout!$H$22</f>
        <v>S2</v>
      </c>
      <c r="D98" s="1" t="s">
        <v>364</v>
      </c>
      <c r="E98" s="1">
        <v>0</v>
      </c>
      <c r="F98" s="26" t="str">
        <f>Parameters!$J$69</f>
        <v>800</v>
      </c>
      <c r="G98" s="1"/>
      <c r="H98" s="1"/>
      <c r="J98" s="177" t="str">
        <f>ConcatenateWithSpaces($B$98:$H$98)</f>
        <v>Air_S2 S2 "Air" 0 800</v>
      </c>
    </row>
    <row r="99" spans="2:10" x14ac:dyDescent="0.2">
      <c r="B99" s="26" t="str">
        <f>CONCATENATE("Air_", $C$99)</f>
        <v>Air_SE1</v>
      </c>
      <c r="C99" s="26" t="str">
        <f>Layout!$H$23</f>
        <v>SE1</v>
      </c>
      <c r="D99" s="1" t="s">
        <v>364</v>
      </c>
      <c r="E99" s="1">
        <v>0</v>
      </c>
      <c r="F99" s="26" t="str">
        <f>Parameters!$J$69</f>
        <v>800</v>
      </c>
      <c r="G99" s="1"/>
      <c r="H99" s="1"/>
      <c r="J99" s="177" t="str">
        <f>ConcatenateWithSpaces($B$99:$H$99)</f>
        <v>Air_SE1 SE1 "Air" 0 800</v>
      </c>
    </row>
    <row r="100" spans="2:10" x14ac:dyDescent="0.2">
      <c r="B100" s="26" t="str">
        <f>CONCATENATE("Air_", $C$100)</f>
        <v>Air_SE2</v>
      </c>
      <c r="C100" s="26" t="str">
        <f>Layout!$H$24</f>
        <v>SE2</v>
      </c>
      <c r="D100" s="1" t="s">
        <v>364</v>
      </c>
      <c r="E100" s="1">
        <v>0</v>
      </c>
      <c r="F100" s="26" t="str">
        <f>Parameters!$J$69</f>
        <v>800</v>
      </c>
      <c r="G100" s="1"/>
      <c r="H100" s="1"/>
      <c r="J100" s="177" t="str">
        <f>ConcatenateWithSpaces($B$100:$H$100)</f>
        <v>Air_SE2 SE2 "Air" 0 800</v>
      </c>
    </row>
    <row r="101" spans="2:10" x14ac:dyDescent="0.2">
      <c r="B101" s="26" t="str">
        <f>CONCATENATE("Air_", $C$101)</f>
        <v>Air_SW1</v>
      </c>
      <c r="C101" s="26" t="str">
        <f>Layout!$H$25</f>
        <v>SW1</v>
      </c>
      <c r="D101" s="1" t="s">
        <v>364</v>
      </c>
      <c r="E101" s="1">
        <v>0</v>
      </c>
      <c r="F101" s="26" t="str">
        <f>Parameters!$J$69</f>
        <v>800</v>
      </c>
      <c r="G101" s="1"/>
      <c r="H101" s="1"/>
      <c r="J101" s="177" t="str">
        <f>ConcatenateWithSpaces($B$101:$H$101)</f>
        <v>Air_SW1 SW1 "Air" 0 800</v>
      </c>
    </row>
    <row r="102" spans="2:10" x14ac:dyDescent="0.2">
      <c r="B102" s="26" t="str">
        <f>CONCATENATE("Air_", $C$102)</f>
        <v>Air_SW2</v>
      </c>
      <c r="C102" s="26" t="str">
        <f>Layout!$H$26</f>
        <v>SW2</v>
      </c>
      <c r="D102" s="1" t="s">
        <v>364</v>
      </c>
      <c r="E102" s="1">
        <v>0</v>
      </c>
      <c r="F102" s="26" t="str">
        <f>Parameters!$J$69</f>
        <v>800</v>
      </c>
      <c r="G102" s="1"/>
      <c r="H102" s="1"/>
      <c r="J102" s="177" t="str">
        <f>ConcatenateWithSpaces($B$102:$H$102)</f>
        <v>Air_SW2 SW2 "Air" 0 800</v>
      </c>
    </row>
    <row r="103" spans="2:10" x14ac:dyDescent="0.2">
      <c r="B103" s="26" t="str">
        <f>CONCATENATE("Air_", $C$103)</f>
        <v>Air_W1</v>
      </c>
      <c r="C103" s="26" t="str">
        <f>Layout!$H$27</f>
        <v>W1</v>
      </c>
      <c r="D103" s="1" t="s">
        <v>364</v>
      </c>
      <c r="E103" s="1">
        <v>0</v>
      </c>
      <c r="F103" s="26" t="str">
        <f>Parameters!$J$69</f>
        <v>800</v>
      </c>
      <c r="G103" s="1"/>
      <c r="H103" s="1"/>
      <c r="J103" s="177" t="str">
        <f>ConcatenateWithSpaces($B$103:$H$103)</f>
        <v>Air_W1 W1 "Air" 0 800</v>
      </c>
    </row>
    <row r="104" spans="2:10" x14ac:dyDescent="0.2">
      <c r="B104" s="1"/>
      <c r="C104" s="1"/>
      <c r="D104" s="1"/>
      <c r="E104" s="1"/>
      <c r="F104" s="1"/>
      <c r="G104" s="1"/>
      <c r="H104" s="1"/>
      <c r="J104" s="177" t="str">
        <f>ConcatenateWithSpaces($B$104:$H$104)</f>
        <v/>
      </c>
    </row>
    <row r="105" spans="2:10" x14ac:dyDescent="0.2">
      <c r="B105" s="1" t="s">
        <v>540</v>
      </c>
      <c r="C105" s="1"/>
      <c r="D105" s="1"/>
      <c r="E105" s="1"/>
      <c r="F105" s="1"/>
      <c r="G105" s="1"/>
      <c r="H105" s="1"/>
      <c r="J105" s="177" t="str">
        <f>ConcatenateWithSpaces($B$105:$H$105)</f>
        <v>// ----------------------------------------------------------------------------</v>
      </c>
    </row>
    <row r="106" spans="2:10" x14ac:dyDescent="0.2">
      <c r="B106" s="1" t="s">
        <v>368</v>
      </c>
      <c r="C106" s="1"/>
      <c r="D106" s="1"/>
      <c r="E106" s="1"/>
      <c r="F106" s="1"/>
      <c r="G106" s="1"/>
      <c r="H106" s="1"/>
      <c r="J106" s="177" t="str">
        <f>ConcatenateWithSpaces($B$106:$H$106)</f>
        <v>// Water</v>
      </c>
    </row>
    <row r="107" spans="2:10" x14ac:dyDescent="0.2">
      <c r="B107" s="1" t="s">
        <v>540</v>
      </c>
      <c r="C107" s="1"/>
      <c r="D107" s="1"/>
      <c r="E107" s="1"/>
      <c r="F107" s="1"/>
      <c r="G107" s="1"/>
      <c r="H107" s="1"/>
      <c r="J107" s="177" t="str">
        <f>ConcatenateWithSpaces($B$107:$H$107)</f>
        <v>// ----------------------------------------------------------------------------</v>
      </c>
    </row>
    <row r="108" spans="2:10" x14ac:dyDescent="0.2">
      <c r="B108" s="1"/>
      <c r="C108" s="1"/>
      <c r="D108" s="1"/>
      <c r="E108" s="1"/>
      <c r="F108" s="1"/>
      <c r="G108" s="1"/>
      <c r="H108" s="1"/>
      <c r="J108" s="177" t="str">
        <f>ConcatenateWithSpaces($B$108:$H$108)</f>
        <v/>
      </c>
    </row>
    <row r="109" spans="2:10" x14ac:dyDescent="0.2">
      <c r="B109" s="26" t="str">
        <f>CONCATENATE("SW_", $C$109)</f>
        <v>SW_E3</v>
      </c>
      <c r="C109" s="26" t="str">
        <f>Layout!$H$11</f>
        <v>E3</v>
      </c>
      <c r="D109" s="1" t="s">
        <v>365</v>
      </c>
      <c r="E109" s="26">
        <f>ROUND(0 - INDEX(lake_depths, MATCH($C$109, lake_names, 0)), 2)</f>
        <v>-3.6</v>
      </c>
      <c r="F109" s="1">
        <v>0</v>
      </c>
      <c r="G109" s="1"/>
      <c r="H109" s="1"/>
      <c r="J109" s="177" t="str">
        <f>ConcatenateWithSpaces($B$109:$H$109)</f>
        <v>SW_E3 E3 "Surface water" -3.6 0</v>
      </c>
    </row>
    <row r="110" spans="2:10" x14ac:dyDescent="0.2">
      <c r="B110" s="26" t="str">
        <f>CONCATENATE("Sed_", $C$110)</f>
        <v>Sed_E3</v>
      </c>
      <c r="C110" s="26" t="str">
        <f>Layout!$H$11</f>
        <v>E3</v>
      </c>
      <c r="D110" s="1" t="s">
        <v>366</v>
      </c>
      <c r="E110" s="26">
        <f>$E$109 - INDEX(sediment_depths, MATCH($C$110, lake_names, 0))</f>
        <v>-3.65</v>
      </c>
      <c r="F110" s="26">
        <f>$E$109</f>
        <v>-3.6</v>
      </c>
      <c r="G110" s="1"/>
      <c r="H110" s="1"/>
      <c r="J110" s="177" t="str">
        <f>ConcatenateWithSpaces($B$110:$H$110)</f>
        <v>Sed_E3 E3 "Sediment" -3.65 -3.6</v>
      </c>
    </row>
    <row r="111" spans="2:10" x14ac:dyDescent="0.2">
      <c r="B111" s="26" t="str">
        <f>CONCATENATE("SW_", $C$111)</f>
        <v>SW_LakeCadillac</v>
      </c>
      <c r="C111" s="26" t="str">
        <f>Layout!$H$12</f>
        <v>LakeCadillac</v>
      </c>
      <c r="D111" s="1" t="s">
        <v>365</v>
      </c>
      <c r="E111" s="26">
        <f>ROUND(0 - INDEX(lake_depths, MATCH($C$111, lake_names, 0)), 2)</f>
        <v>-2.59</v>
      </c>
      <c r="F111" s="1">
        <v>0</v>
      </c>
      <c r="G111" s="1"/>
      <c r="H111" s="1"/>
      <c r="J111" s="177" t="str">
        <f>ConcatenateWithSpaces($B$111:$H$111)</f>
        <v>SW_LakeCadillac LakeCadillac "Surface water" -2.59 0</v>
      </c>
    </row>
    <row r="112" spans="2:10" x14ac:dyDescent="0.2">
      <c r="B112" s="26" t="str">
        <f>CONCATENATE("Sed_", $C$112)</f>
        <v>Sed_LakeCadillac</v>
      </c>
      <c r="C112" s="26" t="str">
        <f>Layout!$H$12</f>
        <v>LakeCadillac</v>
      </c>
      <c r="D112" s="1" t="s">
        <v>366</v>
      </c>
      <c r="E112" s="26">
        <f>$E$111 - INDEX(sediment_depths, MATCH($C$112, lake_names, 0))</f>
        <v>-2.6399999999999997</v>
      </c>
      <c r="F112" s="26">
        <f>$E$111</f>
        <v>-2.59</v>
      </c>
      <c r="G112" s="1"/>
      <c r="H112" s="1"/>
      <c r="J112" s="177" t="str">
        <f>ConcatenateWithSpaces($B$112:$H$112)</f>
        <v>Sed_LakeCadillac LakeCadillac "Sediment" -2.64 -2.59</v>
      </c>
    </row>
    <row r="113" spans="2:10" x14ac:dyDescent="0.2">
      <c r="B113" s="1"/>
      <c r="C113" s="1"/>
      <c r="D113" s="1"/>
      <c r="E113" s="1"/>
      <c r="F113" s="1"/>
      <c r="G113" s="1"/>
      <c r="H113" s="1"/>
      <c r="J113" s="177" t="str">
        <f>ConcatenateWithSpaces($B$113:$H$113)</f>
        <v/>
      </c>
    </row>
    <row r="114" spans="2:10" x14ac:dyDescent="0.2">
      <c r="B114" s="1" t="s">
        <v>540</v>
      </c>
      <c r="C114" s="1"/>
      <c r="D114" s="1"/>
      <c r="E114" s="1"/>
      <c r="F114" s="1"/>
      <c r="G114" s="1"/>
      <c r="H114" s="1"/>
      <c r="J114" s="177" t="str">
        <f>ConcatenateWithSpaces($B$114:$H$114)</f>
        <v>// ----------------------------------------------------------------------------</v>
      </c>
    </row>
    <row r="115" spans="2:10" x14ac:dyDescent="0.2">
      <c r="B115" s="1" t="s">
        <v>369</v>
      </c>
      <c r="C115" s="1"/>
      <c r="D115" s="1"/>
      <c r="E115" s="1"/>
      <c r="F115" s="1"/>
      <c r="G115" s="1"/>
      <c r="H115" s="1"/>
      <c r="J115" s="177" t="str">
        <f>ConcatenateWithSpaces($B$115:$H$115)</f>
        <v>// Land</v>
      </c>
    </row>
    <row r="116" spans="2:10" x14ac:dyDescent="0.2">
      <c r="B116" s="1" t="s">
        <v>540</v>
      </c>
      <c r="C116" s="1"/>
      <c r="D116" s="1"/>
      <c r="E116" s="1"/>
      <c r="F116" s="1"/>
      <c r="G116" s="1"/>
      <c r="H116" s="1"/>
      <c r="J116" s="177" t="str">
        <f>ConcatenateWithSpaces($B$116:$H$116)</f>
        <v>// ----------------------------------------------------------------------------</v>
      </c>
    </row>
    <row r="117" spans="2:10" x14ac:dyDescent="0.2">
      <c r="B117" s="1"/>
      <c r="C117" s="1"/>
      <c r="D117" s="1"/>
      <c r="E117" s="1"/>
      <c r="F117" s="1"/>
      <c r="G117" s="1"/>
      <c r="H117" s="1"/>
      <c r="J117" s="177" t="str">
        <f>ConcatenateWithSpaces($B$117:$H$117)</f>
        <v/>
      </c>
    </row>
    <row r="118" spans="2:10" x14ac:dyDescent="0.2">
      <c r="B118" s="1"/>
      <c r="C118" s="1"/>
      <c r="D118" s="1"/>
      <c r="E118" s="1"/>
      <c r="F118" s="1"/>
      <c r="G118" s="1"/>
      <c r="H118" s="1"/>
      <c r="J118" s="177" t="str">
        <f>ConcatenateWithSpaces($B$118:$H$118)</f>
        <v/>
      </c>
    </row>
    <row r="119" spans="2:10" x14ac:dyDescent="0.2">
      <c r="B119" s="1" t="s">
        <v>371</v>
      </c>
      <c r="C119" s="26" t="str">
        <f>Layout!$H$9</f>
        <v>E1</v>
      </c>
      <c r="D119" s="1" t="s">
        <v>372</v>
      </c>
      <c r="E119" s="26" t="str">
        <f>Layout!$J$9</f>
        <v>grass</v>
      </c>
      <c r="F119" s="1"/>
      <c r="G119" s="1"/>
      <c r="H119" s="1"/>
      <c r="J119" s="177" t="str">
        <f>ConcatenateWithSpaces($B$119:$H$119)</f>
        <v>// Parcel: E1 // Land use: grass</v>
      </c>
    </row>
    <row r="120" spans="2:10" x14ac:dyDescent="0.2">
      <c r="B120" s="26" t="str">
        <f>CONCATENATE("SurfSoil_", $C$120)</f>
        <v>SurfSoil_E1</v>
      </c>
      <c r="C120" s="26" t="str">
        <f>$C$119</f>
        <v>E1</v>
      </c>
      <c r="D120" s="1" t="s">
        <v>370</v>
      </c>
      <c r="E120" s="26">
        <f>0 - INDEX(surfsoil_depths, MATCH($E$119, land_use_choices, 0))</f>
        <v>-0.01</v>
      </c>
      <c r="F120" s="1">
        <v>0</v>
      </c>
      <c r="G120" s="1"/>
      <c r="H120" s="1"/>
      <c r="J120" s="177" t="str">
        <f>ConcatenateWithSpaces($B$120:$H$120)</f>
        <v>SurfSoil_E1 E1 "Soil - Surface" -0.01 0</v>
      </c>
    </row>
    <row r="121" spans="2:10" x14ac:dyDescent="0.2">
      <c r="B121" s="1"/>
      <c r="C121" s="1"/>
      <c r="D121" s="1"/>
      <c r="E121" s="1"/>
      <c r="F121" s="1"/>
      <c r="G121" s="1"/>
      <c r="H121" s="1"/>
    </row>
    <row r="122" spans="2:10" x14ac:dyDescent="0.2">
      <c r="B122" s="1"/>
      <c r="C122" s="1"/>
      <c r="D122" s="1"/>
      <c r="E122" s="1"/>
      <c r="F122" s="1"/>
      <c r="G122" s="1"/>
      <c r="H122" s="1"/>
    </row>
    <row r="123" spans="2:10" x14ac:dyDescent="0.2">
      <c r="B123" s="1"/>
      <c r="C123" s="1"/>
      <c r="D123" s="1"/>
      <c r="E123" s="1"/>
      <c r="F123" s="1"/>
      <c r="G123" s="1"/>
      <c r="H123" s="1"/>
    </row>
    <row r="124" spans="2:10" x14ac:dyDescent="0.2">
      <c r="B124" s="1"/>
      <c r="C124" s="1"/>
      <c r="D124" s="1"/>
      <c r="E124" s="1"/>
      <c r="F124" s="1"/>
      <c r="G124" s="1"/>
      <c r="H124" s="1"/>
    </row>
    <row r="125" spans="2:10" x14ac:dyDescent="0.2">
      <c r="B125" s="1"/>
      <c r="C125" s="1"/>
      <c r="D125" s="1"/>
      <c r="E125" s="1"/>
      <c r="F125" s="1"/>
      <c r="G125" s="1"/>
      <c r="H125" s="1"/>
    </row>
    <row r="126" spans="2:10" x14ac:dyDescent="0.2">
      <c r="B126" s="1"/>
      <c r="C126" s="1"/>
      <c r="D126" s="1"/>
      <c r="E126" s="1"/>
      <c r="F126" s="1"/>
      <c r="G126" s="1"/>
      <c r="H126" s="1"/>
    </row>
    <row r="127" spans="2:10" x14ac:dyDescent="0.2">
      <c r="B127" s="1"/>
      <c r="C127" s="1"/>
      <c r="D127" s="1"/>
      <c r="E127" s="1"/>
      <c r="F127" s="1"/>
      <c r="G127" s="1"/>
      <c r="H127" s="1"/>
    </row>
    <row r="128" spans="2:10" x14ac:dyDescent="0.2">
      <c r="B128" s="1"/>
      <c r="C128" s="1"/>
      <c r="D128" s="1"/>
      <c r="E128" s="1"/>
      <c r="F128" s="1"/>
      <c r="G128" s="1"/>
      <c r="H128" s="1"/>
    </row>
    <row r="129" spans="2:8" x14ac:dyDescent="0.2">
      <c r="B129" s="1"/>
      <c r="C129" s="1"/>
      <c r="D129" s="1"/>
      <c r="E129" s="1"/>
      <c r="F129" s="1"/>
      <c r="G129" s="1"/>
      <c r="H129" s="1"/>
    </row>
    <row r="130" spans="2:8" x14ac:dyDescent="0.2">
      <c r="B130" s="1"/>
      <c r="C130" s="1"/>
      <c r="D130" s="1"/>
      <c r="E130" s="1"/>
      <c r="F130" s="1"/>
      <c r="G130" s="1"/>
      <c r="H130" s="1"/>
    </row>
    <row r="131" spans="2:8" x14ac:dyDescent="0.2">
      <c r="B131" s="1"/>
      <c r="C131" s="1"/>
      <c r="D131" s="1"/>
      <c r="E131" s="1"/>
      <c r="F131" s="1"/>
      <c r="G131" s="1"/>
      <c r="H131" s="1"/>
    </row>
    <row r="132" spans="2:8" x14ac:dyDescent="0.2">
      <c r="B132" s="1"/>
      <c r="C132" s="1"/>
      <c r="D132" s="1"/>
      <c r="E132" s="1"/>
      <c r="F132" s="1"/>
      <c r="G132" s="1"/>
      <c r="H132" s="1"/>
    </row>
    <row r="133" spans="2:8" x14ac:dyDescent="0.2">
      <c r="B133" s="1"/>
      <c r="C133" s="1"/>
      <c r="D133" s="1"/>
      <c r="E133" s="1"/>
      <c r="F133" s="1"/>
      <c r="G133" s="1"/>
      <c r="H133" s="1"/>
    </row>
    <row r="134" spans="2:8" x14ac:dyDescent="0.2">
      <c r="B134" s="1"/>
      <c r="C134" s="1"/>
      <c r="D134" s="1"/>
      <c r="E134" s="1"/>
      <c r="F134" s="1"/>
      <c r="G134" s="1"/>
      <c r="H134" s="1"/>
    </row>
    <row r="135" spans="2:8" x14ac:dyDescent="0.2">
      <c r="B135" s="1"/>
      <c r="C135" s="1"/>
      <c r="D135" s="1"/>
      <c r="E135" s="1"/>
      <c r="F135" s="1"/>
      <c r="G135" s="1"/>
      <c r="H135" s="1"/>
    </row>
    <row r="136" spans="2:8" x14ac:dyDescent="0.2">
      <c r="B136" s="1"/>
      <c r="C136" s="1"/>
      <c r="D136" s="1"/>
      <c r="E136" s="1"/>
      <c r="F136" s="1"/>
      <c r="G136" s="1"/>
      <c r="H136" s="1"/>
    </row>
    <row r="137" spans="2:8" x14ac:dyDescent="0.2">
      <c r="B137" s="1"/>
      <c r="C137" s="1"/>
      <c r="D137" s="1"/>
      <c r="E137" s="1"/>
      <c r="F137" s="1"/>
      <c r="G137" s="1"/>
      <c r="H137" s="1"/>
    </row>
    <row r="138" spans="2:8" x14ac:dyDescent="0.2">
      <c r="B138" s="1"/>
      <c r="C138" s="1"/>
      <c r="D138" s="1"/>
      <c r="E138" s="1"/>
      <c r="F138" s="1"/>
      <c r="G138" s="1"/>
      <c r="H138" s="1"/>
    </row>
    <row r="139" spans="2:8" x14ac:dyDescent="0.2">
      <c r="B139" s="1"/>
      <c r="C139" s="1"/>
      <c r="D139" s="1"/>
      <c r="E139" s="1"/>
      <c r="F139" s="1"/>
      <c r="G139" s="1"/>
      <c r="H139" s="1"/>
    </row>
    <row r="140" spans="2:8" x14ac:dyDescent="0.2">
      <c r="B140" s="1"/>
      <c r="C140" s="1"/>
      <c r="D140" s="1"/>
      <c r="E140" s="1"/>
      <c r="F140" s="1"/>
      <c r="G140" s="1"/>
      <c r="H140" s="1"/>
    </row>
    <row r="141" spans="2:8" x14ac:dyDescent="0.2">
      <c r="B141" s="1"/>
      <c r="C141" s="1"/>
      <c r="D141" s="1"/>
      <c r="E141" s="1"/>
      <c r="F141" s="1"/>
      <c r="G141" s="1"/>
      <c r="H141" s="1"/>
    </row>
    <row r="142" spans="2:8" x14ac:dyDescent="0.2">
      <c r="B142" s="1"/>
      <c r="C142" s="1"/>
      <c r="D142" s="1"/>
      <c r="E142" s="1"/>
      <c r="F142" s="1"/>
      <c r="G142" s="1"/>
      <c r="H142" s="1"/>
    </row>
    <row r="143" spans="2:8" x14ac:dyDescent="0.2">
      <c r="B143" s="1"/>
      <c r="C143" s="1"/>
      <c r="D143" s="1"/>
      <c r="E143" s="1"/>
      <c r="F143" s="1"/>
      <c r="G143" s="1"/>
      <c r="H143" s="1"/>
    </row>
    <row r="144" spans="2:8" x14ac:dyDescent="0.2">
      <c r="B144" s="1"/>
      <c r="C144" s="1"/>
      <c r="D144" s="1"/>
      <c r="E144" s="1"/>
      <c r="F144" s="1"/>
      <c r="G144" s="1"/>
      <c r="H144" s="1"/>
    </row>
    <row r="145" spans="2:8" x14ac:dyDescent="0.2">
      <c r="B145" s="1"/>
      <c r="C145" s="1"/>
      <c r="D145" s="1"/>
      <c r="E145" s="1"/>
      <c r="F145" s="1"/>
      <c r="G145" s="1"/>
      <c r="H145" s="1"/>
    </row>
    <row r="146" spans="2:8" x14ac:dyDescent="0.2">
      <c r="B146" s="1"/>
      <c r="C146" s="1"/>
      <c r="D146" s="1"/>
      <c r="E146" s="1"/>
      <c r="F146" s="1"/>
      <c r="G146" s="1"/>
      <c r="H146" s="1"/>
    </row>
    <row r="147" spans="2:8" x14ac:dyDescent="0.2">
      <c r="B147" s="1"/>
      <c r="C147" s="1"/>
      <c r="D147" s="1"/>
      <c r="E147" s="1"/>
      <c r="F147" s="1"/>
      <c r="G147" s="1"/>
      <c r="H147" s="1"/>
    </row>
    <row r="148" spans="2:8" x14ac:dyDescent="0.2">
      <c r="B148" s="1"/>
      <c r="C148" s="1"/>
      <c r="D148" s="1"/>
      <c r="E148" s="1"/>
      <c r="F148" s="1"/>
      <c r="G148" s="1"/>
      <c r="H148" s="1"/>
    </row>
    <row r="149" spans="2:8" x14ac:dyDescent="0.2">
      <c r="B149" s="1"/>
      <c r="C149" s="1"/>
      <c r="D149" s="1"/>
      <c r="E149" s="1"/>
      <c r="F149" s="1"/>
      <c r="G149" s="1"/>
      <c r="H149" s="1"/>
    </row>
    <row r="150" spans="2:8" x14ac:dyDescent="0.2">
      <c r="B150" s="1"/>
      <c r="C150" s="1"/>
      <c r="D150" s="1"/>
      <c r="E150" s="1"/>
      <c r="F150" s="1"/>
      <c r="G150" s="1"/>
      <c r="H150" s="1"/>
    </row>
    <row r="151" spans="2:8" x14ac:dyDescent="0.2">
      <c r="B151" s="1"/>
      <c r="C151" s="1"/>
      <c r="D151" s="1"/>
      <c r="E151" s="1"/>
      <c r="F151" s="1"/>
      <c r="G151" s="1"/>
      <c r="H151" s="1"/>
    </row>
    <row r="152" spans="2:8" x14ac:dyDescent="0.2">
      <c r="B152" s="1"/>
      <c r="C152" s="1"/>
      <c r="D152" s="1"/>
      <c r="E152" s="1"/>
      <c r="F152" s="1"/>
      <c r="G152" s="1"/>
      <c r="H152" s="1"/>
    </row>
    <row r="153" spans="2:8" x14ac:dyDescent="0.2">
      <c r="B153" s="1"/>
      <c r="C153" s="1"/>
      <c r="D153" s="1"/>
      <c r="E153" s="1"/>
      <c r="F153" s="1"/>
      <c r="G153" s="1"/>
      <c r="H153" s="1"/>
    </row>
    <row r="154" spans="2:8" x14ac:dyDescent="0.2">
      <c r="B154" s="1"/>
      <c r="C154" s="1"/>
      <c r="D154" s="1"/>
      <c r="E154" s="1"/>
      <c r="F154" s="1"/>
      <c r="G154" s="1"/>
      <c r="H154" s="1"/>
    </row>
    <row r="155" spans="2:8" x14ac:dyDescent="0.2">
      <c r="B155" s="1"/>
      <c r="C155" s="1"/>
      <c r="D155" s="1"/>
      <c r="E155" s="1"/>
      <c r="F155" s="1"/>
      <c r="G155" s="1"/>
      <c r="H155" s="1"/>
    </row>
    <row r="156" spans="2:8" x14ac:dyDescent="0.2">
      <c r="B156" s="1"/>
      <c r="C156" s="1"/>
      <c r="D156" s="1"/>
      <c r="E156" s="1"/>
      <c r="F156" s="1"/>
      <c r="G156" s="1"/>
      <c r="H156" s="1"/>
    </row>
    <row r="157" spans="2:8" x14ac:dyDescent="0.2">
      <c r="B157" s="1"/>
      <c r="C157" s="1"/>
      <c r="D157" s="1"/>
      <c r="E157" s="1"/>
      <c r="F157" s="1"/>
      <c r="G157" s="1"/>
      <c r="H157" s="1"/>
    </row>
    <row r="158" spans="2:8" x14ac:dyDescent="0.2">
      <c r="B158" s="1"/>
      <c r="C158" s="1"/>
      <c r="D158" s="1"/>
      <c r="E158" s="1"/>
      <c r="F158" s="1"/>
      <c r="G158" s="1"/>
      <c r="H158" s="1"/>
    </row>
    <row r="159" spans="2:8" x14ac:dyDescent="0.2">
      <c r="B159" s="1"/>
      <c r="C159" s="1"/>
      <c r="D159" s="1"/>
      <c r="E159" s="1"/>
      <c r="F159" s="1"/>
      <c r="G159" s="1"/>
      <c r="H159" s="1"/>
    </row>
    <row r="160" spans="2:8" x14ac:dyDescent="0.2">
      <c r="B160" s="1"/>
      <c r="C160" s="1"/>
      <c r="D160" s="1"/>
      <c r="E160" s="1"/>
      <c r="F160" s="1"/>
      <c r="G160" s="1"/>
      <c r="H160" s="1"/>
    </row>
    <row r="161" spans="2:8" x14ac:dyDescent="0.2">
      <c r="B161" s="1"/>
      <c r="C161" s="1"/>
      <c r="D161" s="1"/>
      <c r="E161" s="1"/>
      <c r="F161" s="1"/>
      <c r="G161" s="1"/>
      <c r="H161" s="1"/>
    </row>
    <row r="162" spans="2:8" x14ac:dyDescent="0.2">
      <c r="B162" s="1"/>
      <c r="C162" s="1"/>
      <c r="D162" s="1"/>
      <c r="E162" s="1"/>
      <c r="F162" s="1"/>
      <c r="G162" s="1"/>
      <c r="H162" s="1"/>
    </row>
    <row r="163" spans="2:8" x14ac:dyDescent="0.2">
      <c r="B163" s="1"/>
      <c r="C163" s="1"/>
      <c r="D163" s="1"/>
      <c r="E163" s="1"/>
      <c r="F163" s="1"/>
      <c r="G163" s="1"/>
      <c r="H163" s="1"/>
    </row>
    <row r="164" spans="2:8" x14ac:dyDescent="0.2">
      <c r="B164" s="1"/>
      <c r="C164" s="1"/>
      <c r="D164" s="1"/>
      <c r="E164" s="1"/>
      <c r="F164" s="1"/>
      <c r="G164" s="1"/>
      <c r="H164" s="1"/>
    </row>
    <row r="165" spans="2:8" x14ac:dyDescent="0.2">
      <c r="B165" s="1"/>
      <c r="C165" s="1"/>
      <c r="D165" s="1"/>
      <c r="E165" s="1"/>
      <c r="F165" s="1"/>
      <c r="G165" s="1"/>
      <c r="H165" s="1"/>
    </row>
    <row r="166" spans="2:8" x14ac:dyDescent="0.2">
      <c r="B166" s="1"/>
      <c r="C166" s="1"/>
      <c r="D166" s="1"/>
      <c r="E166" s="1"/>
      <c r="F166" s="1"/>
      <c r="G166" s="1"/>
      <c r="H166" s="1"/>
    </row>
    <row r="167" spans="2:8" x14ac:dyDescent="0.2">
      <c r="B167" s="1"/>
      <c r="C167" s="1"/>
      <c r="D167" s="1"/>
      <c r="E167" s="1"/>
      <c r="F167" s="1"/>
      <c r="G167" s="1"/>
      <c r="H167" s="1"/>
    </row>
    <row r="168" spans="2:8" x14ac:dyDescent="0.2">
      <c r="B168" s="1"/>
      <c r="C168" s="1"/>
      <c r="D168" s="1"/>
      <c r="E168" s="1"/>
      <c r="F168" s="1"/>
      <c r="G168" s="1"/>
      <c r="H168" s="1"/>
    </row>
    <row r="169" spans="2:8" x14ac:dyDescent="0.2">
      <c r="B169" s="1"/>
      <c r="C169" s="1"/>
      <c r="D169" s="1"/>
      <c r="E169" s="1"/>
      <c r="F169" s="1"/>
      <c r="G169" s="1"/>
      <c r="H169" s="1"/>
    </row>
    <row r="170" spans="2:8" x14ac:dyDescent="0.2">
      <c r="B170" s="1"/>
      <c r="C170" s="1"/>
      <c r="D170" s="1"/>
      <c r="E170" s="1"/>
      <c r="F170" s="1"/>
      <c r="G170" s="1"/>
      <c r="H170" s="1"/>
    </row>
    <row r="171" spans="2:8" x14ac:dyDescent="0.2">
      <c r="B171" s="1"/>
      <c r="C171" s="1"/>
      <c r="D171" s="1"/>
      <c r="E171" s="1"/>
      <c r="F171" s="1"/>
      <c r="G171" s="1"/>
      <c r="H171" s="1"/>
    </row>
    <row r="172" spans="2:8" x14ac:dyDescent="0.2">
      <c r="B172" s="1"/>
      <c r="C172" s="1"/>
      <c r="D172" s="1"/>
      <c r="E172" s="1"/>
      <c r="F172" s="1"/>
      <c r="G172" s="1"/>
      <c r="H172" s="1"/>
    </row>
    <row r="173" spans="2:8" x14ac:dyDescent="0.2">
      <c r="B173" s="1"/>
      <c r="C173" s="1"/>
      <c r="D173" s="1"/>
      <c r="E173" s="1"/>
      <c r="F173" s="1"/>
      <c r="G173" s="1"/>
      <c r="H173" s="1"/>
    </row>
    <row r="174" spans="2:8" x14ac:dyDescent="0.2">
      <c r="B174" s="1"/>
      <c r="C174" s="1"/>
      <c r="D174" s="1"/>
      <c r="E174" s="1"/>
      <c r="F174" s="1"/>
      <c r="G174" s="1"/>
      <c r="H174" s="1"/>
    </row>
    <row r="175" spans="2:8" x14ac:dyDescent="0.2">
      <c r="B175" s="1"/>
      <c r="C175" s="1"/>
      <c r="D175" s="1"/>
      <c r="E175" s="1"/>
      <c r="F175" s="1"/>
      <c r="G175" s="1"/>
      <c r="H175" s="1"/>
    </row>
    <row r="176" spans="2:8" x14ac:dyDescent="0.2">
      <c r="B176" s="1"/>
      <c r="C176" s="1"/>
      <c r="D176" s="1"/>
      <c r="E176" s="1"/>
      <c r="F176" s="1"/>
      <c r="G176" s="1"/>
      <c r="H176" s="1"/>
    </row>
    <row r="177" spans="2:8" x14ac:dyDescent="0.2">
      <c r="B177" s="1"/>
      <c r="C177" s="1"/>
      <c r="D177" s="1"/>
      <c r="E177" s="1"/>
      <c r="F177" s="1"/>
      <c r="G177" s="1"/>
      <c r="H177" s="1"/>
    </row>
    <row r="178" spans="2:8" x14ac:dyDescent="0.2">
      <c r="B178" s="1"/>
      <c r="C178" s="1"/>
      <c r="D178" s="1"/>
      <c r="E178" s="1"/>
      <c r="F178" s="1"/>
      <c r="G178" s="1"/>
      <c r="H178" s="1"/>
    </row>
    <row r="179" spans="2:8" x14ac:dyDescent="0.2">
      <c r="B179" s="1"/>
      <c r="C179" s="1"/>
      <c r="D179" s="1"/>
      <c r="E179" s="1"/>
      <c r="F179" s="1"/>
      <c r="G179" s="1"/>
      <c r="H179" s="1"/>
    </row>
    <row r="180" spans="2:8" x14ac:dyDescent="0.2">
      <c r="B180" s="1"/>
      <c r="C180" s="1"/>
      <c r="D180" s="1"/>
      <c r="E180" s="1"/>
      <c r="F180" s="1"/>
      <c r="G180" s="1"/>
      <c r="H180" s="1"/>
    </row>
    <row r="181" spans="2:8" x14ac:dyDescent="0.2">
      <c r="B181" s="1"/>
      <c r="C181" s="1"/>
      <c r="D181" s="1"/>
      <c r="E181" s="1"/>
      <c r="F181" s="1"/>
      <c r="G181" s="1"/>
      <c r="H181" s="1"/>
    </row>
    <row r="182" spans="2:8" x14ac:dyDescent="0.2">
      <c r="B182" s="1"/>
      <c r="C182" s="1"/>
      <c r="D182" s="1"/>
      <c r="E182" s="1"/>
      <c r="F182" s="1"/>
      <c r="G182" s="1"/>
      <c r="H182" s="1"/>
    </row>
    <row r="183" spans="2:8" x14ac:dyDescent="0.2">
      <c r="B183" s="1"/>
      <c r="C183" s="1"/>
      <c r="D183" s="1"/>
      <c r="E183" s="1"/>
      <c r="F183" s="1"/>
      <c r="G183" s="1"/>
      <c r="H183" s="1"/>
    </row>
    <row r="184" spans="2:8" x14ac:dyDescent="0.2">
      <c r="B184" s="1"/>
      <c r="C184" s="1"/>
      <c r="D184" s="1"/>
      <c r="E184" s="1"/>
      <c r="F184" s="1"/>
      <c r="G184" s="1"/>
      <c r="H184" s="1"/>
    </row>
    <row r="185" spans="2:8" x14ac:dyDescent="0.2">
      <c r="B185" s="1"/>
      <c r="C185" s="1"/>
      <c r="D185" s="1"/>
      <c r="E185" s="1"/>
      <c r="F185" s="1"/>
      <c r="G185" s="1"/>
      <c r="H185" s="1"/>
    </row>
    <row r="186" spans="2:8" x14ac:dyDescent="0.2">
      <c r="B186" s="1"/>
      <c r="C186" s="1"/>
      <c r="D186" s="1"/>
      <c r="E186" s="1"/>
      <c r="F186" s="1"/>
      <c r="G186" s="1"/>
      <c r="H186" s="1"/>
    </row>
    <row r="187" spans="2:8" x14ac:dyDescent="0.2">
      <c r="B187" s="1"/>
      <c r="C187" s="1"/>
      <c r="D187" s="1"/>
      <c r="E187" s="1"/>
      <c r="F187" s="1"/>
      <c r="G187" s="1"/>
      <c r="H187" s="1"/>
    </row>
    <row r="188" spans="2:8" x14ac:dyDescent="0.2">
      <c r="B188" s="1"/>
      <c r="C188" s="1"/>
      <c r="D188" s="1"/>
      <c r="E188" s="1"/>
      <c r="F188" s="1"/>
      <c r="G188" s="1"/>
      <c r="H188" s="1"/>
    </row>
    <row r="189" spans="2:8" x14ac:dyDescent="0.2">
      <c r="B189" s="1"/>
      <c r="C189" s="1"/>
      <c r="D189" s="1"/>
      <c r="E189" s="1"/>
      <c r="F189" s="1"/>
      <c r="G189" s="1"/>
      <c r="H189" s="1"/>
    </row>
    <row r="190" spans="2:8" x14ac:dyDescent="0.2">
      <c r="B190" s="1"/>
      <c r="C190" s="1"/>
      <c r="D190" s="1"/>
      <c r="E190" s="1"/>
      <c r="F190" s="1"/>
      <c r="G190" s="1"/>
      <c r="H190" s="1"/>
    </row>
    <row r="191" spans="2:8" x14ac:dyDescent="0.2">
      <c r="B191" s="1"/>
      <c r="C191" s="1"/>
      <c r="D191" s="1"/>
      <c r="E191" s="1"/>
      <c r="F191" s="1"/>
      <c r="G191" s="1"/>
      <c r="H191" s="1"/>
    </row>
    <row r="192" spans="2:8" x14ac:dyDescent="0.2">
      <c r="B192" s="1"/>
      <c r="C192" s="1"/>
      <c r="D192" s="1"/>
      <c r="E192" s="1"/>
      <c r="F192" s="1"/>
      <c r="G192" s="1"/>
      <c r="H192" s="1"/>
    </row>
    <row r="193" spans="2:8" x14ac:dyDescent="0.2">
      <c r="B193" s="1"/>
      <c r="C193" s="1"/>
      <c r="D193" s="1"/>
      <c r="E193" s="1"/>
      <c r="F193" s="1"/>
      <c r="G193" s="1"/>
      <c r="H193" s="1"/>
    </row>
    <row r="194" spans="2:8" x14ac:dyDescent="0.2">
      <c r="B194" s="1"/>
      <c r="C194" s="1"/>
      <c r="D194" s="1"/>
      <c r="E194" s="1"/>
      <c r="F194" s="1"/>
      <c r="G194" s="1"/>
      <c r="H194" s="1"/>
    </row>
    <row r="195" spans="2:8" x14ac:dyDescent="0.2">
      <c r="B195" s="1"/>
      <c r="C195" s="1"/>
      <c r="D195" s="1"/>
      <c r="E195" s="1"/>
      <c r="F195" s="1"/>
      <c r="G195" s="1"/>
      <c r="H195" s="1"/>
    </row>
    <row r="196" spans="2:8" x14ac:dyDescent="0.2">
      <c r="B196" s="1"/>
      <c r="C196" s="1"/>
      <c r="D196" s="1"/>
      <c r="E196" s="1"/>
      <c r="F196" s="1"/>
      <c r="G196" s="1"/>
      <c r="H196" s="1"/>
    </row>
    <row r="197" spans="2:8" x14ac:dyDescent="0.2">
      <c r="B197" s="1"/>
      <c r="C197" s="1"/>
      <c r="D197" s="1"/>
      <c r="E197" s="1"/>
      <c r="F197" s="1"/>
      <c r="G197" s="1"/>
      <c r="H197" s="1"/>
    </row>
    <row r="198" spans="2:8" x14ac:dyDescent="0.2">
      <c r="B198" s="1"/>
      <c r="C198" s="1"/>
      <c r="D198" s="1"/>
      <c r="E198" s="1"/>
      <c r="F198" s="1"/>
      <c r="G198" s="1"/>
      <c r="H198" s="1"/>
    </row>
    <row r="199" spans="2:8" x14ac:dyDescent="0.2">
      <c r="B199" s="1"/>
      <c r="C199" s="1"/>
      <c r="D199" s="1"/>
      <c r="E199" s="1"/>
      <c r="F199" s="1"/>
      <c r="G199" s="1"/>
      <c r="H199" s="1"/>
    </row>
    <row r="200" spans="2:8" x14ac:dyDescent="0.2">
      <c r="B200" s="1"/>
      <c r="C200" s="1"/>
      <c r="D200" s="1"/>
      <c r="E200" s="1"/>
      <c r="F200" s="1"/>
      <c r="G200" s="1"/>
      <c r="H200" s="1"/>
    </row>
    <row r="201" spans="2:8" x14ac:dyDescent="0.2">
      <c r="B201" s="1"/>
      <c r="C201" s="1"/>
      <c r="D201" s="1"/>
      <c r="E201" s="1"/>
      <c r="F201" s="1"/>
      <c r="G201" s="1"/>
      <c r="H201" s="1"/>
    </row>
    <row r="202" spans="2:8" x14ac:dyDescent="0.2">
      <c r="B202" s="1"/>
      <c r="C202" s="1"/>
      <c r="D202" s="1"/>
      <c r="E202" s="1"/>
      <c r="F202" s="1"/>
      <c r="G202" s="1"/>
      <c r="H202" s="1"/>
    </row>
    <row r="203" spans="2:8" x14ac:dyDescent="0.2">
      <c r="B203" s="1"/>
      <c r="C203" s="1"/>
      <c r="D203" s="1"/>
      <c r="E203" s="1"/>
      <c r="F203" s="1"/>
      <c r="G203" s="1"/>
      <c r="H203" s="1"/>
    </row>
    <row r="204" spans="2:8" x14ac:dyDescent="0.2">
      <c r="B204" s="1"/>
      <c r="C204" s="1"/>
      <c r="D204" s="1"/>
      <c r="E204" s="1"/>
      <c r="F204" s="1"/>
      <c r="G204" s="1"/>
      <c r="H204" s="1"/>
    </row>
    <row r="205" spans="2:8" x14ac:dyDescent="0.2">
      <c r="B205" s="1"/>
      <c r="C205" s="1"/>
      <c r="D205" s="1"/>
      <c r="E205" s="1"/>
      <c r="F205" s="1"/>
      <c r="G205" s="1"/>
      <c r="H205" s="1"/>
    </row>
    <row r="206" spans="2:8" x14ac:dyDescent="0.2">
      <c r="B206" s="1"/>
      <c r="C206" s="1"/>
      <c r="D206" s="1"/>
      <c r="E206" s="1"/>
      <c r="F206" s="1"/>
      <c r="G206" s="1"/>
      <c r="H206" s="1"/>
    </row>
    <row r="207" spans="2:8" x14ac:dyDescent="0.2">
      <c r="B207" s="1"/>
      <c r="C207" s="1"/>
      <c r="D207" s="1"/>
      <c r="E207" s="1"/>
      <c r="F207" s="1"/>
      <c r="G207" s="1"/>
      <c r="H207" s="1"/>
    </row>
    <row r="208" spans="2:8" x14ac:dyDescent="0.2">
      <c r="B208" s="1"/>
      <c r="C208" s="1"/>
      <c r="D208" s="1"/>
      <c r="E208" s="1"/>
      <c r="F208" s="1"/>
      <c r="G208" s="1"/>
      <c r="H208" s="1"/>
    </row>
    <row r="209" spans="2:8" x14ac:dyDescent="0.2">
      <c r="B209" s="1"/>
      <c r="C209" s="1"/>
      <c r="D209" s="1"/>
      <c r="E209" s="1"/>
      <c r="F209" s="1"/>
      <c r="G209" s="1"/>
      <c r="H209" s="1"/>
    </row>
    <row r="210" spans="2:8" x14ac:dyDescent="0.2">
      <c r="B210" s="1"/>
      <c r="C210" s="1"/>
      <c r="D210" s="1"/>
      <c r="E210" s="1"/>
      <c r="F210" s="1"/>
      <c r="G210" s="1"/>
      <c r="H210" s="1"/>
    </row>
    <row r="211" spans="2:8" x14ac:dyDescent="0.2">
      <c r="B211" s="1"/>
      <c r="C211" s="1"/>
      <c r="D211" s="1"/>
      <c r="E211" s="1"/>
      <c r="F211" s="1"/>
      <c r="G211" s="1"/>
      <c r="H211" s="1"/>
    </row>
    <row r="212" spans="2:8" x14ac:dyDescent="0.2">
      <c r="B212" s="1"/>
      <c r="C212" s="1"/>
      <c r="D212" s="1"/>
      <c r="E212" s="1"/>
      <c r="F212" s="1"/>
      <c r="G212" s="1"/>
      <c r="H212" s="1"/>
    </row>
    <row r="213" spans="2:8" x14ac:dyDescent="0.2">
      <c r="B213" s="1"/>
      <c r="C213" s="1"/>
      <c r="D213" s="1"/>
      <c r="E213" s="1"/>
      <c r="F213" s="1"/>
      <c r="G213" s="1"/>
      <c r="H213" s="1"/>
    </row>
    <row r="214" spans="2:8" x14ac:dyDescent="0.2">
      <c r="B214" s="1"/>
      <c r="C214" s="1"/>
      <c r="D214" s="1"/>
      <c r="E214" s="1"/>
      <c r="F214" s="1"/>
      <c r="G214" s="1"/>
      <c r="H214" s="1"/>
    </row>
    <row r="215" spans="2:8" x14ac:dyDescent="0.2">
      <c r="B215" s="1"/>
      <c r="C215" s="1"/>
      <c r="D215" s="1"/>
      <c r="E215" s="1"/>
      <c r="F215" s="1"/>
      <c r="G215" s="1"/>
      <c r="H215" s="1"/>
    </row>
    <row r="216" spans="2:8" x14ac:dyDescent="0.2">
      <c r="B216" s="1"/>
      <c r="C216" s="1"/>
      <c r="D216" s="1"/>
      <c r="E216" s="1"/>
      <c r="F216" s="1"/>
      <c r="G216" s="1"/>
      <c r="H216" s="1"/>
    </row>
    <row r="217" spans="2:8" x14ac:dyDescent="0.2">
      <c r="B217" s="1"/>
      <c r="C217" s="1"/>
      <c r="D217" s="1"/>
      <c r="E217" s="1"/>
      <c r="F217" s="1"/>
      <c r="G217" s="1"/>
      <c r="H217" s="1"/>
    </row>
    <row r="218" spans="2:8" x14ac:dyDescent="0.2">
      <c r="B218" s="1"/>
      <c r="C218" s="1"/>
      <c r="D218" s="1"/>
      <c r="E218" s="1"/>
      <c r="F218" s="1"/>
      <c r="G218" s="1"/>
      <c r="H218" s="1"/>
    </row>
    <row r="219" spans="2:8" x14ac:dyDescent="0.2">
      <c r="B219" s="1"/>
      <c r="C219" s="1"/>
      <c r="D219" s="1"/>
      <c r="E219" s="1"/>
      <c r="F219" s="1"/>
      <c r="G219" s="1"/>
      <c r="H219" s="1"/>
    </row>
    <row r="220" spans="2:8" x14ac:dyDescent="0.2">
      <c r="B220" s="1"/>
      <c r="C220" s="1"/>
      <c r="D220" s="1"/>
      <c r="E220" s="1"/>
      <c r="F220" s="1"/>
      <c r="G220" s="1"/>
      <c r="H220" s="1"/>
    </row>
    <row r="221" spans="2:8" x14ac:dyDescent="0.2">
      <c r="B221" s="1"/>
      <c r="C221" s="1"/>
      <c r="D221" s="1"/>
      <c r="E221" s="1"/>
      <c r="F221" s="1"/>
      <c r="G221" s="1"/>
      <c r="H221" s="1"/>
    </row>
    <row r="222" spans="2:8" x14ac:dyDescent="0.2">
      <c r="B222" s="1"/>
      <c r="C222" s="1"/>
      <c r="D222" s="1"/>
      <c r="E222" s="1"/>
      <c r="F222" s="1"/>
      <c r="G222" s="1"/>
      <c r="H222" s="1"/>
    </row>
    <row r="223" spans="2:8" x14ac:dyDescent="0.2">
      <c r="B223" s="1"/>
      <c r="C223" s="1"/>
      <c r="D223" s="1"/>
      <c r="E223" s="1"/>
      <c r="F223" s="1"/>
      <c r="G223" s="1"/>
      <c r="H223" s="1"/>
    </row>
    <row r="224" spans="2:8" x14ac:dyDescent="0.2">
      <c r="B224" s="1"/>
      <c r="C224" s="1"/>
      <c r="D224" s="1"/>
      <c r="E224" s="1"/>
      <c r="F224" s="1"/>
      <c r="G224" s="1"/>
      <c r="H224" s="1"/>
    </row>
    <row r="225" spans="2:8" x14ac:dyDescent="0.2">
      <c r="B225" s="1"/>
      <c r="C225" s="1"/>
      <c r="D225" s="1"/>
      <c r="E225" s="1"/>
      <c r="F225" s="1"/>
      <c r="G225" s="1"/>
      <c r="H225" s="1"/>
    </row>
    <row r="226" spans="2:8" x14ac:dyDescent="0.2">
      <c r="B226" s="1"/>
      <c r="C226" s="1"/>
      <c r="D226" s="1"/>
      <c r="E226" s="1"/>
      <c r="F226" s="1"/>
      <c r="G226" s="1"/>
      <c r="H226" s="1"/>
    </row>
    <row r="227" spans="2:8" x14ac:dyDescent="0.2">
      <c r="B227" s="1"/>
      <c r="C227" s="1"/>
      <c r="D227" s="1"/>
      <c r="E227" s="1"/>
      <c r="F227" s="1"/>
      <c r="G227" s="1"/>
      <c r="H227" s="1"/>
    </row>
    <row r="228" spans="2:8" x14ac:dyDescent="0.2">
      <c r="B228" s="1"/>
      <c r="C228" s="1"/>
      <c r="D228" s="1"/>
      <c r="E228" s="1"/>
      <c r="F228" s="1"/>
      <c r="G228" s="1"/>
      <c r="H228" s="1"/>
    </row>
    <row r="229" spans="2:8" x14ac:dyDescent="0.2">
      <c r="B229" s="1"/>
      <c r="C229" s="1"/>
      <c r="D229" s="1"/>
      <c r="E229" s="1"/>
      <c r="F229" s="1"/>
      <c r="G229" s="1"/>
      <c r="H229" s="1"/>
    </row>
    <row r="230" spans="2:8" x14ac:dyDescent="0.2">
      <c r="B230" s="1"/>
      <c r="C230" s="1"/>
      <c r="D230" s="1"/>
      <c r="E230" s="1"/>
      <c r="F230" s="1"/>
      <c r="G230" s="1"/>
      <c r="H230" s="1"/>
    </row>
    <row r="231" spans="2:8" x14ac:dyDescent="0.2">
      <c r="B231" s="1"/>
      <c r="C231" s="1"/>
      <c r="D231" s="1"/>
      <c r="E231" s="1"/>
      <c r="F231" s="1"/>
      <c r="G231" s="1"/>
      <c r="H231" s="1"/>
    </row>
    <row r="232" spans="2:8" x14ac:dyDescent="0.2">
      <c r="B232" s="1"/>
      <c r="C232" s="1"/>
      <c r="D232" s="1"/>
      <c r="E232" s="1"/>
      <c r="F232" s="1"/>
      <c r="G232" s="1"/>
      <c r="H232" s="1"/>
    </row>
    <row r="233" spans="2:8" x14ac:dyDescent="0.2">
      <c r="B233" s="1"/>
      <c r="C233" s="1"/>
      <c r="D233" s="1"/>
      <c r="E233" s="1"/>
      <c r="F233" s="1"/>
      <c r="G233" s="1"/>
      <c r="H233" s="1"/>
    </row>
    <row r="234" spans="2:8" x14ac:dyDescent="0.2">
      <c r="B234" s="1"/>
      <c r="C234" s="1"/>
      <c r="D234" s="1"/>
      <c r="E234" s="1"/>
      <c r="F234" s="1"/>
      <c r="G234" s="1"/>
      <c r="H234" s="1"/>
    </row>
    <row r="235" spans="2:8" x14ac:dyDescent="0.2">
      <c r="B235" s="1"/>
      <c r="C235" s="1"/>
      <c r="D235" s="1"/>
      <c r="E235" s="1"/>
      <c r="F235" s="1"/>
      <c r="G235" s="1"/>
      <c r="H235" s="1"/>
    </row>
    <row r="236" spans="2:8" x14ac:dyDescent="0.2">
      <c r="B236" s="1"/>
      <c r="C236" s="1"/>
      <c r="D236" s="1"/>
      <c r="E236" s="1"/>
      <c r="F236" s="1"/>
      <c r="G236" s="1"/>
      <c r="H236" s="1"/>
    </row>
    <row r="237" spans="2:8" x14ac:dyDescent="0.2">
      <c r="B237" s="1"/>
      <c r="C237" s="1"/>
      <c r="D237" s="1"/>
      <c r="E237" s="1"/>
      <c r="F237" s="1"/>
      <c r="G237" s="1"/>
      <c r="H237" s="1"/>
    </row>
    <row r="238" spans="2:8" x14ac:dyDescent="0.2">
      <c r="B238" s="1"/>
      <c r="C238" s="1"/>
      <c r="D238" s="1"/>
      <c r="E238" s="1"/>
      <c r="F238" s="1"/>
      <c r="G238" s="1"/>
      <c r="H238" s="1"/>
    </row>
    <row r="239" spans="2:8" x14ac:dyDescent="0.2">
      <c r="B239" s="1"/>
      <c r="C239" s="1"/>
      <c r="D239" s="1"/>
      <c r="E239" s="1"/>
      <c r="F239" s="1"/>
      <c r="G239" s="1"/>
      <c r="H239" s="1"/>
    </row>
    <row r="240" spans="2:8" x14ac:dyDescent="0.2">
      <c r="B240" s="1"/>
      <c r="C240" s="1"/>
      <c r="D240" s="1"/>
      <c r="E240" s="1"/>
      <c r="F240" s="1"/>
      <c r="G240" s="1"/>
      <c r="H240" s="1"/>
    </row>
    <row r="241" spans="2:8" x14ac:dyDescent="0.2">
      <c r="B241" s="1"/>
      <c r="C241" s="1"/>
      <c r="D241" s="1"/>
      <c r="E241" s="1"/>
      <c r="F241" s="1"/>
      <c r="G241" s="1"/>
      <c r="H241" s="1"/>
    </row>
    <row r="242" spans="2:8" x14ac:dyDescent="0.2">
      <c r="B242" s="1"/>
      <c r="C242" s="1"/>
      <c r="D242" s="1"/>
      <c r="E242" s="1"/>
      <c r="F242" s="1"/>
      <c r="G242" s="1"/>
      <c r="H242" s="1"/>
    </row>
    <row r="243" spans="2:8" x14ac:dyDescent="0.2">
      <c r="B243" s="1"/>
      <c r="C243" s="1"/>
      <c r="D243" s="1"/>
      <c r="E243" s="1"/>
      <c r="F243" s="1"/>
      <c r="G243" s="1"/>
      <c r="H243" s="1"/>
    </row>
    <row r="244" spans="2:8" x14ac:dyDescent="0.2">
      <c r="B244" s="1"/>
      <c r="C244" s="1"/>
      <c r="D244" s="1"/>
      <c r="E244" s="1"/>
      <c r="F244" s="1"/>
      <c r="G244" s="1"/>
      <c r="H244" s="1"/>
    </row>
    <row r="245" spans="2:8" x14ac:dyDescent="0.2">
      <c r="B245" s="1"/>
      <c r="C245" s="1"/>
      <c r="D245" s="1"/>
      <c r="E245" s="1"/>
      <c r="F245" s="1"/>
      <c r="G245" s="1"/>
      <c r="H245" s="1"/>
    </row>
    <row r="246" spans="2:8" x14ac:dyDescent="0.2">
      <c r="B246" s="1"/>
      <c r="C246" s="1"/>
      <c r="D246" s="1"/>
      <c r="E246" s="1"/>
      <c r="F246" s="1"/>
      <c r="G246" s="1"/>
      <c r="H246" s="1"/>
    </row>
    <row r="247" spans="2:8" x14ac:dyDescent="0.2">
      <c r="B247" s="1"/>
      <c r="C247" s="1"/>
      <c r="D247" s="1"/>
      <c r="E247" s="1"/>
      <c r="F247" s="1"/>
      <c r="G247" s="1"/>
      <c r="H247" s="1"/>
    </row>
    <row r="248" spans="2:8" x14ac:dyDescent="0.2">
      <c r="B248" s="1"/>
      <c r="C248" s="1"/>
      <c r="D248" s="1"/>
      <c r="E248" s="1"/>
      <c r="F248" s="1"/>
      <c r="G248" s="1"/>
      <c r="H248" s="1"/>
    </row>
    <row r="249" spans="2:8" x14ac:dyDescent="0.2">
      <c r="B249" s="1"/>
      <c r="C249" s="1"/>
      <c r="D249" s="1"/>
      <c r="E249" s="1"/>
      <c r="F249" s="1"/>
      <c r="G249" s="1"/>
      <c r="H249" s="1"/>
    </row>
    <row r="250" spans="2:8" x14ac:dyDescent="0.2">
      <c r="B250" s="1"/>
      <c r="C250" s="1"/>
      <c r="D250" s="1"/>
      <c r="E250" s="1"/>
      <c r="F250" s="1"/>
      <c r="G250" s="1"/>
      <c r="H250" s="1"/>
    </row>
    <row r="251" spans="2:8" x14ac:dyDescent="0.2">
      <c r="B251" s="1"/>
      <c r="C251" s="1"/>
      <c r="D251" s="1"/>
      <c r="E251" s="1"/>
      <c r="F251" s="1"/>
      <c r="G251" s="1"/>
      <c r="H251" s="1"/>
    </row>
    <row r="252" spans="2:8" x14ac:dyDescent="0.2">
      <c r="B252" s="1"/>
      <c r="C252" s="1"/>
      <c r="D252" s="1"/>
      <c r="E252" s="1"/>
      <c r="F252" s="1"/>
      <c r="G252" s="1"/>
      <c r="H252" s="1"/>
    </row>
    <row r="253" spans="2:8" x14ac:dyDescent="0.2">
      <c r="B253" s="1"/>
      <c r="C253" s="1"/>
      <c r="D253" s="1"/>
      <c r="E253" s="1"/>
      <c r="F253" s="1"/>
      <c r="G253" s="1"/>
      <c r="H253" s="1"/>
    </row>
    <row r="254" spans="2:8" x14ac:dyDescent="0.2">
      <c r="B254" s="1"/>
      <c r="C254" s="1"/>
      <c r="D254" s="1"/>
      <c r="E254" s="1"/>
      <c r="F254" s="1"/>
      <c r="G254" s="1"/>
      <c r="H254" s="1"/>
    </row>
    <row r="255" spans="2:8" x14ac:dyDescent="0.2">
      <c r="B255" s="1"/>
      <c r="C255" s="1"/>
      <c r="D255" s="1"/>
      <c r="E255" s="1"/>
      <c r="F255" s="1"/>
      <c r="G255" s="1"/>
      <c r="H255" s="1"/>
    </row>
    <row r="256" spans="2:8" x14ac:dyDescent="0.2">
      <c r="B256" s="1"/>
      <c r="C256" s="1"/>
      <c r="D256" s="1"/>
      <c r="E256" s="1"/>
      <c r="F256" s="1"/>
      <c r="G256" s="1"/>
      <c r="H256" s="1"/>
    </row>
    <row r="257" spans="2:8" x14ac:dyDescent="0.2">
      <c r="B257" s="1"/>
      <c r="C257" s="1"/>
      <c r="D257" s="1"/>
      <c r="E257" s="1"/>
      <c r="F257" s="1"/>
      <c r="G257" s="1"/>
      <c r="H257" s="1"/>
    </row>
    <row r="258" spans="2:8" x14ac:dyDescent="0.2">
      <c r="B258" s="1"/>
      <c r="C258" s="1"/>
      <c r="D258" s="1"/>
      <c r="E258" s="1"/>
      <c r="F258" s="1"/>
      <c r="G258" s="1"/>
      <c r="H258" s="1"/>
    </row>
    <row r="259" spans="2:8" x14ac:dyDescent="0.2">
      <c r="B259" s="1"/>
      <c r="C259" s="1"/>
      <c r="D259" s="1"/>
      <c r="E259" s="1"/>
      <c r="F259" s="1"/>
      <c r="G259" s="1"/>
      <c r="H259" s="1"/>
    </row>
    <row r="260" spans="2:8" x14ac:dyDescent="0.2">
      <c r="B260" s="1"/>
      <c r="C260" s="1"/>
      <c r="D260" s="1"/>
      <c r="E260" s="1"/>
      <c r="F260" s="1"/>
      <c r="G260" s="1"/>
      <c r="H260" s="1"/>
    </row>
    <row r="261" spans="2:8" x14ac:dyDescent="0.2">
      <c r="B261" s="1"/>
      <c r="C261" s="1"/>
      <c r="D261" s="1"/>
      <c r="E261" s="1"/>
      <c r="F261" s="1"/>
      <c r="G261" s="1"/>
      <c r="H261" s="1"/>
    </row>
    <row r="262" spans="2:8" x14ac:dyDescent="0.2">
      <c r="B262" s="1"/>
      <c r="C262" s="1"/>
      <c r="D262" s="1"/>
      <c r="E262" s="1"/>
      <c r="F262" s="1"/>
      <c r="G262" s="1"/>
      <c r="H262" s="1"/>
    </row>
    <row r="263" spans="2:8" x14ac:dyDescent="0.2">
      <c r="B263" s="1"/>
      <c r="C263" s="1"/>
      <c r="D263" s="1"/>
      <c r="E263" s="1"/>
      <c r="F263" s="1"/>
      <c r="G263" s="1"/>
      <c r="H263" s="1"/>
    </row>
    <row r="264" spans="2:8" x14ac:dyDescent="0.2">
      <c r="B264" s="1"/>
      <c r="C264" s="1"/>
      <c r="D264" s="1"/>
      <c r="E264" s="1"/>
      <c r="F264" s="1"/>
      <c r="G264" s="1"/>
      <c r="H264" s="1"/>
    </row>
    <row r="265" spans="2:8" x14ac:dyDescent="0.2">
      <c r="B265" s="1"/>
      <c r="C265" s="1"/>
      <c r="D265" s="1"/>
      <c r="E265" s="1"/>
      <c r="F265" s="1"/>
      <c r="G265" s="1"/>
      <c r="H265" s="1"/>
    </row>
    <row r="266" spans="2:8" x14ac:dyDescent="0.2">
      <c r="B266" s="1"/>
      <c r="C266" s="1"/>
      <c r="D266" s="1"/>
      <c r="E266" s="1"/>
      <c r="F266" s="1"/>
      <c r="G266" s="1"/>
      <c r="H266" s="1"/>
    </row>
    <row r="267" spans="2:8" x14ac:dyDescent="0.2">
      <c r="B267" s="1"/>
      <c r="C267" s="1"/>
      <c r="D267" s="1"/>
      <c r="E267" s="1"/>
      <c r="F267" s="1"/>
      <c r="G267" s="1"/>
      <c r="H267" s="1"/>
    </row>
    <row r="268" spans="2:8" x14ac:dyDescent="0.2">
      <c r="B268" s="1"/>
      <c r="C268" s="1"/>
      <c r="D268" s="1"/>
      <c r="E268" s="1"/>
      <c r="F268" s="1"/>
      <c r="G268" s="1"/>
      <c r="H268" s="1"/>
    </row>
    <row r="269" spans="2:8" x14ac:dyDescent="0.2">
      <c r="B269" s="1"/>
      <c r="C269" s="1"/>
      <c r="D269" s="1"/>
      <c r="E269" s="1"/>
      <c r="F269" s="1"/>
      <c r="G269" s="1"/>
      <c r="H269" s="1"/>
    </row>
    <row r="270" spans="2:8" x14ac:dyDescent="0.2">
      <c r="B270" s="1"/>
      <c r="C270" s="1"/>
      <c r="D270" s="1"/>
      <c r="E270" s="1"/>
      <c r="F270" s="1"/>
      <c r="G270" s="1"/>
      <c r="H270" s="1"/>
    </row>
    <row r="271" spans="2:8" x14ac:dyDescent="0.2">
      <c r="B271" s="1"/>
      <c r="C271" s="1"/>
      <c r="D271" s="1"/>
      <c r="E271" s="1"/>
      <c r="F271" s="1"/>
      <c r="G271" s="1"/>
      <c r="H271" s="1"/>
    </row>
    <row r="272" spans="2:8" x14ac:dyDescent="0.2">
      <c r="B272" s="1"/>
      <c r="C272" s="1"/>
      <c r="D272" s="1"/>
      <c r="E272" s="1"/>
      <c r="F272" s="1"/>
      <c r="G272" s="1"/>
      <c r="H272" s="1"/>
    </row>
    <row r="273" spans="2:8" x14ac:dyDescent="0.2">
      <c r="B273" s="1"/>
      <c r="C273" s="1"/>
      <c r="D273" s="1"/>
      <c r="E273" s="1"/>
      <c r="F273" s="1"/>
      <c r="G273" s="1"/>
      <c r="H273" s="1"/>
    </row>
    <row r="274" spans="2:8" x14ac:dyDescent="0.2">
      <c r="B274" s="1"/>
      <c r="C274" s="1"/>
      <c r="D274" s="1"/>
      <c r="E274" s="1"/>
      <c r="F274" s="1"/>
      <c r="G274" s="1"/>
      <c r="H274" s="1"/>
    </row>
    <row r="275" spans="2:8" x14ac:dyDescent="0.2">
      <c r="B275" s="1"/>
      <c r="C275" s="1"/>
      <c r="D275" s="1"/>
      <c r="E275" s="1"/>
      <c r="F275" s="1"/>
      <c r="G275" s="1"/>
      <c r="H275" s="1"/>
    </row>
    <row r="276" spans="2:8" x14ac:dyDescent="0.2">
      <c r="B276" s="1"/>
      <c r="C276" s="1"/>
      <c r="D276" s="1"/>
      <c r="E276" s="1"/>
      <c r="F276" s="1"/>
      <c r="G276" s="1"/>
      <c r="H276" s="1"/>
    </row>
    <row r="277" spans="2:8" x14ac:dyDescent="0.2">
      <c r="B277" s="1"/>
      <c r="C277" s="1"/>
      <c r="D277" s="1"/>
      <c r="E277" s="1"/>
      <c r="F277" s="1"/>
      <c r="G277" s="1"/>
      <c r="H277" s="1"/>
    </row>
    <row r="278" spans="2:8" x14ac:dyDescent="0.2">
      <c r="B278" s="1"/>
      <c r="C278" s="1"/>
      <c r="D278" s="1"/>
      <c r="E278" s="1"/>
      <c r="F278" s="1"/>
      <c r="G278" s="1"/>
      <c r="H278" s="1"/>
    </row>
    <row r="279" spans="2:8" x14ac:dyDescent="0.2">
      <c r="B279" s="1"/>
      <c r="C279" s="1"/>
      <c r="D279" s="1"/>
      <c r="E279" s="1"/>
      <c r="F279" s="1"/>
      <c r="G279" s="1"/>
      <c r="H279" s="1"/>
    </row>
    <row r="280" spans="2:8" x14ac:dyDescent="0.2">
      <c r="B280" s="1"/>
      <c r="C280" s="1"/>
      <c r="D280" s="1"/>
      <c r="E280" s="1"/>
      <c r="F280" s="1"/>
      <c r="G280" s="1"/>
      <c r="H280" s="1"/>
    </row>
    <row r="281" spans="2:8" x14ac:dyDescent="0.2">
      <c r="B281" s="1"/>
      <c r="C281" s="1"/>
      <c r="D281" s="1"/>
      <c r="E281" s="1"/>
      <c r="F281" s="1"/>
      <c r="G281" s="1"/>
      <c r="H281" s="1"/>
    </row>
    <row r="282" spans="2:8" x14ac:dyDescent="0.2">
      <c r="B282" s="1"/>
      <c r="C282" s="1"/>
      <c r="D282" s="1"/>
      <c r="E282" s="1"/>
      <c r="F282" s="1"/>
      <c r="G282" s="1"/>
      <c r="H282" s="1"/>
    </row>
    <row r="283" spans="2:8" x14ac:dyDescent="0.2">
      <c r="B283" s="1"/>
      <c r="C283" s="1"/>
      <c r="D283" s="1"/>
      <c r="E283" s="1"/>
      <c r="F283" s="1"/>
      <c r="G283" s="1"/>
      <c r="H283" s="1"/>
    </row>
    <row r="284" spans="2:8" x14ac:dyDescent="0.2">
      <c r="B284" s="1"/>
      <c r="C284" s="1"/>
      <c r="D284" s="1"/>
      <c r="E284" s="1"/>
      <c r="F284" s="1"/>
      <c r="G284" s="1"/>
      <c r="H284" s="1"/>
    </row>
    <row r="285" spans="2:8" x14ac:dyDescent="0.2">
      <c r="B285" s="1"/>
      <c r="C285" s="1"/>
      <c r="D285" s="1"/>
      <c r="E285" s="1"/>
      <c r="F285" s="1"/>
      <c r="G285" s="1"/>
      <c r="H285" s="1"/>
    </row>
    <row r="286" spans="2:8" x14ac:dyDescent="0.2">
      <c r="B286" s="1"/>
      <c r="C286" s="1"/>
      <c r="D286" s="1"/>
      <c r="E286" s="1"/>
      <c r="F286" s="1"/>
      <c r="G286" s="1"/>
      <c r="H286" s="1"/>
    </row>
    <row r="287" spans="2:8" x14ac:dyDescent="0.2">
      <c r="B287" s="1"/>
      <c r="C287" s="1"/>
      <c r="D287" s="1"/>
      <c r="E287" s="1"/>
      <c r="F287" s="1"/>
      <c r="G287" s="1"/>
      <c r="H287" s="1"/>
    </row>
    <row r="288" spans="2:8" x14ac:dyDescent="0.2">
      <c r="B288" s="1"/>
      <c r="C288" s="1"/>
      <c r="D288" s="1"/>
      <c r="E288" s="1"/>
      <c r="F288" s="1"/>
      <c r="G288" s="1"/>
      <c r="H288" s="1"/>
    </row>
    <row r="289" spans="2:8" x14ac:dyDescent="0.2">
      <c r="B289" s="1"/>
      <c r="C289" s="1"/>
      <c r="D289" s="1"/>
      <c r="E289" s="1"/>
      <c r="F289" s="1"/>
      <c r="G289" s="1"/>
      <c r="H289" s="1"/>
    </row>
    <row r="290" spans="2:8" x14ac:dyDescent="0.2">
      <c r="B290" s="1"/>
      <c r="C290" s="1"/>
      <c r="D290" s="1"/>
      <c r="E290" s="1"/>
      <c r="F290" s="1"/>
      <c r="G290" s="1"/>
      <c r="H290" s="1"/>
    </row>
    <row r="291" spans="2:8" x14ac:dyDescent="0.2">
      <c r="B291" s="1"/>
      <c r="C291" s="1"/>
      <c r="D291" s="1"/>
      <c r="E291" s="1"/>
      <c r="F291" s="1"/>
      <c r="G291" s="1"/>
      <c r="H291" s="1"/>
    </row>
    <row r="292" spans="2:8" x14ac:dyDescent="0.2">
      <c r="B292" s="1"/>
      <c r="C292" s="1"/>
      <c r="D292" s="1"/>
      <c r="E292" s="1"/>
      <c r="F292" s="1"/>
      <c r="G292" s="1"/>
      <c r="H292" s="1"/>
    </row>
    <row r="293" spans="2:8" x14ac:dyDescent="0.2">
      <c r="B293" s="1"/>
      <c r="C293" s="1"/>
      <c r="D293" s="1"/>
      <c r="E293" s="1"/>
      <c r="F293" s="1"/>
      <c r="G293" s="1"/>
      <c r="H293" s="1"/>
    </row>
    <row r="294" spans="2:8" x14ac:dyDescent="0.2">
      <c r="B294" s="1"/>
      <c r="C294" s="1"/>
      <c r="D294" s="1"/>
      <c r="E294" s="1"/>
      <c r="F294" s="1"/>
      <c r="G294" s="1"/>
      <c r="H294" s="1"/>
    </row>
    <row r="295" spans="2:8" x14ac:dyDescent="0.2">
      <c r="B295" s="1"/>
      <c r="C295" s="1"/>
      <c r="D295" s="1"/>
      <c r="E295" s="1"/>
      <c r="F295" s="1"/>
      <c r="G295" s="1"/>
      <c r="H295" s="1"/>
    </row>
    <row r="296" spans="2:8" x14ac:dyDescent="0.2">
      <c r="B296" s="1"/>
      <c r="C296" s="1"/>
      <c r="D296" s="1"/>
      <c r="E296" s="1"/>
      <c r="F296" s="1"/>
      <c r="G296" s="1"/>
      <c r="H296" s="1"/>
    </row>
    <row r="297" spans="2:8" x14ac:dyDescent="0.2">
      <c r="B297" s="1"/>
      <c r="C297" s="1"/>
      <c r="D297" s="1"/>
      <c r="E297" s="1"/>
      <c r="F297" s="1"/>
      <c r="G297" s="1"/>
      <c r="H297" s="1"/>
    </row>
    <row r="298" spans="2:8" x14ac:dyDescent="0.2">
      <c r="B298" s="1"/>
      <c r="C298" s="1"/>
      <c r="D298" s="1"/>
      <c r="E298" s="1"/>
      <c r="F298" s="1"/>
      <c r="G298" s="1"/>
      <c r="H298" s="1"/>
    </row>
    <row r="299" spans="2:8" x14ac:dyDescent="0.2">
      <c r="B299" s="1"/>
      <c r="C299" s="1"/>
      <c r="D299" s="1"/>
      <c r="E299" s="1"/>
      <c r="F299" s="1"/>
      <c r="G299" s="1"/>
      <c r="H299" s="1"/>
    </row>
    <row r="300" spans="2:8" x14ac:dyDescent="0.2">
      <c r="B300" s="1"/>
      <c r="C300" s="1"/>
      <c r="D300" s="1"/>
      <c r="E300" s="1"/>
      <c r="F300" s="1"/>
      <c r="G300" s="1"/>
      <c r="H300" s="1"/>
    </row>
    <row r="301" spans="2:8" x14ac:dyDescent="0.2">
      <c r="B301" s="1"/>
      <c r="C301" s="1"/>
      <c r="D301" s="1"/>
      <c r="E301" s="1"/>
      <c r="F301" s="1"/>
      <c r="G301" s="1"/>
      <c r="H301" s="1"/>
    </row>
    <row r="302" spans="2:8" x14ac:dyDescent="0.2">
      <c r="B302" s="1"/>
      <c r="C302" s="1"/>
      <c r="D302" s="1"/>
      <c r="E302" s="1"/>
      <c r="F302" s="1"/>
      <c r="G302" s="1"/>
      <c r="H302" s="1"/>
    </row>
    <row r="303" spans="2:8" x14ac:dyDescent="0.2">
      <c r="B303" s="1"/>
      <c r="C303" s="1"/>
      <c r="D303" s="1"/>
      <c r="E303" s="1"/>
      <c r="F303" s="1"/>
      <c r="G303" s="1"/>
      <c r="H303" s="1"/>
    </row>
    <row r="304" spans="2:8" x14ac:dyDescent="0.2">
      <c r="B304" s="1"/>
      <c r="C304" s="1"/>
      <c r="D304" s="1"/>
      <c r="E304" s="1"/>
      <c r="F304" s="1"/>
      <c r="G304" s="1"/>
      <c r="H304" s="1"/>
    </row>
    <row r="305" spans="2:8" x14ac:dyDescent="0.2">
      <c r="B305" s="1"/>
      <c r="C305" s="1"/>
      <c r="D305" s="1"/>
      <c r="E305" s="1"/>
      <c r="F305" s="1"/>
      <c r="G305" s="1"/>
      <c r="H305" s="1"/>
    </row>
    <row r="306" spans="2:8" x14ac:dyDescent="0.2">
      <c r="B306" s="1"/>
      <c r="C306" s="1"/>
      <c r="D306" s="1"/>
      <c r="E306" s="1"/>
      <c r="F306" s="1"/>
      <c r="G306" s="1"/>
      <c r="H306" s="1"/>
    </row>
    <row r="307" spans="2:8" x14ac:dyDescent="0.2">
      <c r="B307" s="1"/>
      <c r="C307" s="1"/>
      <c r="D307" s="1"/>
      <c r="E307" s="1"/>
      <c r="F307" s="1"/>
      <c r="G307" s="1"/>
      <c r="H307" s="1"/>
    </row>
    <row r="308" spans="2:8" x14ac:dyDescent="0.2">
      <c r="B308" s="1"/>
      <c r="C308" s="1"/>
      <c r="D308" s="1"/>
      <c r="E308" s="1"/>
      <c r="F308" s="1"/>
      <c r="G308" s="1"/>
      <c r="H308" s="1"/>
    </row>
    <row r="309" spans="2:8" x14ac:dyDescent="0.2">
      <c r="B309" s="1"/>
      <c r="C309" s="1"/>
      <c r="D309" s="1"/>
      <c r="E309" s="1"/>
      <c r="F309" s="1"/>
      <c r="G309" s="1"/>
      <c r="H309" s="1"/>
    </row>
    <row r="310" spans="2:8" x14ac:dyDescent="0.2">
      <c r="B310" s="1"/>
      <c r="C310" s="1"/>
      <c r="D310" s="1"/>
      <c r="E310" s="1"/>
      <c r="F310" s="1"/>
      <c r="G310" s="1"/>
      <c r="H310" s="1"/>
    </row>
    <row r="311" spans="2:8" x14ac:dyDescent="0.2">
      <c r="B311" s="1"/>
      <c r="C311" s="1"/>
      <c r="D311" s="1"/>
      <c r="E311" s="1"/>
      <c r="F311" s="1"/>
      <c r="G311" s="1"/>
      <c r="H311" s="1"/>
    </row>
    <row r="312" spans="2:8" x14ac:dyDescent="0.2">
      <c r="B312" s="1"/>
      <c r="C312" s="1"/>
      <c r="D312" s="1"/>
      <c r="E312" s="1"/>
      <c r="F312" s="1"/>
      <c r="G312" s="1"/>
      <c r="H312" s="1"/>
    </row>
    <row r="313" spans="2:8" x14ac:dyDescent="0.2">
      <c r="B313" s="1"/>
      <c r="C313" s="1"/>
      <c r="D313" s="1"/>
      <c r="E313" s="1"/>
      <c r="F313" s="1"/>
      <c r="G313" s="1"/>
      <c r="H313" s="1"/>
    </row>
    <row r="314" spans="2:8" x14ac:dyDescent="0.2">
      <c r="B314" s="1"/>
      <c r="C314" s="1"/>
      <c r="D314" s="1"/>
      <c r="E314" s="1"/>
      <c r="F314" s="1"/>
      <c r="G314" s="1"/>
      <c r="H314" s="1"/>
    </row>
    <row r="315" spans="2:8" x14ac:dyDescent="0.2">
      <c r="B315" s="1"/>
      <c r="C315" s="1"/>
      <c r="D315" s="1"/>
      <c r="E315" s="1"/>
      <c r="F315" s="1"/>
      <c r="G315" s="1"/>
      <c r="H315" s="1"/>
    </row>
    <row r="316" spans="2:8" x14ac:dyDescent="0.2">
      <c r="B316" s="1"/>
      <c r="C316" s="1"/>
      <c r="D316" s="1"/>
      <c r="E316" s="1"/>
      <c r="F316" s="1"/>
      <c r="G316" s="1"/>
      <c r="H316" s="1"/>
    </row>
    <row r="317" spans="2:8" x14ac:dyDescent="0.2">
      <c r="B317" s="1"/>
      <c r="C317" s="1"/>
      <c r="D317" s="1"/>
      <c r="E317" s="1"/>
      <c r="F317" s="1"/>
      <c r="G317" s="1"/>
      <c r="H317" s="1"/>
    </row>
    <row r="318" spans="2:8" x14ac:dyDescent="0.2">
      <c r="B318" s="1"/>
      <c r="C318" s="1"/>
      <c r="D318" s="1"/>
      <c r="E318" s="1"/>
      <c r="F318" s="1"/>
      <c r="G318" s="1"/>
      <c r="H318" s="1"/>
    </row>
    <row r="319" spans="2:8" x14ac:dyDescent="0.2">
      <c r="B319" s="1"/>
      <c r="C319" s="1"/>
      <c r="D319" s="1"/>
      <c r="E319" s="1"/>
      <c r="F319" s="1"/>
      <c r="G319" s="1"/>
      <c r="H319" s="1"/>
    </row>
    <row r="320" spans="2:8" x14ac:dyDescent="0.2">
      <c r="B320" s="1"/>
      <c r="C320" s="1"/>
      <c r="D320" s="1"/>
      <c r="E320" s="1"/>
      <c r="F320" s="1"/>
      <c r="G320" s="1"/>
      <c r="H320" s="1"/>
    </row>
    <row r="321" spans="2:8" x14ac:dyDescent="0.2">
      <c r="B321" s="1"/>
      <c r="C321" s="1"/>
      <c r="D321" s="1"/>
      <c r="E321" s="1"/>
      <c r="F321" s="1"/>
      <c r="G321" s="1"/>
      <c r="H321" s="1"/>
    </row>
    <row r="322" spans="2:8" x14ac:dyDescent="0.2">
      <c r="B322" s="1"/>
      <c r="C322" s="1"/>
      <c r="D322" s="1"/>
      <c r="E322" s="1"/>
      <c r="F322" s="1"/>
      <c r="G322" s="1"/>
      <c r="H322" s="1"/>
    </row>
    <row r="323" spans="2:8" x14ac:dyDescent="0.2">
      <c r="B323" s="1"/>
      <c r="C323" s="1"/>
      <c r="D323" s="1"/>
      <c r="E323" s="1"/>
      <c r="F323" s="1"/>
      <c r="G323" s="1"/>
      <c r="H323" s="1"/>
    </row>
    <row r="324" spans="2:8" x14ac:dyDescent="0.2">
      <c r="B324" s="1"/>
      <c r="C324" s="1"/>
      <c r="D324" s="1"/>
      <c r="E324" s="1"/>
      <c r="F324" s="1"/>
      <c r="G324" s="1"/>
      <c r="H324" s="1"/>
    </row>
    <row r="325" spans="2:8" x14ac:dyDescent="0.2">
      <c r="B325" s="1"/>
      <c r="C325" s="1"/>
      <c r="D325" s="1"/>
      <c r="E325" s="1"/>
      <c r="F325" s="1"/>
      <c r="G325" s="1"/>
      <c r="H325" s="1"/>
    </row>
    <row r="326" spans="2:8" x14ac:dyDescent="0.2">
      <c r="B326" s="1"/>
      <c r="C326" s="1"/>
      <c r="D326" s="1"/>
      <c r="E326" s="1"/>
      <c r="F326" s="1"/>
      <c r="G326" s="1"/>
      <c r="H326" s="1"/>
    </row>
    <row r="327" spans="2:8" x14ac:dyDescent="0.2">
      <c r="B327" s="1"/>
      <c r="C327" s="1"/>
      <c r="D327" s="1"/>
      <c r="E327" s="1"/>
      <c r="F327" s="1"/>
      <c r="G327" s="1"/>
      <c r="H327" s="1"/>
    </row>
    <row r="328" spans="2:8" x14ac:dyDescent="0.2">
      <c r="B328" s="1"/>
      <c r="C328" s="1"/>
      <c r="D328" s="1"/>
      <c r="E328" s="1"/>
      <c r="F328" s="1"/>
      <c r="G328" s="1"/>
      <c r="H328" s="1"/>
    </row>
    <row r="329" spans="2:8" x14ac:dyDescent="0.2">
      <c r="B329" s="1"/>
      <c r="C329" s="1"/>
      <c r="D329" s="1"/>
      <c r="E329" s="1"/>
      <c r="F329" s="1"/>
      <c r="G329" s="1"/>
      <c r="H329" s="1"/>
    </row>
    <row r="330" spans="2:8" x14ac:dyDescent="0.2">
      <c r="B330" s="1"/>
      <c r="C330" s="1"/>
      <c r="D330" s="1"/>
      <c r="E330" s="1"/>
      <c r="F330" s="1"/>
      <c r="G330" s="1"/>
      <c r="H330" s="1"/>
    </row>
    <row r="331" spans="2:8" x14ac:dyDescent="0.2">
      <c r="B331" s="1"/>
      <c r="C331" s="1"/>
      <c r="D331" s="1"/>
      <c r="E331" s="1"/>
      <c r="F331" s="1"/>
      <c r="G331" s="1"/>
      <c r="H331" s="1"/>
    </row>
    <row r="332" spans="2:8" x14ac:dyDescent="0.2">
      <c r="B332" s="1"/>
      <c r="C332" s="1"/>
      <c r="D332" s="1"/>
      <c r="E332" s="1"/>
      <c r="F332" s="1"/>
      <c r="G332" s="1"/>
      <c r="H332" s="1"/>
    </row>
    <row r="333" spans="2:8" x14ac:dyDescent="0.2">
      <c r="B333" s="1"/>
      <c r="C333" s="1"/>
      <c r="D333" s="1"/>
      <c r="E333" s="1"/>
      <c r="F333" s="1"/>
      <c r="G333" s="1"/>
      <c r="H333" s="1"/>
    </row>
    <row r="334" spans="2:8" x14ac:dyDescent="0.2">
      <c r="B334" s="1"/>
      <c r="C334" s="1"/>
      <c r="D334" s="1"/>
      <c r="E334" s="1"/>
      <c r="F334" s="1"/>
      <c r="G334" s="1"/>
      <c r="H334" s="1"/>
    </row>
    <row r="335" spans="2:8" x14ac:dyDescent="0.2">
      <c r="B335" s="1"/>
      <c r="C335" s="1"/>
      <c r="D335" s="1"/>
      <c r="E335" s="1"/>
      <c r="F335" s="1"/>
      <c r="G335" s="1"/>
      <c r="H335" s="1"/>
    </row>
    <row r="336" spans="2:8" x14ac:dyDescent="0.2">
      <c r="B336" s="1"/>
      <c r="C336" s="1"/>
      <c r="D336" s="1"/>
      <c r="E336" s="1"/>
      <c r="F336" s="1"/>
      <c r="G336" s="1"/>
      <c r="H336" s="1"/>
    </row>
    <row r="337" spans="2:8" x14ac:dyDescent="0.2">
      <c r="B337" s="1"/>
      <c r="C337" s="1"/>
      <c r="D337" s="1"/>
      <c r="E337" s="1"/>
      <c r="F337" s="1"/>
      <c r="G337" s="1"/>
      <c r="H337" s="1"/>
    </row>
    <row r="338" spans="2:8" x14ac:dyDescent="0.2">
      <c r="B338" s="1"/>
      <c r="C338" s="1"/>
      <c r="D338" s="1"/>
      <c r="E338" s="1"/>
      <c r="F338" s="1"/>
      <c r="G338" s="1"/>
      <c r="H338" s="1"/>
    </row>
    <row r="339" spans="2:8" x14ac:dyDescent="0.2">
      <c r="B339" s="1"/>
      <c r="C339" s="1"/>
      <c r="D339" s="1"/>
      <c r="E339" s="1"/>
      <c r="F339" s="1"/>
      <c r="G339" s="1"/>
      <c r="H339" s="1"/>
    </row>
    <row r="340" spans="2:8" x14ac:dyDescent="0.2">
      <c r="B340" s="1"/>
      <c r="C340" s="1"/>
      <c r="D340" s="1"/>
      <c r="E340" s="1"/>
      <c r="F340" s="1"/>
      <c r="G340" s="1"/>
      <c r="H340" s="1"/>
    </row>
    <row r="341" spans="2:8" x14ac:dyDescent="0.2">
      <c r="B341" s="1"/>
      <c r="C341" s="1"/>
      <c r="D341" s="1"/>
      <c r="E341" s="1"/>
      <c r="F341" s="1"/>
      <c r="G341" s="1"/>
      <c r="H341" s="1"/>
    </row>
    <row r="342" spans="2:8" x14ac:dyDescent="0.2">
      <c r="B342" s="1"/>
      <c r="C342" s="1"/>
      <c r="D342" s="1"/>
      <c r="E342" s="1"/>
      <c r="F342" s="1"/>
      <c r="G342" s="1"/>
      <c r="H342" s="1"/>
    </row>
    <row r="343" spans="2:8" x14ac:dyDescent="0.2">
      <c r="B343" s="1"/>
      <c r="C343" s="1"/>
      <c r="D343" s="1"/>
      <c r="E343" s="1"/>
      <c r="F343" s="1"/>
      <c r="G343" s="1"/>
      <c r="H343" s="1"/>
    </row>
    <row r="344" spans="2:8" x14ac:dyDescent="0.2">
      <c r="B344" s="1"/>
      <c r="C344" s="1"/>
      <c r="D344" s="1"/>
      <c r="E344" s="1"/>
      <c r="F344" s="1"/>
      <c r="G344" s="1"/>
      <c r="H344" s="1"/>
    </row>
    <row r="345" spans="2:8" x14ac:dyDescent="0.2">
      <c r="B345" s="1"/>
      <c r="C345" s="1"/>
      <c r="D345" s="1"/>
      <c r="E345" s="1"/>
      <c r="F345" s="1"/>
      <c r="G345" s="1"/>
      <c r="H345" s="1"/>
    </row>
    <row r="346" spans="2:8" x14ac:dyDescent="0.2">
      <c r="B346" s="1"/>
      <c r="C346" s="1"/>
      <c r="D346" s="1"/>
      <c r="E346" s="1"/>
      <c r="F346" s="1"/>
      <c r="G346" s="1"/>
      <c r="H346" s="1"/>
    </row>
    <row r="347" spans="2:8" x14ac:dyDescent="0.2">
      <c r="B347" s="1"/>
      <c r="C347" s="1"/>
      <c r="D347" s="1"/>
      <c r="E347" s="1"/>
      <c r="F347" s="1"/>
      <c r="G347" s="1"/>
      <c r="H347" s="1"/>
    </row>
    <row r="348" spans="2:8" x14ac:dyDescent="0.2">
      <c r="B348" s="1"/>
      <c r="C348" s="1"/>
      <c r="D348" s="1"/>
      <c r="E348" s="1"/>
      <c r="F348" s="1"/>
      <c r="G348" s="1"/>
      <c r="H348" s="1"/>
    </row>
    <row r="349" spans="2:8" x14ac:dyDescent="0.2">
      <c r="B349" s="1"/>
      <c r="C349" s="1"/>
      <c r="D349" s="1"/>
      <c r="E349" s="1"/>
      <c r="F349" s="1"/>
      <c r="G349" s="1"/>
      <c r="H349" s="1"/>
    </row>
    <row r="350" spans="2:8" x14ac:dyDescent="0.2">
      <c r="B350" s="1"/>
      <c r="C350" s="1"/>
      <c r="D350" s="1"/>
      <c r="E350" s="1"/>
      <c r="F350" s="1"/>
      <c r="G350" s="1"/>
      <c r="H350" s="1"/>
    </row>
    <row r="351" spans="2:8" x14ac:dyDescent="0.2">
      <c r="B351" s="1"/>
      <c r="C351" s="1"/>
      <c r="D351" s="1"/>
      <c r="E351" s="1"/>
      <c r="F351" s="1"/>
      <c r="G351" s="1"/>
      <c r="H351" s="1"/>
    </row>
    <row r="352" spans="2:8" x14ac:dyDescent="0.2">
      <c r="B352" s="1"/>
      <c r="C352" s="1"/>
      <c r="D352" s="1"/>
      <c r="E352" s="1"/>
      <c r="F352" s="1"/>
      <c r="G352" s="1"/>
      <c r="H352" s="1"/>
    </row>
    <row r="353" spans="2:8" x14ac:dyDescent="0.2">
      <c r="B353" s="1"/>
      <c r="C353" s="1"/>
      <c r="D353" s="1"/>
      <c r="E353" s="1"/>
      <c r="F353" s="1"/>
      <c r="G353" s="1"/>
      <c r="H353" s="1"/>
    </row>
    <row r="354" spans="2:8" x14ac:dyDescent="0.2">
      <c r="B354" s="1"/>
      <c r="C354" s="1"/>
      <c r="D354" s="1"/>
      <c r="E354" s="1"/>
      <c r="F354" s="1"/>
      <c r="G354" s="1"/>
      <c r="H354" s="1"/>
    </row>
    <row r="355" spans="2:8" x14ac:dyDescent="0.2">
      <c r="B355" s="1"/>
      <c r="C355" s="1"/>
      <c r="D355" s="1"/>
      <c r="E355" s="1"/>
      <c r="F355" s="1"/>
      <c r="G355" s="1"/>
      <c r="H355" s="1"/>
    </row>
    <row r="356" spans="2:8" x14ac:dyDescent="0.2">
      <c r="B356" s="1"/>
      <c r="C356" s="1"/>
      <c r="D356" s="1"/>
      <c r="E356" s="1"/>
      <c r="F356" s="1"/>
      <c r="G356" s="1"/>
      <c r="H356" s="1"/>
    </row>
    <row r="357" spans="2:8" x14ac:dyDescent="0.2">
      <c r="B357" s="1"/>
      <c r="C357" s="1"/>
      <c r="D357" s="1"/>
      <c r="E357" s="1"/>
      <c r="F357" s="1"/>
      <c r="G357" s="1"/>
      <c r="H357" s="1"/>
    </row>
    <row r="358" spans="2:8" x14ac:dyDescent="0.2">
      <c r="B358" s="1"/>
      <c r="C358" s="1"/>
      <c r="D358" s="1"/>
      <c r="E358" s="1"/>
      <c r="F358" s="1"/>
      <c r="G358" s="1"/>
      <c r="H358" s="1"/>
    </row>
    <row r="359" spans="2:8" x14ac:dyDescent="0.2">
      <c r="B359" s="1"/>
      <c r="C359" s="1"/>
      <c r="D359" s="1"/>
      <c r="E359" s="1"/>
      <c r="F359" s="1"/>
      <c r="G359" s="1"/>
      <c r="H359" s="1"/>
    </row>
    <row r="360" spans="2:8" x14ac:dyDescent="0.2">
      <c r="B360" s="1"/>
      <c r="C360" s="1"/>
      <c r="D360" s="1"/>
      <c r="E360" s="1"/>
      <c r="F360" s="1"/>
      <c r="G360" s="1"/>
      <c r="H360" s="1"/>
    </row>
    <row r="361" spans="2:8" x14ac:dyDescent="0.2">
      <c r="B361" s="1"/>
      <c r="C361" s="1"/>
      <c r="D361" s="1"/>
      <c r="E361" s="1"/>
      <c r="F361" s="1"/>
      <c r="G361" s="1"/>
      <c r="H361" s="1"/>
    </row>
    <row r="362" spans="2:8" x14ac:dyDescent="0.2">
      <c r="B362" s="1"/>
      <c r="C362" s="1"/>
      <c r="D362" s="1"/>
      <c r="E362" s="1"/>
      <c r="F362" s="1"/>
      <c r="G362" s="1"/>
      <c r="H362" s="1"/>
    </row>
    <row r="363" spans="2:8" x14ac:dyDescent="0.2">
      <c r="B363" s="1"/>
      <c r="C363" s="1"/>
      <c r="D363" s="1"/>
      <c r="E363" s="1"/>
      <c r="F363" s="1"/>
      <c r="G363" s="1"/>
      <c r="H363" s="1"/>
    </row>
    <row r="364" spans="2:8" x14ac:dyDescent="0.2">
      <c r="B364" s="1"/>
      <c r="C364" s="1"/>
      <c r="D364" s="1"/>
      <c r="E364" s="1"/>
      <c r="F364" s="1"/>
      <c r="G364" s="1"/>
      <c r="H364" s="1"/>
    </row>
    <row r="365" spans="2:8" x14ac:dyDescent="0.2">
      <c r="B365" s="1"/>
      <c r="C365" s="1"/>
      <c r="D365" s="1"/>
      <c r="E365" s="1"/>
      <c r="F365" s="1"/>
      <c r="G365" s="1"/>
      <c r="H365" s="1"/>
    </row>
    <row r="366" spans="2:8" x14ac:dyDescent="0.2">
      <c r="B366" s="1"/>
      <c r="C366" s="1"/>
      <c r="D366" s="1"/>
      <c r="E366" s="1"/>
      <c r="F366" s="1"/>
      <c r="G366" s="1"/>
      <c r="H366" s="1"/>
    </row>
    <row r="367" spans="2:8" x14ac:dyDescent="0.2">
      <c r="B367" s="1"/>
      <c r="C367" s="1"/>
      <c r="D367" s="1"/>
      <c r="E367" s="1"/>
      <c r="F367" s="1"/>
      <c r="G367" s="1"/>
      <c r="H367" s="1"/>
    </row>
    <row r="368" spans="2:8" x14ac:dyDescent="0.2">
      <c r="B368" s="1"/>
      <c r="C368" s="1"/>
      <c r="D368" s="1"/>
      <c r="E368" s="1"/>
      <c r="F368" s="1"/>
      <c r="G368" s="1"/>
      <c r="H368" s="1"/>
    </row>
    <row r="369" spans="2:8" x14ac:dyDescent="0.2">
      <c r="B369" s="1"/>
      <c r="C369" s="1"/>
      <c r="D369" s="1"/>
      <c r="E369" s="1"/>
      <c r="F369" s="1"/>
      <c r="G369" s="1"/>
      <c r="H369" s="1"/>
    </row>
    <row r="370" spans="2:8" x14ac:dyDescent="0.2">
      <c r="B370" s="1"/>
      <c r="C370" s="1"/>
      <c r="D370" s="1"/>
      <c r="E370" s="1"/>
      <c r="F370" s="1"/>
      <c r="G370" s="1"/>
      <c r="H370" s="1"/>
    </row>
    <row r="371" spans="2:8" x14ac:dyDescent="0.2">
      <c r="B371" s="1"/>
      <c r="C371" s="1"/>
      <c r="D371" s="1"/>
      <c r="E371" s="1"/>
      <c r="F371" s="1"/>
      <c r="G371" s="1"/>
      <c r="H371" s="1"/>
    </row>
    <row r="372" spans="2:8" x14ac:dyDescent="0.2">
      <c r="B372" s="1"/>
      <c r="C372" s="1"/>
      <c r="D372" s="1"/>
      <c r="E372" s="1"/>
      <c r="F372" s="1"/>
      <c r="G372" s="1"/>
      <c r="H372" s="1"/>
    </row>
    <row r="373" spans="2:8" x14ac:dyDescent="0.2">
      <c r="B373" s="1"/>
      <c r="C373" s="1"/>
      <c r="D373" s="1"/>
      <c r="E373" s="1"/>
      <c r="F373" s="1"/>
      <c r="G373" s="1"/>
      <c r="H373" s="1"/>
    </row>
    <row r="374" spans="2:8" x14ac:dyDescent="0.2">
      <c r="B374" s="1"/>
      <c r="C374" s="1"/>
      <c r="D374" s="1"/>
      <c r="E374" s="1"/>
      <c r="F374" s="1"/>
      <c r="G374" s="1"/>
      <c r="H374" s="1"/>
    </row>
    <row r="375" spans="2:8" x14ac:dyDescent="0.2">
      <c r="B375" s="1"/>
      <c r="C375" s="1"/>
      <c r="D375" s="1"/>
      <c r="E375" s="1"/>
      <c r="F375" s="1"/>
      <c r="G375" s="1"/>
      <c r="H375" s="1"/>
    </row>
    <row r="376" spans="2:8" x14ac:dyDescent="0.2">
      <c r="B376" s="1"/>
      <c r="C376" s="1"/>
      <c r="D376" s="1"/>
      <c r="E376" s="1"/>
      <c r="F376" s="1"/>
      <c r="G376" s="1"/>
      <c r="H376" s="1"/>
    </row>
    <row r="377" spans="2:8" x14ac:dyDescent="0.2">
      <c r="B377" s="1"/>
      <c r="C377" s="1"/>
      <c r="D377" s="1"/>
      <c r="E377" s="1"/>
      <c r="F377" s="1"/>
      <c r="G377" s="1"/>
      <c r="H377" s="1"/>
    </row>
    <row r="378" spans="2:8" x14ac:dyDescent="0.2">
      <c r="B378" s="1"/>
      <c r="C378" s="1"/>
      <c r="D378" s="1"/>
      <c r="E378" s="1"/>
      <c r="F378" s="1"/>
      <c r="G378" s="1"/>
      <c r="H378" s="1"/>
    </row>
    <row r="379" spans="2:8" x14ac:dyDescent="0.2">
      <c r="B379" s="1"/>
      <c r="C379" s="1"/>
      <c r="D379" s="1"/>
      <c r="E379" s="1"/>
      <c r="F379" s="1"/>
      <c r="G379" s="1"/>
      <c r="H379" s="1"/>
    </row>
    <row r="380" spans="2:8" x14ac:dyDescent="0.2">
      <c r="B380" s="1"/>
      <c r="C380" s="1"/>
      <c r="D380" s="1"/>
      <c r="E380" s="1"/>
      <c r="F380" s="1"/>
      <c r="G380" s="1"/>
      <c r="H380" s="1"/>
    </row>
    <row r="381" spans="2:8" x14ac:dyDescent="0.2">
      <c r="B381" s="1"/>
      <c r="C381" s="1"/>
      <c r="D381" s="1"/>
      <c r="E381" s="1"/>
      <c r="F381" s="1"/>
      <c r="G381" s="1"/>
      <c r="H381" s="1"/>
    </row>
    <row r="382" spans="2:8" x14ac:dyDescent="0.2">
      <c r="B382" s="1"/>
      <c r="C382" s="1"/>
      <c r="D382" s="1"/>
      <c r="E382" s="1"/>
      <c r="F382" s="1"/>
      <c r="G382" s="1"/>
      <c r="H382" s="1"/>
    </row>
    <row r="383" spans="2:8" x14ac:dyDescent="0.2">
      <c r="B383" s="1"/>
      <c r="C383" s="1"/>
      <c r="D383" s="1"/>
      <c r="E383" s="1"/>
      <c r="F383" s="1"/>
      <c r="G383" s="1"/>
      <c r="H383" s="1"/>
    </row>
    <row r="384" spans="2:8" x14ac:dyDescent="0.2">
      <c r="B384" s="1"/>
      <c r="C384" s="1"/>
      <c r="D384" s="1"/>
      <c r="E384" s="1"/>
      <c r="F384" s="1"/>
      <c r="G384" s="1"/>
      <c r="H384" s="1"/>
    </row>
    <row r="385" spans="2:8" x14ac:dyDescent="0.2">
      <c r="B385" s="1"/>
      <c r="C385" s="1"/>
      <c r="D385" s="1"/>
      <c r="E385" s="1"/>
      <c r="F385" s="1"/>
      <c r="G385" s="1"/>
      <c r="H385" s="1"/>
    </row>
    <row r="386" spans="2:8" x14ac:dyDescent="0.2">
      <c r="B386" s="1"/>
      <c r="C386" s="1"/>
      <c r="D386" s="1"/>
      <c r="E386" s="1"/>
      <c r="F386" s="1"/>
      <c r="G386" s="1"/>
      <c r="H386" s="1"/>
    </row>
    <row r="387" spans="2:8" x14ac:dyDescent="0.2">
      <c r="B387" s="1"/>
      <c r="C387" s="1"/>
      <c r="D387" s="1"/>
      <c r="E387" s="1"/>
      <c r="F387" s="1"/>
      <c r="G387" s="1"/>
      <c r="H387" s="1"/>
    </row>
    <row r="388" spans="2:8" x14ac:dyDescent="0.2">
      <c r="B388" s="1"/>
      <c r="C388" s="1"/>
      <c r="D388" s="1"/>
      <c r="E388" s="1"/>
      <c r="F388" s="1"/>
      <c r="G388" s="1"/>
      <c r="H388" s="1"/>
    </row>
    <row r="389" spans="2:8" x14ac:dyDescent="0.2">
      <c r="B389" s="1"/>
      <c r="C389" s="1"/>
      <c r="D389" s="1"/>
      <c r="E389" s="1"/>
      <c r="F389" s="1"/>
      <c r="G389" s="1"/>
      <c r="H389" s="1"/>
    </row>
    <row r="390" spans="2:8" x14ac:dyDescent="0.2">
      <c r="B390" s="1"/>
      <c r="C390" s="1"/>
      <c r="D390" s="1"/>
      <c r="E390" s="1"/>
      <c r="F390" s="1"/>
      <c r="G390" s="1"/>
      <c r="H390" s="1"/>
    </row>
    <row r="391" spans="2:8" x14ac:dyDescent="0.2">
      <c r="B391" s="1"/>
      <c r="C391" s="1"/>
      <c r="D391" s="1"/>
      <c r="E391" s="1"/>
      <c r="F391" s="1"/>
      <c r="G391" s="1"/>
      <c r="H391" s="1"/>
    </row>
    <row r="392" spans="2:8" x14ac:dyDescent="0.2">
      <c r="B392" s="1"/>
      <c r="C392" s="1"/>
      <c r="D392" s="1"/>
      <c r="E392" s="1"/>
      <c r="F392" s="1"/>
      <c r="G392" s="1"/>
      <c r="H392" s="1"/>
    </row>
    <row r="393" spans="2:8" x14ac:dyDescent="0.2">
      <c r="B393" s="1"/>
      <c r="C393" s="1"/>
      <c r="D393" s="1"/>
      <c r="E393" s="1"/>
      <c r="F393" s="1"/>
      <c r="G393" s="1"/>
      <c r="H393" s="1"/>
    </row>
    <row r="394" spans="2:8" x14ac:dyDescent="0.2">
      <c r="B394" s="1"/>
      <c r="C394" s="1"/>
      <c r="D394" s="1"/>
      <c r="E394" s="1"/>
      <c r="F394" s="1"/>
      <c r="G394" s="1"/>
      <c r="H394" s="1"/>
    </row>
    <row r="395" spans="2:8" x14ac:dyDescent="0.2">
      <c r="B395" s="1"/>
      <c r="C395" s="1"/>
      <c r="D395" s="1"/>
      <c r="E395" s="1"/>
      <c r="F395" s="1"/>
      <c r="G395" s="1"/>
      <c r="H395" s="1"/>
    </row>
    <row r="396" spans="2:8" x14ac:dyDescent="0.2">
      <c r="B396" s="1"/>
      <c r="C396" s="1"/>
      <c r="D396" s="1"/>
      <c r="E396" s="1"/>
      <c r="F396" s="1"/>
      <c r="G396" s="1"/>
      <c r="H396" s="1"/>
    </row>
    <row r="397" spans="2:8" x14ac:dyDescent="0.2">
      <c r="B397" s="1"/>
      <c r="C397" s="1"/>
      <c r="D397" s="1"/>
      <c r="E397" s="1"/>
      <c r="F397" s="1"/>
      <c r="G397" s="1"/>
      <c r="H397" s="1"/>
    </row>
    <row r="398" spans="2:8" x14ac:dyDescent="0.2">
      <c r="B398" s="1"/>
      <c r="C398" s="1"/>
      <c r="D398" s="1"/>
      <c r="E398" s="1"/>
      <c r="F398" s="1"/>
      <c r="G398" s="1"/>
      <c r="H398" s="1"/>
    </row>
    <row r="399" spans="2:8" x14ac:dyDescent="0.2">
      <c r="B399" s="1"/>
      <c r="C399" s="1"/>
      <c r="D399" s="1"/>
      <c r="E399" s="1"/>
      <c r="F399" s="1"/>
      <c r="G399" s="1"/>
      <c r="H399" s="1"/>
    </row>
    <row r="400" spans="2:8" x14ac:dyDescent="0.2">
      <c r="B400" s="1"/>
      <c r="C400" s="1"/>
      <c r="D400" s="1"/>
      <c r="E400" s="1"/>
      <c r="F400" s="1"/>
      <c r="G400" s="1"/>
      <c r="H400" s="1"/>
    </row>
    <row r="401" spans="2:8" x14ac:dyDescent="0.2">
      <c r="B401" s="1"/>
      <c r="C401" s="1"/>
      <c r="D401" s="1"/>
      <c r="E401" s="1"/>
      <c r="F401" s="1"/>
      <c r="G401" s="1"/>
      <c r="H401" s="1"/>
    </row>
    <row r="402" spans="2:8" x14ac:dyDescent="0.2">
      <c r="B402" s="1"/>
      <c r="C402" s="1"/>
      <c r="D402" s="1"/>
      <c r="E402" s="1"/>
      <c r="F402" s="1"/>
      <c r="G402" s="1"/>
      <c r="H402" s="1"/>
    </row>
    <row r="403" spans="2:8" x14ac:dyDescent="0.2">
      <c r="B403" s="1"/>
      <c r="C403" s="1"/>
      <c r="D403" s="1"/>
      <c r="E403" s="1"/>
      <c r="F403" s="1"/>
      <c r="G403" s="1"/>
      <c r="H403" s="1"/>
    </row>
    <row r="404" spans="2:8" x14ac:dyDescent="0.2">
      <c r="B404" s="1"/>
      <c r="C404" s="1"/>
      <c r="D404" s="1"/>
      <c r="E404" s="1"/>
      <c r="F404" s="1"/>
      <c r="G404" s="1"/>
      <c r="H404" s="1"/>
    </row>
    <row r="405" spans="2:8" x14ac:dyDescent="0.2">
      <c r="B405" s="1"/>
      <c r="C405" s="1"/>
      <c r="D405" s="1"/>
      <c r="E405" s="1"/>
      <c r="F405" s="1"/>
      <c r="G405" s="1"/>
      <c r="H405" s="1"/>
    </row>
    <row r="406" spans="2:8" x14ac:dyDescent="0.2">
      <c r="B406" s="1"/>
      <c r="C406" s="1"/>
      <c r="D406" s="1"/>
      <c r="E406" s="1"/>
      <c r="F406" s="1"/>
      <c r="G406" s="1"/>
      <c r="H406" s="1"/>
    </row>
    <row r="407" spans="2:8" x14ac:dyDescent="0.2">
      <c r="B407" s="1"/>
      <c r="C407" s="1"/>
      <c r="D407" s="1"/>
      <c r="E407" s="1"/>
      <c r="F407" s="1"/>
      <c r="G407" s="1"/>
      <c r="H407" s="1"/>
    </row>
    <row r="408" spans="2:8" x14ac:dyDescent="0.2">
      <c r="B408" s="1"/>
      <c r="C408" s="1"/>
      <c r="D408" s="1"/>
      <c r="E408" s="1"/>
      <c r="F408" s="1"/>
      <c r="G408" s="1"/>
      <c r="H408" s="1"/>
    </row>
    <row r="409" spans="2:8" x14ac:dyDescent="0.2">
      <c r="B409" s="1"/>
      <c r="C409" s="1"/>
      <c r="D409" s="1"/>
      <c r="E409" s="1"/>
      <c r="F409" s="1"/>
      <c r="G409" s="1"/>
      <c r="H409" s="1"/>
    </row>
    <row r="410" spans="2:8" x14ac:dyDescent="0.2">
      <c r="B410" s="1"/>
      <c r="C410" s="1"/>
      <c r="D410" s="1"/>
      <c r="E410" s="1"/>
      <c r="F410" s="1"/>
      <c r="G410" s="1"/>
      <c r="H410" s="1"/>
    </row>
    <row r="411" spans="2:8" x14ac:dyDescent="0.2">
      <c r="B411" s="1"/>
      <c r="C411" s="1"/>
      <c r="D411" s="1"/>
      <c r="E411" s="1"/>
      <c r="F411" s="1"/>
      <c r="G411" s="1"/>
      <c r="H411" s="1"/>
    </row>
    <row r="412" spans="2:8" x14ac:dyDescent="0.2">
      <c r="B412" s="1"/>
      <c r="C412" s="1"/>
      <c r="D412" s="1"/>
      <c r="E412" s="1"/>
      <c r="F412" s="1"/>
      <c r="G412" s="1"/>
      <c r="H412" s="1"/>
    </row>
    <row r="413" spans="2:8" x14ac:dyDescent="0.2">
      <c r="B413" s="1"/>
      <c r="C413" s="1"/>
      <c r="D413" s="1"/>
      <c r="E413" s="1"/>
      <c r="F413" s="1"/>
      <c r="G413" s="1"/>
      <c r="H413" s="1"/>
    </row>
    <row r="414" spans="2:8" x14ac:dyDescent="0.2">
      <c r="B414" s="1"/>
      <c r="C414" s="1"/>
      <c r="D414" s="1"/>
      <c r="E414" s="1"/>
      <c r="F414" s="1"/>
      <c r="G414" s="1"/>
      <c r="H414" s="1"/>
    </row>
    <row r="415" spans="2:8" x14ac:dyDescent="0.2">
      <c r="B415" s="1"/>
      <c r="C415" s="1"/>
      <c r="D415" s="1"/>
      <c r="E415" s="1"/>
      <c r="F415" s="1"/>
      <c r="G415" s="1"/>
      <c r="H415" s="1"/>
    </row>
    <row r="416" spans="2:8" x14ac:dyDescent="0.2">
      <c r="B416" s="1"/>
      <c r="C416" s="1"/>
      <c r="D416" s="1"/>
      <c r="E416" s="1"/>
      <c r="F416" s="1"/>
      <c r="G416" s="1"/>
      <c r="H416" s="1"/>
    </row>
    <row r="417" spans="2:8" x14ac:dyDescent="0.2">
      <c r="B417" s="1"/>
      <c r="C417" s="1"/>
      <c r="D417" s="1"/>
      <c r="E417" s="1"/>
      <c r="F417" s="1"/>
      <c r="G417" s="1"/>
      <c r="H417" s="1"/>
    </row>
    <row r="418" spans="2:8" x14ac:dyDescent="0.2">
      <c r="B418" s="1"/>
      <c r="C418" s="1"/>
      <c r="D418" s="1"/>
      <c r="E418" s="1"/>
      <c r="F418" s="1"/>
      <c r="G418" s="1"/>
      <c r="H418" s="1"/>
    </row>
    <row r="419" spans="2:8" x14ac:dyDescent="0.2">
      <c r="B419" s="1"/>
      <c r="C419" s="1"/>
      <c r="D419" s="1"/>
      <c r="E419" s="1"/>
      <c r="F419" s="1"/>
      <c r="G419" s="1"/>
      <c r="H419" s="1"/>
    </row>
    <row r="420" spans="2:8" x14ac:dyDescent="0.2">
      <c r="B420" s="1"/>
      <c r="C420" s="1"/>
      <c r="D420" s="1"/>
      <c r="E420" s="1"/>
      <c r="F420" s="1"/>
      <c r="G420" s="1"/>
      <c r="H420" s="1"/>
    </row>
    <row r="421" spans="2:8" x14ac:dyDescent="0.2">
      <c r="B421" s="1"/>
      <c r="C421" s="1"/>
      <c r="D421" s="1"/>
      <c r="E421" s="1"/>
      <c r="F421" s="1"/>
      <c r="G421" s="1"/>
      <c r="H421" s="1"/>
    </row>
    <row r="422" spans="2:8" x14ac:dyDescent="0.2">
      <c r="B422" s="1"/>
      <c r="C422" s="1"/>
      <c r="D422" s="1"/>
      <c r="E422" s="1"/>
      <c r="F422" s="1"/>
      <c r="G422" s="1"/>
      <c r="H422" s="1"/>
    </row>
    <row r="423" spans="2:8" x14ac:dyDescent="0.2">
      <c r="B423" s="1"/>
      <c r="C423" s="1"/>
      <c r="D423" s="1"/>
      <c r="E423" s="1"/>
      <c r="F423" s="1"/>
      <c r="G423" s="1"/>
      <c r="H423" s="1"/>
    </row>
    <row r="424" spans="2:8" x14ac:dyDescent="0.2">
      <c r="B424" s="1"/>
      <c r="C424" s="1"/>
      <c r="D424" s="1"/>
      <c r="E424" s="1"/>
      <c r="F424" s="1"/>
      <c r="G424" s="1"/>
      <c r="H424" s="1"/>
    </row>
    <row r="425" spans="2:8" x14ac:dyDescent="0.2">
      <c r="B425" s="1"/>
      <c r="C425" s="1"/>
      <c r="D425" s="1"/>
      <c r="E425" s="1"/>
      <c r="F425" s="1"/>
      <c r="G425" s="1"/>
      <c r="H425" s="1"/>
    </row>
    <row r="426" spans="2:8" x14ac:dyDescent="0.2">
      <c r="B426" s="1"/>
      <c r="C426" s="1"/>
      <c r="D426" s="1"/>
      <c r="E426" s="1"/>
      <c r="F426" s="1"/>
      <c r="G426" s="1"/>
      <c r="H426" s="1"/>
    </row>
    <row r="427" spans="2:8" x14ac:dyDescent="0.2">
      <c r="B427" s="1"/>
      <c r="C427" s="1"/>
      <c r="D427" s="1"/>
      <c r="E427" s="1"/>
      <c r="F427" s="1"/>
      <c r="G427" s="1"/>
      <c r="H427" s="1"/>
    </row>
    <row r="428" spans="2:8" x14ac:dyDescent="0.2">
      <c r="B428" s="1"/>
      <c r="C428" s="1"/>
      <c r="D428" s="1"/>
      <c r="E428" s="1"/>
      <c r="F428" s="1"/>
      <c r="G428" s="1"/>
      <c r="H428" s="1"/>
    </row>
    <row r="429" spans="2:8" x14ac:dyDescent="0.2">
      <c r="B429" s="1"/>
      <c r="C429" s="1"/>
      <c r="D429" s="1"/>
      <c r="E429" s="1"/>
      <c r="F429" s="1"/>
      <c r="G429" s="1"/>
      <c r="H429" s="1"/>
    </row>
    <row r="430" spans="2:8" x14ac:dyDescent="0.2">
      <c r="B430" s="1"/>
      <c r="C430" s="1"/>
      <c r="D430" s="1"/>
      <c r="E430" s="1"/>
      <c r="F430" s="1"/>
      <c r="G430" s="1"/>
      <c r="H430" s="1"/>
    </row>
    <row r="431" spans="2:8" x14ac:dyDescent="0.2">
      <c r="B431" s="1"/>
      <c r="C431" s="1"/>
      <c r="D431" s="1"/>
      <c r="E431" s="1"/>
      <c r="F431" s="1"/>
      <c r="G431" s="1"/>
      <c r="H431" s="1"/>
    </row>
    <row r="432" spans="2:8" x14ac:dyDescent="0.2">
      <c r="B432" s="1"/>
      <c r="C432" s="1"/>
      <c r="D432" s="1"/>
      <c r="E432" s="1"/>
      <c r="F432" s="1"/>
      <c r="G432" s="1"/>
      <c r="H432" s="1"/>
    </row>
    <row r="433" spans="2:8" x14ac:dyDescent="0.2">
      <c r="B433" s="1"/>
      <c r="C433" s="1"/>
      <c r="D433" s="1"/>
      <c r="E433" s="1"/>
      <c r="F433" s="1"/>
      <c r="G433" s="1"/>
      <c r="H433" s="1"/>
    </row>
    <row r="434" spans="2:8" x14ac:dyDescent="0.2">
      <c r="B434" s="1"/>
      <c r="C434" s="1"/>
      <c r="D434" s="1"/>
      <c r="E434" s="1"/>
      <c r="F434" s="1"/>
      <c r="G434" s="1"/>
      <c r="H434" s="1"/>
    </row>
    <row r="435" spans="2:8" x14ac:dyDescent="0.2">
      <c r="B435" s="1"/>
      <c r="C435" s="1"/>
      <c r="D435" s="1"/>
      <c r="E435" s="1"/>
      <c r="F435" s="1"/>
      <c r="G435" s="1"/>
      <c r="H435" s="1"/>
    </row>
    <row r="436" spans="2:8" x14ac:dyDescent="0.2">
      <c r="B436" s="1"/>
      <c r="C436" s="1"/>
      <c r="D436" s="1"/>
      <c r="E436" s="1"/>
      <c r="F436" s="1"/>
      <c r="G436" s="1"/>
      <c r="H436" s="1"/>
    </row>
    <row r="437" spans="2:8" x14ac:dyDescent="0.2">
      <c r="B437" s="1"/>
      <c r="C437" s="1"/>
      <c r="D437" s="1"/>
      <c r="E437" s="1"/>
      <c r="F437" s="1"/>
      <c r="G437" s="1"/>
      <c r="H437" s="1"/>
    </row>
    <row r="438" spans="2:8" x14ac:dyDescent="0.2">
      <c r="B438" s="1"/>
      <c r="C438" s="1"/>
      <c r="D438" s="1"/>
      <c r="E438" s="1"/>
      <c r="F438" s="1"/>
      <c r="G438" s="1"/>
      <c r="H438" s="1"/>
    </row>
    <row r="439" spans="2:8" x14ac:dyDescent="0.2">
      <c r="B439" s="1"/>
      <c r="C439" s="1"/>
      <c r="D439" s="1"/>
      <c r="E439" s="1"/>
      <c r="F439" s="1"/>
      <c r="G439" s="1"/>
      <c r="H439" s="1"/>
    </row>
    <row r="440" spans="2:8" x14ac:dyDescent="0.2">
      <c r="B440" s="1"/>
      <c r="C440" s="1"/>
      <c r="D440" s="1"/>
      <c r="E440" s="1"/>
      <c r="F440" s="1"/>
      <c r="G440" s="1"/>
      <c r="H440" s="1"/>
    </row>
    <row r="441" spans="2:8" x14ac:dyDescent="0.2">
      <c r="B441" s="1"/>
      <c r="C441" s="1"/>
      <c r="D441" s="1"/>
      <c r="E441" s="1"/>
      <c r="F441" s="1"/>
      <c r="G441" s="1"/>
      <c r="H441" s="1"/>
    </row>
    <row r="442" spans="2:8" x14ac:dyDescent="0.2">
      <c r="B442" s="1"/>
      <c r="C442" s="1"/>
      <c r="D442" s="1"/>
      <c r="E442" s="1"/>
      <c r="F442" s="1"/>
      <c r="G442" s="1"/>
      <c r="H442" s="1"/>
    </row>
    <row r="443" spans="2:8" x14ac:dyDescent="0.2">
      <c r="B443" s="1"/>
      <c r="C443" s="1"/>
      <c r="D443" s="1"/>
      <c r="E443" s="1"/>
      <c r="F443" s="1"/>
      <c r="G443" s="1"/>
      <c r="H443" s="1"/>
    </row>
    <row r="444" spans="2:8" x14ac:dyDescent="0.2">
      <c r="B444" s="1"/>
      <c r="C444" s="1"/>
      <c r="D444" s="1"/>
      <c r="E444" s="1"/>
      <c r="F444" s="1"/>
      <c r="G444" s="1"/>
      <c r="H444" s="1"/>
    </row>
    <row r="445" spans="2:8" x14ac:dyDescent="0.2">
      <c r="B445" s="1"/>
      <c r="C445" s="1"/>
      <c r="D445" s="1"/>
      <c r="E445" s="1"/>
      <c r="F445" s="1"/>
      <c r="G445" s="1"/>
      <c r="H445" s="1"/>
    </row>
    <row r="446" spans="2:8" x14ac:dyDescent="0.2">
      <c r="B446" s="1"/>
      <c r="C446" s="1"/>
      <c r="D446" s="1"/>
      <c r="E446" s="1"/>
      <c r="F446" s="1"/>
      <c r="G446" s="1"/>
      <c r="H446" s="1"/>
    </row>
    <row r="447" spans="2:8" x14ac:dyDescent="0.2">
      <c r="B447" s="1"/>
      <c r="C447" s="1"/>
      <c r="D447" s="1"/>
      <c r="E447" s="1"/>
      <c r="F447" s="1"/>
      <c r="G447" s="1"/>
      <c r="H447" s="1"/>
    </row>
    <row r="448" spans="2:8" x14ac:dyDescent="0.2">
      <c r="B448" s="1"/>
      <c r="C448" s="1"/>
      <c r="D448" s="1"/>
      <c r="E448" s="1"/>
      <c r="F448" s="1"/>
      <c r="G448" s="1"/>
      <c r="H448" s="1"/>
    </row>
    <row r="449" spans="2:8" x14ac:dyDescent="0.2">
      <c r="B449" s="1"/>
      <c r="C449" s="1"/>
      <c r="D449" s="1"/>
      <c r="E449" s="1"/>
      <c r="F449" s="1"/>
      <c r="G449" s="1"/>
      <c r="H449" s="1"/>
    </row>
    <row r="450" spans="2:8" x14ac:dyDescent="0.2">
      <c r="B450" s="1"/>
      <c r="C450" s="1"/>
      <c r="D450" s="1"/>
      <c r="E450" s="1"/>
      <c r="F450" s="1"/>
      <c r="G450" s="1"/>
      <c r="H450" s="1"/>
    </row>
    <row r="451" spans="2:8" x14ac:dyDescent="0.2">
      <c r="B451" s="1"/>
      <c r="C451" s="1"/>
      <c r="D451" s="1"/>
      <c r="E451" s="1"/>
      <c r="F451" s="1"/>
      <c r="G451" s="1"/>
      <c r="H451" s="1"/>
    </row>
    <row r="452" spans="2:8" x14ac:dyDescent="0.2">
      <c r="B452" s="1"/>
      <c r="C452" s="1"/>
      <c r="D452" s="1"/>
      <c r="E452" s="1"/>
      <c r="F452" s="1"/>
      <c r="G452" s="1"/>
      <c r="H452" s="1"/>
    </row>
    <row r="453" spans="2:8" x14ac:dyDescent="0.2">
      <c r="B453" s="1"/>
      <c r="C453" s="1"/>
      <c r="D453" s="1"/>
      <c r="E453" s="1"/>
      <c r="F453" s="1"/>
      <c r="G453" s="1"/>
      <c r="H453" s="1"/>
    </row>
    <row r="454" spans="2:8" x14ac:dyDescent="0.2">
      <c r="B454" s="1"/>
      <c r="C454" s="1"/>
      <c r="D454" s="1"/>
      <c r="E454" s="1"/>
      <c r="F454" s="1"/>
      <c r="G454" s="1"/>
      <c r="H454" s="1"/>
    </row>
    <row r="455" spans="2:8" x14ac:dyDescent="0.2">
      <c r="B455" s="1"/>
      <c r="C455" s="1"/>
      <c r="D455" s="1"/>
      <c r="E455" s="1"/>
      <c r="F455" s="1"/>
      <c r="G455" s="1"/>
      <c r="H455" s="1"/>
    </row>
    <row r="456" spans="2:8" x14ac:dyDescent="0.2">
      <c r="B456" s="1"/>
      <c r="C456" s="1"/>
      <c r="D456" s="1"/>
      <c r="E456" s="1"/>
      <c r="F456" s="1"/>
      <c r="G456" s="1"/>
      <c r="H456" s="1"/>
    </row>
    <row r="457" spans="2:8" x14ac:dyDescent="0.2">
      <c r="B457" s="1"/>
      <c r="C457" s="1"/>
      <c r="D457" s="1"/>
      <c r="E457" s="1"/>
      <c r="F457" s="1"/>
      <c r="G457" s="1"/>
      <c r="H457" s="1"/>
    </row>
    <row r="458" spans="2:8" x14ac:dyDescent="0.2">
      <c r="B458" s="1"/>
      <c r="C458" s="1"/>
      <c r="D458" s="1"/>
      <c r="E458" s="1"/>
      <c r="F458" s="1"/>
      <c r="G458" s="1"/>
      <c r="H458" s="1"/>
    </row>
    <row r="459" spans="2:8" x14ac:dyDescent="0.2">
      <c r="B459" s="1"/>
      <c r="C459" s="1"/>
      <c r="D459" s="1"/>
      <c r="E459" s="1"/>
      <c r="F459" s="1"/>
      <c r="G459" s="1"/>
      <c r="H459" s="1"/>
    </row>
    <row r="460" spans="2:8" x14ac:dyDescent="0.2">
      <c r="B460" s="1"/>
      <c r="C460" s="1"/>
      <c r="D460" s="1"/>
      <c r="E460" s="1"/>
      <c r="F460" s="1"/>
      <c r="G460" s="1"/>
      <c r="H460" s="1"/>
    </row>
    <row r="461" spans="2:8" x14ac:dyDescent="0.2">
      <c r="B461" s="1"/>
      <c r="C461" s="1"/>
      <c r="D461" s="1"/>
      <c r="E461" s="1"/>
      <c r="F461" s="1"/>
      <c r="G461" s="1"/>
      <c r="H461" s="1"/>
    </row>
    <row r="462" spans="2:8" x14ac:dyDescent="0.2">
      <c r="B462" s="1"/>
      <c r="C462" s="1"/>
      <c r="D462" s="1"/>
      <c r="E462" s="1"/>
      <c r="F462" s="1"/>
      <c r="G462" s="1"/>
      <c r="H462" s="1"/>
    </row>
    <row r="463" spans="2:8" x14ac:dyDescent="0.2">
      <c r="B463" s="1"/>
      <c r="C463" s="1"/>
      <c r="D463" s="1"/>
      <c r="E463" s="1"/>
      <c r="F463" s="1"/>
      <c r="G463" s="1"/>
      <c r="H463" s="1"/>
    </row>
    <row r="464" spans="2:8" x14ac:dyDescent="0.2">
      <c r="B464" s="1"/>
      <c r="C464" s="1"/>
      <c r="D464" s="1"/>
      <c r="E464" s="1"/>
      <c r="F464" s="1"/>
      <c r="G464" s="1"/>
      <c r="H464" s="1"/>
    </row>
    <row r="465" spans="2:8" x14ac:dyDescent="0.2">
      <c r="B465" s="1"/>
      <c r="C465" s="1"/>
      <c r="D465" s="1"/>
      <c r="E465" s="1"/>
      <c r="F465" s="1"/>
      <c r="G465" s="1"/>
      <c r="H465" s="1"/>
    </row>
    <row r="466" spans="2:8" x14ac:dyDescent="0.2">
      <c r="B466" s="1"/>
      <c r="C466" s="1"/>
      <c r="D466" s="1"/>
      <c r="E466" s="1"/>
      <c r="F466" s="1"/>
      <c r="G466" s="1"/>
      <c r="H466" s="1"/>
    </row>
    <row r="467" spans="2:8" x14ac:dyDescent="0.2">
      <c r="B467" s="1"/>
      <c r="C467" s="1"/>
      <c r="D467" s="1"/>
      <c r="E467" s="1"/>
      <c r="F467" s="1"/>
      <c r="G467" s="1"/>
      <c r="H467" s="1"/>
    </row>
    <row r="468" spans="2:8" x14ac:dyDescent="0.2">
      <c r="B468" s="1"/>
      <c r="C468" s="1"/>
      <c r="D468" s="1"/>
      <c r="E468" s="1"/>
      <c r="F468" s="1"/>
      <c r="G468" s="1"/>
      <c r="H468" s="1"/>
    </row>
    <row r="469" spans="2:8" x14ac:dyDescent="0.2">
      <c r="B469" s="1"/>
      <c r="C469" s="1"/>
      <c r="D469" s="1"/>
      <c r="E469" s="1"/>
      <c r="F469" s="1"/>
      <c r="G469" s="1"/>
      <c r="H469" s="1"/>
    </row>
    <row r="470" spans="2:8" x14ac:dyDescent="0.2">
      <c r="B470" s="1"/>
      <c r="C470" s="1"/>
      <c r="D470" s="1"/>
      <c r="E470" s="1"/>
      <c r="F470" s="1"/>
      <c r="G470" s="1"/>
      <c r="H470" s="1"/>
    </row>
    <row r="471" spans="2:8" x14ac:dyDescent="0.2">
      <c r="B471" s="1"/>
      <c r="C471" s="1"/>
      <c r="D471" s="1"/>
      <c r="E471" s="1"/>
      <c r="F471" s="1"/>
      <c r="G471" s="1"/>
      <c r="H471" s="1"/>
    </row>
    <row r="472" spans="2:8" x14ac:dyDescent="0.2">
      <c r="B472" s="1"/>
      <c r="C472" s="1"/>
      <c r="D472" s="1"/>
      <c r="E472" s="1"/>
      <c r="F472" s="1"/>
      <c r="G472" s="1"/>
      <c r="H472" s="1"/>
    </row>
    <row r="473" spans="2:8" x14ac:dyDescent="0.2">
      <c r="B473" s="1"/>
      <c r="C473" s="1"/>
      <c r="D473" s="1"/>
      <c r="E473" s="1"/>
      <c r="F473" s="1"/>
      <c r="G473" s="1"/>
      <c r="H473" s="1"/>
    </row>
    <row r="474" spans="2:8" x14ac:dyDescent="0.2">
      <c r="B474" s="1"/>
      <c r="C474" s="1"/>
      <c r="D474" s="1"/>
      <c r="E474" s="1"/>
      <c r="F474" s="1"/>
      <c r="G474" s="1"/>
      <c r="H474" s="1"/>
    </row>
    <row r="475" spans="2:8" x14ac:dyDescent="0.2">
      <c r="B475" s="1"/>
      <c r="C475" s="1"/>
      <c r="D475" s="1"/>
      <c r="E475" s="1"/>
      <c r="F475" s="1"/>
      <c r="G475" s="1"/>
      <c r="H475" s="1"/>
    </row>
    <row r="476" spans="2:8" x14ac:dyDescent="0.2">
      <c r="B476" s="1"/>
      <c r="C476" s="1"/>
      <c r="D476" s="1"/>
      <c r="E476" s="1"/>
      <c r="F476" s="1"/>
      <c r="G476" s="1"/>
      <c r="H476" s="1"/>
    </row>
    <row r="477" spans="2:8" x14ac:dyDescent="0.2">
      <c r="B477" s="1"/>
      <c r="C477" s="1"/>
      <c r="D477" s="1"/>
      <c r="E477" s="1"/>
      <c r="F477" s="1"/>
      <c r="G477" s="1"/>
      <c r="H477" s="1"/>
    </row>
    <row r="478" spans="2:8" x14ac:dyDescent="0.2">
      <c r="B478" s="1"/>
      <c r="C478" s="1"/>
      <c r="D478" s="1"/>
      <c r="E478" s="1"/>
      <c r="F478" s="1"/>
      <c r="G478" s="1"/>
      <c r="H478" s="1"/>
    </row>
    <row r="479" spans="2:8" x14ac:dyDescent="0.2">
      <c r="B479" s="1"/>
      <c r="C479" s="1"/>
      <c r="D479" s="1"/>
      <c r="E479" s="1"/>
      <c r="F479" s="1"/>
      <c r="G479" s="1"/>
      <c r="H479" s="1"/>
    </row>
    <row r="480" spans="2:8" x14ac:dyDescent="0.2">
      <c r="B480" s="1"/>
      <c r="C480" s="1"/>
      <c r="D480" s="1"/>
      <c r="E480" s="1"/>
      <c r="F480" s="1"/>
      <c r="G480" s="1"/>
      <c r="H480" s="1"/>
    </row>
    <row r="481" spans="2:8" x14ac:dyDescent="0.2">
      <c r="B481" s="1"/>
      <c r="C481" s="1"/>
      <c r="D481" s="1"/>
      <c r="E481" s="1"/>
      <c r="F481" s="1"/>
      <c r="G481" s="1"/>
      <c r="H481" s="1"/>
    </row>
    <row r="482" spans="2:8" x14ac:dyDescent="0.2">
      <c r="B482" s="1"/>
      <c r="C482" s="1"/>
      <c r="D482" s="1"/>
      <c r="E482" s="1"/>
      <c r="F482" s="1"/>
      <c r="G482" s="1"/>
      <c r="H482" s="1"/>
    </row>
    <row r="483" spans="2:8" x14ac:dyDescent="0.2">
      <c r="B483" s="1"/>
      <c r="C483" s="1"/>
      <c r="D483" s="1"/>
      <c r="E483" s="1"/>
      <c r="F483" s="1"/>
      <c r="G483" s="1"/>
      <c r="H483" s="1"/>
    </row>
    <row r="484" spans="2:8" x14ac:dyDescent="0.2">
      <c r="B484" s="1"/>
      <c r="C484" s="1"/>
      <c r="D484" s="1"/>
      <c r="E484" s="1"/>
      <c r="F484" s="1"/>
      <c r="G484" s="1"/>
      <c r="H484" s="1"/>
    </row>
    <row r="485" spans="2:8" x14ac:dyDescent="0.2">
      <c r="B485" s="1"/>
      <c r="C485" s="1"/>
      <c r="D485" s="1"/>
      <c r="E485" s="1"/>
      <c r="F485" s="1"/>
      <c r="G485" s="1"/>
      <c r="H485" s="1"/>
    </row>
    <row r="486" spans="2:8" x14ac:dyDescent="0.2">
      <c r="B486" s="1"/>
      <c r="C486" s="1"/>
      <c r="D486" s="1"/>
      <c r="E486" s="1"/>
      <c r="F486" s="1"/>
      <c r="G486" s="1"/>
      <c r="H486" s="1"/>
    </row>
    <row r="487" spans="2:8" x14ac:dyDescent="0.2">
      <c r="B487" s="1"/>
      <c r="C487" s="1"/>
      <c r="D487" s="1"/>
      <c r="E487" s="1"/>
      <c r="F487" s="1"/>
      <c r="G487" s="1"/>
      <c r="H487" s="1"/>
    </row>
    <row r="488" spans="2:8" x14ac:dyDescent="0.2">
      <c r="B488" s="1"/>
      <c r="C488" s="1"/>
      <c r="D488" s="1"/>
      <c r="E488" s="1"/>
      <c r="F488" s="1"/>
      <c r="G488" s="1"/>
      <c r="H488" s="1"/>
    </row>
    <row r="489" spans="2:8" x14ac:dyDescent="0.2">
      <c r="B489" s="1"/>
      <c r="C489" s="1"/>
      <c r="D489" s="1"/>
      <c r="E489" s="1"/>
      <c r="F489" s="1"/>
      <c r="G489" s="1"/>
      <c r="H489" s="1"/>
    </row>
    <row r="490" spans="2:8" x14ac:dyDescent="0.2">
      <c r="B490" s="1"/>
      <c r="C490" s="1"/>
      <c r="D490" s="1"/>
      <c r="E490" s="1"/>
      <c r="F490" s="1"/>
      <c r="G490" s="1"/>
      <c r="H490" s="1"/>
    </row>
    <row r="491" spans="2:8" x14ac:dyDescent="0.2">
      <c r="B491" s="1"/>
      <c r="C491" s="1"/>
      <c r="D491" s="1"/>
      <c r="E491" s="1"/>
      <c r="F491" s="1"/>
      <c r="G491" s="1"/>
      <c r="H491" s="1"/>
    </row>
    <row r="492" spans="2:8" x14ac:dyDescent="0.2">
      <c r="B492" s="1"/>
      <c r="C492" s="1"/>
      <c r="D492" s="1"/>
      <c r="E492" s="1"/>
      <c r="F492" s="1"/>
      <c r="G492" s="1"/>
      <c r="H492" s="1"/>
    </row>
    <row r="493" spans="2:8" x14ac:dyDescent="0.2">
      <c r="B493" s="1"/>
      <c r="C493" s="1"/>
      <c r="D493" s="1"/>
      <c r="E493" s="1"/>
      <c r="F493" s="1"/>
      <c r="G493" s="1"/>
      <c r="H493" s="1"/>
    </row>
    <row r="494" spans="2:8" x14ac:dyDescent="0.2">
      <c r="B494" s="1"/>
      <c r="C494" s="1"/>
      <c r="D494" s="1"/>
      <c r="E494" s="1"/>
      <c r="F494" s="1"/>
      <c r="G494" s="1"/>
      <c r="H494" s="1"/>
    </row>
    <row r="495" spans="2:8" x14ac:dyDescent="0.2">
      <c r="B495" s="1"/>
      <c r="C495" s="1"/>
      <c r="D495" s="1"/>
      <c r="E495" s="1"/>
      <c r="F495" s="1"/>
      <c r="G495" s="1"/>
      <c r="H495" s="1"/>
    </row>
    <row r="496" spans="2:8" x14ac:dyDescent="0.2">
      <c r="B496" s="1"/>
      <c r="C496" s="1"/>
      <c r="D496" s="1"/>
      <c r="E496" s="1"/>
      <c r="F496" s="1"/>
      <c r="G496" s="1"/>
      <c r="H496" s="1"/>
    </row>
    <row r="497" spans="2:8" x14ac:dyDescent="0.2">
      <c r="B497" s="1"/>
      <c r="C497" s="1"/>
      <c r="D497" s="1"/>
      <c r="E497" s="1"/>
      <c r="F497" s="1"/>
      <c r="G497" s="1"/>
      <c r="H497" s="1"/>
    </row>
    <row r="498" spans="2:8" x14ac:dyDescent="0.2">
      <c r="B498" s="1"/>
      <c r="C498" s="1"/>
      <c r="D498" s="1"/>
      <c r="E498" s="1"/>
      <c r="F498" s="1"/>
      <c r="G498" s="1"/>
      <c r="H498" s="1"/>
    </row>
    <row r="499" spans="2:8" x14ac:dyDescent="0.2">
      <c r="B499" s="1"/>
      <c r="C499" s="1"/>
      <c r="D499" s="1"/>
      <c r="E499" s="1"/>
      <c r="F499" s="1"/>
      <c r="G499" s="1"/>
      <c r="H499" s="1"/>
    </row>
    <row r="500" spans="2:8" x14ac:dyDescent="0.2">
      <c r="B500" s="1"/>
      <c r="C500" s="1"/>
      <c r="D500" s="1"/>
      <c r="E500" s="1"/>
      <c r="F500" s="1"/>
      <c r="G500" s="1"/>
      <c r="H500" s="1"/>
    </row>
    <row r="501" spans="2:8" x14ac:dyDescent="0.2">
      <c r="B501" s="1"/>
      <c r="C501" s="1"/>
      <c r="D501" s="1"/>
      <c r="E501" s="1"/>
      <c r="F501" s="1"/>
      <c r="G501" s="1"/>
      <c r="H501" s="1"/>
    </row>
    <row r="502" spans="2:8" x14ac:dyDescent="0.2">
      <c r="B502" s="1"/>
      <c r="C502" s="1"/>
      <c r="D502" s="1"/>
      <c r="E502" s="1"/>
      <c r="F502" s="1"/>
      <c r="G502" s="1"/>
      <c r="H502" s="1"/>
    </row>
    <row r="503" spans="2:8" x14ac:dyDescent="0.2">
      <c r="B503" s="1"/>
      <c r="C503" s="1"/>
      <c r="D503" s="1"/>
      <c r="E503" s="1"/>
      <c r="F503" s="1"/>
      <c r="G503" s="1"/>
      <c r="H503" s="1"/>
    </row>
    <row r="504" spans="2:8" x14ac:dyDescent="0.2">
      <c r="B504" s="1"/>
      <c r="C504" s="1"/>
      <c r="D504" s="1"/>
      <c r="E504" s="1"/>
      <c r="F504" s="1"/>
      <c r="G504" s="1"/>
      <c r="H504" s="1"/>
    </row>
    <row r="505" spans="2:8" x14ac:dyDescent="0.2">
      <c r="B505" s="1"/>
      <c r="C505" s="1"/>
      <c r="D505" s="1"/>
      <c r="E505" s="1"/>
      <c r="F505" s="1"/>
      <c r="G505" s="1"/>
      <c r="H505" s="1"/>
    </row>
    <row r="506" spans="2:8" x14ac:dyDescent="0.2">
      <c r="B506" s="1"/>
      <c r="C506" s="1"/>
      <c r="D506" s="1"/>
      <c r="E506" s="1"/>
      <c r="F506" s="1"/>
      <c r="G506" s="1"/>
      <c r="H506" s="1"/>
    </row>
    <row r="507" spans="2:8" x14ac:dyDescent="0.2">
      <c r="B507" s="1"/>
      <c r="C507" s="1"/>
      <c r="D507" s="1"/>
      <c r="E507" s="1"/>
      <c r="F507" s="1"/>
      <c r="G507" s="1"/>
      <c r="H507" s="1"/>
    </row>
    <row r="508" spans="2:8" x14ac:dyDescent="0.2">
      <c r="B508" s="1"/>
      <c r="C508" s="1"/>
      <c r="D508" s="1"/>
      <c r="E508" s="1"/>
      <c r="F508" s="1"/>
      <c r="G508" s="1"/>
      <c r="H508" s="1"/>
    </row>
    <row r="509" spans="2:8" x14ac:dyDescent="0.2">
      <c r="B509" s="1"/>
      <c r="C509" s="1"/>
      <c r="D509" s="1"/>
      <c r="E509" s="1"/>
      <c r="F509" s="1"/>
      <c r="G509" s="1"/>
      <c r="H509" s="1"/>
    </row>
    <row r="510" spans="2:8" x14ac:dyDescent="0.2">
      <c r="B510" s="1"/>
      <c r="C510" s="1"/>
      <c r="D510" s="1"/>
      <c r="E510" s="1"/>
      <c r="F510" s="1"/>
      <c r="G510" s="1"/>
      <c r="H510" s="1"/>
    </row>
    <row r="511" spans="2:8" x14ac:dyDescent="0.2">
      <c r="B511" s="1"/>
      <c r="C511" s="1"/>
      <c r="D511" s="1"/>
      <c r="E511" s="1"/>
      <c r="F511" s="1"/>
      <c r="G511" s="1"/>
      <c r="H511" s="1"/>
    </row>
    <row r="512" spans="2:8" x14ac:dyDescent="0.2">
      <c r="B512" s="1"/>
      <c r="C512" s="1"/>
      <c r="D512" s="1"/>
      <c r="E512" s="1"/>
      <c r="F512" s="1"/>
      <c r="G512" s="1"/>
      <c r="H512" s="1"/>
    </row>
    <row r="513" spans="2:8" x14ac:dyDescent="0.2">
      <c r="B513" s="1"/>
      <c r="C513" s="1"/>
      <c r="D513" s="1"/>
      <c r="E513" s="1"/>
      <c r="F513" s="1"/>
      <c r="G513" s="1"/>
      <c r="H513" s="1"/>
    </row>
    <row r="514" spans="2:8" x14ac:dyDescent="0.2">
      <c r="B514" s="1"/>
      <c r="C514" s="1"/>
      <c r="D514" s="1"/>
      <c r="E514" s="1"/>
      <c r="F514" s="1"/>
      <c r="G514" s="1"/>
      <c r="H514" s="1"/>
    </row>
    <row r="515" spans="2:8" x14ac:dyDescent="0.2">
      <c r="B515" s="1"/>
      <c r="C515" s="1"/>
      <c r="D515" s="1"/>
      <c r="E515" s="1"/>
      <c r="F515" s="1"/>
      <c r="G515" s="1"/>
      <c r="H515" s="1"/>
    </row>
    <row r="516" spans="2:8" x14ac:dyDescent="0.2">
      <c r="B516" s="1"/>
      <c r="C516" s="1"/>
      <c r="D516" s="1"/>
      <c r="E516" s="1"/>
      <c r="F516" s="1"/>
      <c r="G516" s="1"/>
      <c r="H516" s="1"/>
    </row>
    <row r="517" spans="2:8" x14ac:dyDescent="0.2">
      <c r="B517" s="1"/>
      <c r="C517" s="1"/>
      <c r="D517" s="1"/>
      <c r="E517" s="1"/>
      <c r="F517" s="1"/>
      <c r="G517" s="1"/>
      <c r="H517" s="1"/>
    </row>
    <row r="518" spans="2:8" x14ac:dyDescent="0.2">
      <c r="B518" s="1"/>
      <c r="C518" s="1"/>
      <c r="D518" s="1"/>
      <c r="E518" s="1"/>
      <c r="F518" s="1"/>
      <c r="G518" s="1"/>
      <c r="H518" s="1"/>
    </row>
    <row r="519" spans="2:8" x14ac:dyDescent="0.2">
      <c r="B519" s="1"/>
      <c r="C519" s="1"/>
      <c r="D519" s="1"/>
      <c r="E519" s="1"/>
      <c r="F519" s="1"/>
      <c r="G519" s="1"/>
      <c r="H519" s="1"/>
    </row>
    <row r="520" spans="2:8" x14ac:dyDescent="0.2">
      <c r="B520" s="1"/>
      <c r="C520" s="1"/>
      <c r="D520" s="1"/>
      <c r="E520" s="1"/>
      <c r="F520" s="1"/>
      <c r="G520" s="1"/>
      <c r="H520" s="1"/>
    </row>
    <row r="521" spans="2:8" x14ac:dyDescent="0.2">
      <c r="B521" s="1"/>
      <c r="C521" s="1"/>
      <c r="D521" s="1"/>
      <c r="E521" s="1"/>
      <c r="F521" s="1"/>
      <c r="G521" s="1"/>
      <c r="H521" s="1"/>
    </row>
    <row r="522" spans="2:8" x14ac:dyDescent="0.2">
      <c r="B522" s="1"/>
      <c r="C522" s="1"/>
      <c r="D522" s="1"/>
      <c r="E522" s="1"/>
      <c r="F522" s="1"/>
      <c r="G522" s="1"/>
      <c r="H522" s="1"/>
    </row>
    <row r="523" spans="2:8" x14ac:dyDescent="0.2">
      <c r="B523" s="1"/>
      <c r="C523" s="1"/>
      <c r="D523" s="1"/>
      <c r="E523" s="1"/>
      <c r="F523" s="1"/>
      <c r="G523" s="1"/>
      <c r="H523" s="1"/>
    </row>
    <row r="524" spans="2:8" x14ac:dyDescent="0.2">
      <c r="B524" s="1"/>
      <c r="C524" s="1"/>
      <c r="D524" s="1"/>
      <c r="E524" s="1"/>
      <c r="F524" s="1"/>
      <c r="G524" s="1"/>
      <c r="H524" s="1"/>
    </row>
    <row r="525" spans="2:8" x14ac:dyDescent="0.2">
      <c r="B525" s="1"/>
      <c r="C525" s="1"/>
      <c r="D525" s="1"/>
      <c r="E525" s="1"/>
      <c r="F525" s="1"/>
      <c r="G525" s="1"/>
      <c r="H525" s="1"/>
    </row>
    <row r="526" spans="2:8" x14ac:dyDescent="0.2">
      <c r="B526" s="1"/>
      <c r="C526" s="1"/>
      <c r="D526" s="1"/>
      <c r="E526" s="1"/>
      <c r="F526" s="1"/>
      <c r="G526" s="1"/>
      <c r="H526" s="1"/>
    </row>
    <row r="527" spans="2:8" x14ac:dyDescent="0.2">
      <c r="B527" s="1"/>
      <c r="C527" s="1"/>
      <c r="D527" s="1"/>
      <c r="E527" s="1"/>
      <c r="F527" s="1"/>
      <c r="G527" s="1"/>
      <c r="H527" s="1"/>
    </row>
    <row r="528" spans="2:8" x14ac:dyDescent="0.2">
      <c r="B528" s="1"/>
      <c r="C528" s="1"/>
      <c r="D528" s="1"/>
      <c r="E528" s="1"/>
      <c r="F528" s="1"/>
      <c r="G528" s="1"/>
      <c r="H528" s="1"/>
    </row>
    <row r="529" spans="2:8" x14ac:dyDescent="0.2">
      <c r="B529" s="1"/>
      <c r="C529" s="1"/>
      <c r="D529" s="1"/>
      <c r="E529" s="1"/>
      <c r="F529" s="1"/>
      <c r="G529" s="1"/>
      <c r="H529" s="1"/>
    </row>
    <row r="530" spans="2:8" x14ac:dyDescent="0.2">
      <c r="B530" s="1"/>
      <c r="C530" s="1"/>
      <c r="D530" s="1"/>
      <c r="E530" s="1"/>
      <c r="F530" s="1"/>
      <c r="G530" s="1"/>
      <c r="H530" s="1"/>
    </row>
    <row r="531" spans="2:8" x14ac:dyDescent="0.2">
      <c r="B531" s="1"/>
      <c r="C531" s="1"/>
      <c r="D531" s="1"/>
      <c r="E531" s="1"/>
      <c r="F531" s="1"/>
      <c r="G531" s="1"/>
      <c r="H531" s="1"/>
    </row>
    <row r="532" spans="2:8" x14ac:dyDescent="0.2">
      <c r="B532" s="1"/>
      <c r="C532" s="1"/>
      <c r="D532" s="1"/>
      <c r="E532" s="1"/>
      <c r="F532" s="1"/>
      <c r="G532" s="1"/>
      <c r="H532" s="1"/>
    </row>
    <row r="533" spans="2:8" x14ac:dyDescent="0.2">
      <c r="B533" s="1"/>
      <c r="C533" s="1"/>
      <c r="D533" s="1"/>
      <c r="E533" s="1"/>
      <c r="F533" s="1"/>
      <c r="G533" s="1"/>
      <c r="H533" s="1"/>
    </row>
    <row r="534" spans="2:8" x14ac:dyDescent="0.2">
      <c r="B534" s="1"/>
      <c r="C534" s="1"/>
      <c r="D534" s="1"/>
      <c r="E534" s="1"/>
      <c r="F534" s="1"/>
      <c r="G534" s="1"/>
      <c r="H534" s="1"/>
    </row>
    <row r="535" spans="2:8" x14ac:dyDescent="0.2">
      <c r="B535" s="1"/>
      <c r="C535" s="1"/>
      <c r="D535" s="1"/>
      <c r="E535" s="1"/>
      <c r="F535" s="1"/>
      <c r="G535" s="1"/>
      <c r="H535" s="1"/>
    </row>
    <row r="536" spans="2:8" x14ac:dyDescent="0.2">
      <c r="B536" s="1"/>
      <c r="C536" s="1"/>
      <c r="D536" s="1"/>
      <c r="E536" s="1"/>
      <c r="F536" s="1"/>
      <c r="G536" s="1"/>
      <c r="H536" s="1"/>
    </row>
    <row r="537" spans="2:8" x14ac:dyDescent="0.2">
      <c r="B537" s="1"/>
      <c r="C537" s="1"/>
      <c r="D537" s="1"/>
      <c r="E537" s="1"/>
      <c r="F537" s="1"/>
      <c r="G537" s="1"/>
      <c r="H537" s="1"/>
    </row>
    <row r="538" spans="2:8" x14ac:dyDescent="0.2">
      <c r="B538" s="1"/>
      <c r="C538" s="1"/>
      <c r="D538" s="1"/>
      <c r="E538" s="1"/>
      <c r="F538" s="1"/>
      <c r="G538" s="1"/>
      <c r="H538" s="1"/>
    </row>
    <row r="539" spans="2:8" x14ac:dyDescent="0.2">
      <c r="B539" s="1"/>
      <c r="C539" s="1"/>
      <c r="D539" s="1"/>
      <c r="E539" s="1"/>
      <c r="F539" s="1"/>
      <c r="G539" s="1"/>
      <c r="H539" s="1"/>
    </row>
    <row r="540" spans="2:8" x14ac:dyDescent="0.2">
      <c r="B540" s="1"/>
      <c r="C540" s="1"/>
      <c r="D540" s="1"/>
      <c r="E540" s="1"/>
      <c r="F540" s="1"/>
      <c r="G540" s="1"/>
      <c r="H540" s="1"/>
    </row>
    <row r="541" spans="2:8" x14ac:dyDescent="0.2">
      <c r="B541" s="1"/>
      <c r="C541" s="1"/>
      <c r="D541" s="1"/>
      <c r="E541" s="1"/>
      <c r="F541" s="1"/>
      <c r="G541" s="1"/>
      <c r="H541" s="1"/>
    </row>
    <row r="542" spans="2:8" x14ac:dyDescent="0.2">
      <c r="B542" s="1"/>
      <c r="C542" s="1"/>
      <c r="D542" s="1"/>
      <c r="E542" s="1"/>
      <c r="F542" s="1"/>
      <c r="G542" s="1"/>
      <c r="H542" s="1"/>
    </row>
    <row r="543" spans="2:8" x14ac:dyDescent="0.2">
      <c r="B543" s="1"/>
      <c r="C543" s="1"/>
      <c r="D543" s="1"/>
      <c r="E543" s="1"/>
      <c r="F543" s="1"/>
      <c r="G543" s="1"/>
      <c r="H543" s="1"/>
    </row>
    <row r="544" spans="2:8" x14ac:dyDescent="0.2">
      <c r="B544" s="1"/>
      <c r="C544" s="1"/>
      <c r="D544" s="1"/>
      <c r="E544" s="1"/>
      <c r="F544" s="1"/>
      <c r="G544" s="1"/>
      <c r="H544" s="1"/>
    </row>
    <row r="545" spans="2:8" x14ac:dyDescent="0.2">
      <c r="B545" s="1"/>
      <c r="C545" s="1"/>
      <c r="D545" s="1"/>
      <c r="E545" s="1"/>
      <c r="F545" s="1"/>
      <c r="G545" s="1"/>
      <c r="H545" s="1"/>
    </row>
    <row r="546" spans="2:8" x14ac:dyDescent="0.2">
      <c r="B546" s="1"/>
      <c r="C546" s="1"/>
      <c r="D546" s="1"/>
      <c r="E546" s="1"/>
      <c r="F546" s="1"/>
      <c r="G546" s="1"/>
      <c r="H546" s="1"/>
    </row>
    <row r="547" spans="2:8" x14ac:dyDescent="0.2">
      <c r="B547" s="1"/>
      <c r="C547" s="1"/>
      <c r="D547" s="1"/>
      <c r="E547" s="1"/>
      <c r="F547" s="1"/>
      <c r="G547" s="1"/>
      <c r="H547" s="1"/>
    </row>
    <row r="548" spans="2:8" x14ac:dyDescent="0.2">
      <c r="B548" s="1"/>
      <c r="C548" s="1"/>
      <c r="D548" s="1"/>
      <c r="E548" s="1"/>
      <c r="F548" s="1"/>
      <c r="G548" s="1"/>
      <c r="H548" s="1"/>
    </row>
    <row r="549" spans="2:8" x14ac:dyDescent="0.2">
      <c r="B549" s="1"/>
      <c r="C549" s="1"/>
      <c r="D549" s="1"/>
      <c r="E549" s="1"/>
      <c r="F549" s="1"/>
      <c r="G549" s="1"/>
      <c r="H549" s="1"/>
    </row>
    <row r="550" spans="2:8" x14ac:dyDescent="0.2">
      <c r="B550" s="1"/>
      <c r="C550" s="1"/>
      <c r="D550" s="1"/>
      <c r="E550" s="1"/>
      <c r="F550" s="1"/>
      <c r="G550" s="1"/>
      <c r="H550" s="1"/>
    </row>
    <row r="551" spans="2:8" x14ac:dyDescent="0.2">
      <c r="B551" s="1"/>
      <c r="C551" s="1"/>
      <c r="D551" s="1"/>
      <c r="E551" s="1"/>
      <c r="F551" s="1"/>
      <c r="G551" s="1"/>
      <c r="H551" s="1"/>
    </row>
    <row r="552" spans="2:8" x14ac:dyDescent="0.2">
      <c r="B552" s="1"/>
      <c r="C552" s="1"/>
      <c r="D552" s="1"/>
      <c r="E552" s="1"/>
      <c r="F552" s="1"/>
      <c r="G552" s="1"/>
      <c r="H552" s="1"/>
    </row>
    <row r="553" spans="2:8" x14ac:dyDescent="0.2">
      <c r="B553" s="1"/>
      <c r="C553" s="1"/>
      <c r="D553" s="1"/>
      <c r="E553" s="1"/>
      <c r="F553" s="1"/>
      <c r="G553" s="1"/>
      <c r="H553" s="1"/>
    </row>
    <row r="554" spans="2:8" x14ac:dyDescent="0.2">
      <c r="B554" s="1"/>
      <c r="C554" s="1"/>
      <c r="D554" s="1"/>
      <c r="E554" s="1"/>
      <c r="F554" s="1"/>
      <c r="G554" s="1"/>
      <c r="H554" s="1"/>
    </row>
    <row r="555" spans="2:8" x14ac:dyDescent="0.2">
      <c r="B555" s="1"/>
      <c r="C555" s="1"/>
      <c r="D555" s="1"/>
      <c r="E555" s="1"/>
      <c r="F555" s="1"/>
      <c r="G555" s="1"/>
      <c r="H555" s="1"/>
    </row>
    <row r="556" spans="2:8" x14ac:dyDescent="0.2">
      <c r="B556" s="1"/>
      <c r="C556" s="1"/>
      <c r="D556" s="1"/>
      <c r="E556" s="1"/>
      <c r="F556" s="1"/>
      <c r="G556" s="1"/>
      <c r="H556" s="1"/>
    </row>
    <row r="557" spans="2:8" x14ac:dyDescent="0.2">
      <c r="B557" s="1"/>
      <c r="C557" s="1"/>
      <c r="D557" s="1"/>
      <c r="E557" s="1"/>
      <c r="F557" s="1"/>
      <c r="G557" s="1"/>
      <c r="H557" s="1"/>
    </row>
    <row r="558" spans="2:8" x14ac:dyDescent="0.2">
      <c r="B558" s="1"/>
      <c r="C558" s="1"/>
      <c r="D558" s="1"/>
      <c r="E558" s="1"/>
      <c r="F558" s="1"/>
      <c r="G558" s="1"/>
      <c r="H558" s="1"/>
    </row>
    <row r="559" spans="2:8" x14ac:dyDescent="0.2">
      <c r="B559" s="1"/>
      <c r="C559" s="1"/>
      <c r="D559" s="1"/>
      <c r="E559" s="1"/>
      <c r="F559" s="1"/>
      <c r="G559" s="1"/>
      <c r="H559" s="1"/>
    </row>
    <row r="560" spans="2:8" x14ac:dyDescent="0.2">
      <c r="B560" s="1"/>
      <c r="C560" s="1"/>
      <c r="D560" s="1"/>
      <c r="E560" s="1"/>
      <c r="F560" s="1"/>
      <c r="G560" s="1"/>
      <c r="H560" s="1"/>
    </row>
    <row r="561" spans="2:8" x14ac:dyDescent="0.2">
      <c r="B561" s="1"/>
      <c r="C561" s="1"/>
      <c r="D561" s="1"/>
      <c r="E561" s="1"/>
      <c r="F561" s="1"/>
      <c r="G561" s="1"/>
      <c r="H561" s="1"/>
    </row>
    <row r="562" spans="2:8" x14ac:dyDescent="0.2">
      <c r="B562" s="1"/>
      <c r="C562" s="1"/>
      <c r="D562" s="1"/>
      <c r="E562" s="1"/>
      <c r="F562" s="1"/>
      <c r="G562" s="1"/>
      <c r="H562" s="1"/>
    </row>
    <row r="563" spans="2:8" x14ac:dyDescent="0.2">
      <c r="B563" s="1"/>
      <c r="C563" s="1"/>
      <c r="D563" s="1"/>
      <c r="E563" s="1"/>
      <c r="F563" s="1"/>
      <c r="G563" s="1"/>
      <c r="H563" s="1"/>
    </row>
    <row r="564" spans="2:8" x14ac:dyDescent="0.2">
      <c r="B564" s="1"/>
      <c r="C564" s="1"/>
      <c r="D564" s="1"/>
      <c r="E564" s="1"/>
      <c r="F564" s="1"/>
      <c r="G564" s="1"/>
      <c r="H564" s="1"/>
    </row>
    <row r="565" spans="2:8" x14ac:dyDescent="0.2">
      <c r="B565" s="1"/>
      <c r="C565" s="1"/>
      <c r="D565" s="1"/>
      <c r="E565" s="1"/>
      <c r="F565" s="1"/>
      <c r="G565" s="1"/>
      <c r="H565" s="1"/>
    </row>
    <row r="566" spans="2:8" x14ac:dyDescent="0.2">
      <c r="B566" s="1"/>
      <c r="C566" s="1"/>
      <c r="D566" s="1"/>
      <c r="E566" s="1"/>
      <c r="F566" s="1"/>
      <c r="G566" s="1"/>
      <c r="H566" s="1"/>
    </row>
    <row r="567" spans="2:8" x14ac:dyDescent="0.2">
      <c r="B567" s="1"/>
      <c r="C567" s="1"/>
      <c r="D567" s="1"/>
      <c r="E567" s="1"/>
      <c r="F567" s="1"/>
      <c r="G567" s="1"/>
      <c r="H567" s="1"/>
    </row>
    <row r="568" spans="2:8" x14ac:dyDescent="0.2">
      <c r="B568" s="1"/>
      <c r="C568" s="1"/>
      <c r="D568" s="1"/>
      <c r="E568" s="1"/>
      <c r="F568" s="1"/>
      <c r="G568" s="1"/>
      <c r="H568" s="1"/>
    </row>
    <row r="569" spans="2:8" x14ac:dyDescent="0.2">
      <c r="B569" s="1"/>
      <c r="C569" s="1"/>
      <c r="D569" s="1"/>
      <c r="E569" s="1"/>
      <c r="F569" s="1"/>
      <c r="G569" s="1"/>
      <c r="H569" s="1"/>
    </row>
    <row r="570" spans="2:8" x14ac:dyDescent="0.2">
      <c r="B570" s="1"/>
      <c r="C570" s="1"/>
      <c r="D570" s="1"/>
      <c r="E570" s="1"/>
      <c r="F570" s="1"/>
      <c r="G570" s="1"/>
      <c r="H570" s="1"/>
    </row>
    <row r="571" spans="2:8" x14ac:dyDescent="0.2">
      <c r="B571" s="1"/>
      <c r="C571" s="1"/>
      <c r="D571" s="1"/>
      <c r="E571" s="1"/>
      <c r="F571" s="1"/>
      <c r="G571" s="1"/>
      <c r="H571" s="1"/>
    </row>
    <row r="572" spans="2:8" x14ac:dyDescent="0.2">
      <c r="B572" s="1"/>
      <c r="C572" s="1"/>
      <c r="D572" s="1"/>
      <c r="E572" s="1"/>
      <c r="F572" s="1"/>
      <c r="G572" s="1"/>
      <c r="H572" s="1"/>
    </row>
    <row r="573" spans="2:8" x14ac:dyDescent="0.2">
      <c r="B573" s="1"/>
      <c r="C573" s="1"/>
      <c r="D573" s="1"/>
      <c r="E573" s="1"/>
      <c r="F573" s="1"/>
      <c r="G573" s="1"/>
      <c r="H573" s="1"/>
    </row>
    <row r="574" spans="2:8" x14ac:dyDescent="0.2">
      <c r="B574" s="1"/>
      <c r="C574" s="1"/>
      <c r="D574" s="1"/>
      <c r="E574" s="1"/>
      <c r="F574" s="1"/>
      <c r="G574" s="1"/>
      <c r="H574" s="1"/>
    </row>
    <row r="575" spans="2:8" x14ac:dyDescent="0.2">
      <c r="B575" s="1"/>
      <c r="C575" s="1"/>
      <c r="D575" s="1"/>
      <c r="E575" s="1"/>
      <c r="F575" s="1"/>
      <c r="G575" s="1"/>
      <c r="H575" s="1"/>
    </row>
    <row r="576" spans="2:8" x14ac:dyDescent="0.2">
      <c r="B576" s="1"/>
      <c r="C576" s="1"/>
      <c r="D576" s="1"/>
      <c r="E576" s="1"/>
      <c r="F576" s="1"/>
      <c r="G576" s="1"/>
      <c r="H576" s="1"/>
    </row>
    <row r="577" spans="2:8" x14ac:dyDescent="0.2">
      <c r="B577" s="1"/>
      <c r="C577" s="1"/>
      <c r="D577" s="1"/>
      <c r="E577" s="1"/>
      <c r="F577" s="1"/>
      <c r="G577" s="1"/>
      <c r="H577" s="1"/>
    </row>
    <row r="578" spans="2:8" x14ac:dyDescent="0.2">
      <c r="B578" s="1"/>
      <c r="C578" s="1"/>
      <c r="D578" s="1"/>
      <c r="E578" s="1"/>
      <c r="F578" s="1"/>
      <c r="G578" s="1"/>
      <c r="H578" s="1"/>
    </row>
    <row r="579" spans="2:8" x14ac:dyDescent="0.2">
      <c r="B579" s="1"/>
      <c r="C579" s="1"/>
      <c r="D579" s="1"/>
      <c r="E579" s="1"/>
      <c r="F579" s="1"/>
      <c r="G579" s="1"/>
      <c r="H579" s="1"/>
    </row>
    <row r="580" spans="2:8" x14ac:dyDescent="0.2">
      <c r="B580" s="1"/>
      <c r="C580" s="1"/>
      <c r="D580" s="1"/>
      <c r="E580" s="1"/>
      <c r="F580" s="1"/>
      <c r="G580" s="1"/>
      <c r="H580" s="1"/>
    </row>
    <row r="581" spans="2:8" x14ac:dyDescent="0.2">
      <c r="B581" s="1"/>
      <c r="C581" s="1"/>
      <c r="D581" s="1"/>
      <c r="E581" s="1"/>
      <c r="F581" s="1"/>
      <c r="G581" s="1"/>
      <c r="H581" s="1"/>
    </row>
    <row r="582" spans="2:8" x14ac:dyDescent="0.2">
      <c r="B582" s="1"/>
      <c r="C582" s="1"/>
      <c r="D582" s="1"/>
      <c r="E582" s="1"/>
      <c r="F582" s="1"/>
      <c r="G582" s="1"/>
      <c r="H582" s="1"/>
    </row>
    <row r="583" spans="2:8" x14ac:dyDescent="0.2">
      <c r="B583" s="1"/>
      <c r="C583" s="1"/>
      <c r="D583" s="1"/>
      <c r="E583" s="1"/>
      <c r="F583" s="1"/>
      <c r="G583" s="1"/>
      <c r="H583" s="1"/>
    </row>
    <row r="584" spans="2:8" x14ac:dyDescent="0.2">
      <c r="B584" s="1"/>
      <c r="C584" s="1"/>
      <c r="D584" s="1"/>
      <c r="E584" s="1"/>
      <c r="F584" s="1"/>
      <c r="G584" s="1"/>
      <c r="H584" s="1"/>
    </row>
    <row r="585" spans="2:8" x14ac:dyDescent="0.2">
      <c r="B585" s="1"/>
      <c r="C585" s="1"/>
      <c r="D585" s="1"/>
      <c r="E585" s="1"/>
      <c r="F585" s="1"/>
      <c r="G585" s="1"/>
      <c r="H585" s="1"/>
    </row>
    <row r="586" spans="2:8" x14ac:dyDescent="0.2">
      <c r="B586" s="1"/>
      <c r="C586" s="1"/>
      <c r="D586" s="1"/>
      <c r="E586" s="1"/>
      <c r="F586" s="1"/>
      <c r="G586" s="1"/>
      <c r="H586" s="1"/>
    </row>
    <row r="587" spans="2:8" x14ac:dyDescent="0.2">
      <c r="B587" s="1"/>
      <c r="C587" s="1"/>
      <c r="D587" s="1"/>
      <c r="E587" s="1"/>
      <c r="F587" s="1"/>
      <c r="G587" s="1"/>
      <c r="H587" s="1"/>
    </row>
    <row r="588" spans="2:8" x14ac:dyDescent="0.2">
      <c r="B588" s="1"/>
      <c r="C588" s="1"/>
      <c r="D588" s="1"/>
      <c r="E588" s="1"/>
      <c r="F588" s="1"/>
      <c r="G588" s="1"/>
      <c r="H588" s="1"/>
    </row>
    <row r="589" spans="2:8" x14ac:dyDescent="0.2">
      <c r="B589" s="1"/>
      <c r="C589" s="1"/>
      <c r="D589" s="1"/>
      <c r="E589" s="1"/>
      <c r="F589" s="1"/>
      <c r="G589" s="1"/>
      <c r="H589" s="1"/>
    </row>
    <row r="590" spans="2:8" x14ac:dyDescent="0.2">
      <c r="B590" s="1"/>
      <c r="C590" s="1"/>
      <c r="D590" s="1"/>
      <c r="E590" s="1"/>
      <c r="F590" s="1"/>
      <c r="G590" s="1"/>
      <c r="H590" s="1"/>
    </row>
    <row r="591" spans="2:8" x14ac:dyDescent="0.2">
      <c r="B591" s="1"/>
      <c r="C591" s="1"/>
      <c r="D591" s="1"/>
      <c r="E591" s="1"/>
      <c r="F591" s="1"/>
      <c r="G591" s="1"/>
      <c r="H591" s="1"/>
    </row>
    <row r="592" spans="2:8" x14ac:dyDescent="0.2">
      <c r="B592" s="1"/>
      <c r="C592" s="1"/>
      <c r="D592" s="1"/>
      <c r="E592" s="1"/>
      <c r="F592" s="1"/>
      <c r="G592" s="1"/>
      <c r="H592" s="1"/>
    </row>
    <row r="593" spans="2:8" x14ac:dyDescent="0.2">
      <c r="B593" s="1"/>
      <c r="C593" s="1"/>
      <c r="D593" s="1"/>
      <c r="E593" s="1"/>
      <c r="F593" s="1"/>
      <c r="G593" s="1"/>
      <c r="H593" s="1"/>
    </row>
    <row r="594" spans="2:8" x14ac:dyDescent="0.2">
      <c r="B594" s="1"/>
      <c r="C594" s="1"/>
      <c r="D594" s="1"/>
      <c r="E594" s="1"/>
      <c r="F594" s="1"/>
      <c r="G594" s="1"/>
      <c r="H594" s="1"/>
    </row>
    <row r="595" spans="2:8" x14ac:dyDescent="0.2">
      <c r="B595" s="1"/>
      <c r="C595" s="1"/>
      <c r="D595" s="1"/>
      <c r="E595" s="1"/>
      <c r="F595" s="1"/>
      <c r="G595" s="1"/>
      <c r="H595" s="1"/>
    </row>
    <row r="596" spans="2:8" x14ac:dyDescent="0.2">
      <c r="B596" s="1"/>
      <c r="C596" s="1"/>
      <c r="D596" s="1"/>
      <c r="E596" s="1"/>
      <c r="F596" s="1"/>
      <c r="G596" s="1"/>
      <c r="H596" s="1"/>
    </row>
    <row r="597" spans="2:8" x14ac:dyDescent="0.2">
      <c r="B597" s="1"/>
      <c r="C597" s="1"/>
      <c r="D597" s="1"/>
      <c r="E597" s="1"/>
      <c r="F597" s="1"/>
      <c r="G597" s="1"/>
      <c r="H597" s="1"/>
    </row>
    <row r="598" spans="2:8" x14ac:dyDescent="0.2">
      <c r="B598" s="1"/>
      <c r="C598" s="1"/>
      <c r="D598" s="1"/>
      <c r="E598" s="1"/>
      <c r="F598" s="1"/>
      <c r="G598" s="1"/>
      <c r="H598" s="1"/>
    </row>
    <row r="599" spans="2:8" x14ac:dyDescent="0.2">
      <c r="B599" s="1"/>
      <c r="C599" s="1"/>
      <c r="D599" s="1"/>
      <c r="E599" s="1"/>
      <c r="F599" s="1"/>
      <c r="G599" s="1"/>
      <c r="H599" s="1"/>
    </row>
    <row r="600" spans="2:8" x14ac:dyDescent="0.2">
      <c r="B600" s="1"/>
      <c r="C600" s="1"/>
      <c r="D600" s="1"/>
      <c r="E600" s="1"/>
      <c r="F600" s="1"/>
      <c r="G600" s="1"/>
      <c r="H600" s="1"/>
    </row>
    <row r="601" spans="2:8" x14ac:dyDescent="0.2">
      <c r="B601" s="1"/>
      <c r="C601" s="1"/>
      <c r="D601" s="1"/>
      <c r="E601" s="1"/>
      <c r="F601" s="1"/>
      <c r="G601" s="1"/>
      <c r="H601" s="1"/>
    </row>
    <row r="602" spans="2:8" x14ac:dyDescent="0.2">
      <c r="B602" s="1"/>
      <c r="C602" s="1"/>
      <c r="D602" s="1"/>
      <c r="E602" s="1"/>
      <c r="F602" s="1"/>
      <c r="G602" s="1"/>
      <c r="H602" s="1"/>
    </row>
    <row r="603" spans="2:8" x14ac:dyDescent="0.2">
      <c r="B603" s="1"/>
      <c r="C603" s="1"/>
      <c r="D603" s="1"/>
      <c r="E603" s="1"/>
      <c r="F603" s="1"/>
      <c r="G603" s="1"/>
      <c r="H603" s="1"/>
    </row>
    <row r="604" spans="2:8" x14ac:dyDescent="0.2">
      <c r="B604" s="1"/>
      <c r="C604" s="1"/>
      <c r="D604" s="1"/>
      <c r="E604" s="1"/>
      <c r="F604" s="1"/>
      <c r="G604" s="1"/>
      <c r="H604" s="1"/>
    </row>
    <row r="605" spans="2:8" x14ac:dyDescent="0.2">
      <c r="B605" s="1"/>
      <c r="C605" s="1"/>
      <c r="D605" s="1"/>
      <c r="E605" s="1"/>
      <c r="F605" s="1"/>
      <c r="G605" s="1"/>
      <c r="H605" s="1"/>
    </row>
    <row r="606" spans="2:8" x14ac:dyDescent="0.2">
      <c r="B606" s="1"/>
      <c r="C606" s="1"/>
      <c r="D606" s="1"/>
      <c r="E606" s="1"/>
      <c r="F606" s="1"/>
      <c r="G606" s="1"/>
      <c r="H606" s="1"/>
    </row>
    <row r="607" spans="2:8" x14ac:dyDescent="0.2">
      <c r="B607" s="1"/>
      <c r="C607" s="1"/>
      <c r="D607" s="1"/>
      <c r="E607" s="1"/>
      <c r="F607" s="1"/>
      <c r="G607" s="1"/>
      <c r="H607" s="1"/>
    </row>
    <row r="608" spans="2:8" x14ac:dyDescent="0.2">
      <c r="B608" s="1"/>
      <c r="C608" s="1"/>
      <c r="D608" s="1"/>
      <c r="E608" s="1"/>
      <c r="F608" s="1"/>
      <c r="G608" s="1"/>
      <c r="H608" s="1"/>
    </row>
    <row r="609" spans="2:8" x14ac:dyDescent="0.2">
      <c r="B609" s="1"/>
      <c r="C609" s="1"/>
      <c r="D609" s="1"/>
      <c r="E609" s="1"/>
      <c r="F609" s="1"/>
      <c r="G609" s="1"/>
      <c r="H609" s="1"/>
    </row>
    <row r="610" spans="2:8" x14ac:dyDescent="0.2">
      <c r="B610" s="1"/>
      <c r="C610" s="1"/>
      <c r="D610" s="1"/>
      <c r="E610" s="1"/>
      <c r="F610" s="1"/>
      <c r="G610" s="1"/>
      <c r="H610" s="1"/>
    </row>
    <row r="611" spans="2:8" x14ac:dyDescent="0.2">
      <c r="B611" s="1"/>
      <c r="C611" s="1"/>
      <c r="D611" s="1"/>
      <c r="E611" s="1"/>
      <c r="F611" s="1"/>
      <c r="G611" s="1"/>
      <c r="H611" s="1"/>
    </row>
    <row r="612" spans="2:8" x14ac:dyDescent="0.2">
      <c r="B612" s="1"/>
      <c r="C612" s="1"/>
      <c r="D612" s="1"/>
      <c r="E612" s="1"/>
      <c r="F612" s="1"/>
      <c r="G612" s="1"/>
      <c r="H612" s="1"/>
    </row>
    <row r="613" spans="2:8" x14ac:dyDescent="0.2">
      <c r="B613" s="1"/>
      <c r="C613" s="1"/>
      <c r="D613" s="1"/>
      <c r="E613" s="1"/>
      <c r="F613" s="1"/>
      <c r="G613" s="1"/>
      <c r="H613" s="1"/>
    </row>
    <row r="614" spans="2:8" x14ac:dyDescent="0.2">
      <c r="B614" s="1"/>
      <c r="C614" s="1"/>
      <c r="D614" s="1"/>
      <c r="E614" s="1"/>
      <c r="F614" s="1"/>
      <c r="G614" s="1"/>
      <c r="H614" s="1"/>
    </row>
    <row r="615" spans="2:8" x14ac:dyDescent="0.2">
      <c r="B615" s="1"/>
      <c r="C615" s="1"/>
      <c r="D615" s="1"/>
      <c r="E615" s="1"/>
      <c r="F615" s="1"/>
      <c r="G615" s="1"/>
      <c r="H615" s="1"/>
    </row>
    <row r="616" spans="2:8" x14ac:dyDescent="0.2">
      <c r="B616" s="1"/>
      <c r="C616" s="1"/>
      <c r="D616" s="1"/>
      <c r="E616" s="1"/>
      <c r="F616" s="1"/>
      <c r="G616" s="1"/>
      <c r="H616" s="1"/>
    </row>
    <row r="617" spans="2:8" x14ac:dyDescent="0.2">
      <c r="B617" s="1"/>
      <c r="C617" s="1"/>
      <c r="D617" s="1"/>
      <c r="E617" s="1"/>
      <c r="F617" s="1"/>
      <c r="G617" s="1"/>
      <c r="H617" s="1"/>
    </row>
    <row r="618" spans="2:8" x14ac:dyDescent="0.2">
      <c r="B618" s="1"/>
      <c r="C618" s="1"/>
      <c r="D618" s="1"/>
      <c r="E618" s="1"/>
      <c r="F618" s="1"/>
      <c r="G618" s="1"/>
      <c r="H618" s="1"/>
    </row>
    <row r="619" spans="2:8" x14ac:dyDescent="0.2">
      <c r="B619" s="1"/>
      <c r="C619" s="1"/>
      <c r="D619" s="1"/>
      <c r="E619" s="1"/>
      <c r="F619" s="1"/>
      <c r="G619" s="1"/>
      <c r="H619" s="1"/>
    </row>
    <row r="620" spans="2:8" x14ac:dyDescent="0.2">
      <c r="B620" s="1"/>
      <c r="C620" s="1"/>
      <c r="D620" s="1"/>
      <c r="E620" s="1"/>
      <c r="F620" s="1"/>
      <c r="G620" s="1"/>
      <c r="H620" s="1"/>
    </row>
    <row r="621" spans="2:8" x14ac:dyDescent="0.2">
      <c r="B621" s="1"/>
      <c r="C621" s="1"/>
      <c r="D621" s="1"/>
      <c r="E621" s="1"/>
      <c r="F621" s="1"/>
      <c r="G621" s="1"/>
      <c r="H621" s="1"/>
    </row>
    <row r="622" spans="2:8" x14ac:dyDescent="0.2">
      <c r="B622" s="1"/>
      <c r="C622" s="1"/>
      <c r="D622" s="1"/>
      <c r="E622" s="1"/>
      <c r="F622" s="1"/>
      <c r="G622" s="1"/>
      <c r="H622" s="1"/>
    </row>
    <row r="623" spans="2:8" x14ac:dyDescent="0.2">
      <c r="B623" s="1"/>
      <c r="C623" s="1"/>
      <c r="D623" s="1"/>
      <c r="E623" s="1"/>
      <c r="F623" s="1"/>
      <c r="G623" s="1"/>
      <c r="H623" s="1"/>
    </row>
    <row r="624" spans="2:8" x14ac:dyDescent="0.2">
      <c r="B624" s="1"/>
      <c r="C624" s="1"/>
      <c r="D624" s="1"/>
      <c r="E624" s="1"/>
      <c r="F624" s="1"/>
      <c r="G624" s="1"/>
      <c r="H624" s="1"/>
    </row>
    <row r="625" spans="2:8" x14ac:dyDescent="0.2">
      <c r="B625" s="1"/>
      <c r="C625" s="1"/>
      <c r="D625" s="1"/>
      <c r="E625" s="1"/>
      <c r="F625" s="1"/>
      <c r="G625" s="1"/>
      <c r="H625" s="1"/>
    </row>
    <row r="626" spans="2:8" x14ac:dyDescent="0.2">
      <c r="B626" s="1"/>
      <c r="C626" s="1"/>
      <c r="D626" s="1"/>
      <c r="E626" s="1"/>
      <c r="F626" s="1"/>
      <c r="G626" s="1"/>
      <c r="H626" s="1"/>
    </row>
    <row r="627" spans="2:8" x14ac:dyDescent="0.2">
      <c r="B627" s="1"/>
      <c r="C627" s="1"/>
      <c r="D627" s="1"/>
      <c r="E627" s="1"/>
      <c r="F627" s="1"/>
      <c r="G627" s="1"/>
      <c r="H627" s="1"/>
    </row>
    <row r="628" spans="2:8" x14ac:dyDescent="0.2">
      <c r="B628" s="1"/>
      <c r="C628" s="1"/>
      <c r="D628" s="1"/>
      <c r="E628" s="1"/>
      <c r="F628" s="1"/>
      <c r="G628" s="1"/>
      <c r="H628" s="1"/>
    </row>
    <row r="629" spans="2:8" x14ac:dyDescent="0.2">
      <c r="B629" s="1"/>
      <c r="C629" s="1"/>
      <c r="D629" s="1"/>
      <c r="E629" s="1"/>
      <c r="F629" s="1"/>
      <c r="G629" s="1"/>
      <c r="H629" s="1"/>
    </row>
    <row r="630" spans="2:8" x14ac:dyDescent="0.2">
      <c r="B630" s="1"/>
      <c r="C630" s="1"/>
      <c r="D630" s="1"/>
      <c r="E630" s="1"/>
      <c r="F630" s="1"/>
      <c r="G630" s="1"/>
      <c r="H630" s="1"/>
    </row>
    <row r="631" spans="2:8" x14ac:dyDescent="0.2">
      <c r="B631" s="1"/>
      <c r="C631" s="1"/>
      <c r="D631" s="1"/>
      <c r="E631" s="1"/>
      <c r="F631" s="1"/>
      <c r="G631" s="1"/>
      <c r="H631" s="1"/>
    </row>
    <row r="632" spans="2:8" x14ac:dyDescent="0.2">
      <c r="B632" s="1"/>
      <c r="C632" s="1"/>
      <c r="D632" s="1"/>
      <c r="E632" s="1"/>
      <c r="F632" s="1"/>
      <c r="G632" s="1"/>
      <c r="H632" s="1"/>
    </row>
    <row r="633" spans="2:8" x14ac:dyDescent="0.2">
      <c r="B633" s="1"/>
      <c r="C633" s="1"/>
      <c r="D633" s="1"/>
      <c r="E633" s="1"/>
      <c r="F633" s="1"/>
      <c r="G633" s="1"/>
      <c r="H633" s="1"/>
    </row>
    <row r="634" spans="2:8" x14ac:dyDescent="0.2">
      <c r="B634" s="1"/>
      <c r="C634" s="1"/>
      <c r="D634" s="1"/>
      <c r="E634" s="1"/>
      <c r="F634" s="1"/>
      <c r="G634" s="1"/>
      <c r="H634" s="1"/>
    </row>
    <row r="635" spans="2:8" x14ac:dyDescent="0.2">
      <c r="B635" s="1"/>
      <c r="C635" s="1"/>
      <c r="D635" s="1"/>
      <c r="E635" s="1"/>
      <c r="F635" s="1"/>
      <c r="G635" s="1"/>
      <c r="H635" s="1"/>
    </row>
    <row r="636" spans="2:8" x14ac:dyDescent="0.2">
      <c r="B636" s="1"/>
      <c r="C636" s="1"/>
      <c r="D636" s="1"/>
      <c r="E636" s="1"/>
      <c r="F636" s="1"/>
      <c r="G636" s="1"/>
      <c r="H636" s="1"/>
    </row>
    <row r="637" spans="2:8" x14ac:dyDescent="0.2">
      <c r="B637" s="1"/>
      <c r="C637" s="1"/>
      <c r="D637" s="1"/>
      <c r="E637" s="1"/>
      <c r="F637" s="1"/>
      <c r="G637" s="1"/>
      <c r="H637" s="1"/>
    </row>
    <row r="638" spans="2:8" x14ac:dyDescent="0.2">
      <c r="B638" s="1"/>
      <c r="C638" s="1"/>
      <c r="D638" s="1"/>
      <c r="E638" s="1"/>
      <c r="F638" s="1"/>
      <c r="G638" s="1"/>
      <c r="H638" s="1"/>
    </row>
    <row r="639" spans="2:8" x14ac:dyDescent="0.2">
      <c r="B639" s="1"/>
      <c r="C639" s="1"/>
      <c r="D639" s="1"/>
      <c r="E639" s="1"/>
      <c r="F639" s="1"/>
      <c r="G639" s="1"/>
      <c r="H639" s="1"/>
    </row>
    <row r="640" spans="2:8" x14ac:dyDescent="0.2">
      <c r="B640" s="1"/>
      <c r="C640" s="1"/>
      <c r="D640" s="1"/>
      <c r="E640" s="1"/>
      <c r="F640" s="1"/>
      <c r="G640" s="1"/>
      <c r="H640" s="1"/>
    </row>
    <row r="641" spans="2:8" x14ac:dyDescent="0.2">
      <c r="B641" s="1"/>
      <c r="C641" s="1"/>
      <c r="D641" s="1"/>
      <c r="E641" s="1"/>
      <c r="F641" s="1"/>
      <c r="G641" s="1"/>
      <c r="H641" s="1"/>
    </row>
    <row r="642" spans="2:8" x14ac:dyDescent="0.2">
      <c r="B642" s="1"/>
      <c r="C642" s="1"/>
      <c r="D642" s="1"/>
      <c r="E642" s="1"/>
      <c r="F642" s="1"/>
      <c r="G642" s="1"/>
      <c r="H642" s="1"/>
    </row>
    <row r="643" spans="2:8" x14ac:dyDescent="0.2">
      <c r="B643" s="1"/>
      <c r="C643" s="1"/>
      <c r="D643" s="1"/>
      <c r="E643" s="1"/>
      <c r="F643" s="1"/>
      <c r="G643" s="1"/>
      <c r="H643" s="1"/>
    </row>
    <row r="644" spans="2:8" x14ac:dyDescent="0.2">
      <c r="B644" s="1"/>
      <c r="C644" s="1"/>
      <c r="D644" s="1"/>
      <c r="E644" s="1"/>
      <c r="F644" s="1"/>
      <c r="G644" s="1"/>
      <c r="H644" s="1"/>
    </row>
    <row r="645" spans="2:8" x14ac:dyDescent="0.2">
      <c r="B645" s="1"/>
      <c r="C645" s="1"/>
      <c r="D645" s="1"/>
      <c r="E645" s="1"/>
      <c r="F645" s="1"/>
      <c r="G645" s="1"/>
      <c r="H645" s="1"/>
    </row>
    <row r="646" spans="2:8" x14ac:dyDescent="0.2">
      <c r="B646" s="1"/>
      <c r="C646" s="1"/>
      <c r="D646" s="1"/>
      <c r="E646" s="1"/>
      <c r="F646" s="1"/>
      <c r="G646" s="1"/>
      <c r="H646" s="1"/>
    </row>
    <row r="647" spans="2:8" x14ac:dyDescent="0.2">
      <c r="B647" s="1"/>
      <c r="C647" s="1"/>
      <c r="D647" s="1"/>
      <c r="E647" s="1"/>
      <c r="F647" s="1"/>
      <c r="G647" s="1"/>
      <c r="H647" s="1"/>
    </row>
    <row r="648" spans="2:8" x14ac:dyDescent="0.2">
      <c r="B648" s="1"/>
      <c r="C648" s="1"/>
      <c r="D648" s="1"/>
      <c r="E648" s="1"/>
      <c r="F648" s="1"/>
      <c r="G648" s="1"/>
      <c r="H648" s="1"/>
    </row>
    <row r="649" spans="2:8" x14ac:dyDescent="0.2">
      <c r="B649" s="1"/>
      <c r="C649" s="1"/>
      <c r="D649" s="1"/>
      <c r="E649" s="1"/>
      <c r="F649" s="1"/>
      <c r="G649" s="1"/>
      <c r="H649" s="1"/>
    </row>
    <row r="650" spans="2:8" x14ac:dyDescent="0.2">
      <c r="B650" s="1"/>
      <c r="C650" s="1"/>
      <c r="D650" s="1"/>
      <c r="E650" s="1"/>
      <c r="F650" s="1"/>
      <c r="G650" s="1"/>
      <c r="H650" s="1"/>
    </row>
    <row r="651" spans="2:8" x14ac:dyDescent="0.2">
      <c r="B651" s="1"/>
      <c r="C651" s="1"/>
      <c r="D651" s="1"/>
      <c r="E651" s="1"/>
      <c r="F651" s="1"/>
      <c r="G651" s="1"/>
      <c r="H651" s="1"/>
    </row>
    <row r="652" spans="2:8" x14ac:dyDescent="0.2">
      <c r="B652" s="1"/>
      <c r="C652" s="1"/>
      <c r="D652" s="1"/>
      <c r="E652" s="1"/>
      <c r="F652" s="1"/>
      <c r="G652" s="1"/>
      <c r="H652" s="1"/>
    </row>
    <row r="653" spans="2:8" x14ac:dyDescent="0.2">
      <c r="B653" s="1"/>
      <c r="C653" s="1"/>
      <c r="D653" s="1"/>
      <c r="E653" s="1"/>
      <c r="F653" s="1"/>
      <c r="G653" s="1"/>
      <c r="H653" s="1"/>
    </row>
    <row r="654" spans="2:8" x14ac:dyDescent="0.2">
      <c r="B654" s="1"/>
      <c r="C654" s="1"/>
      <c r="D654" s="1"/>
      <c r="E654" s="1"/>
      <c r="F654" s="1"/>
      <c r="G654" s="1"/>
      <c r="H654" s="1"/>
    </row>
    <row r="655" spans="2:8" x14ac:dyDescent="0.2">
      <c r="B655" s="1"/>
      <c r="C655" s="1"/>
      <c r="D655" s="1"/>
      <c r="E655" s="1"/>
      <c r="F655" s="1"/>
      <c r="G655" s="1"/>
      <c r="H655" s="1"/>
    </row>
    <row r="656" spans="2:8" x14ac:dyDescent="0.2">
      <c r="B656" s="1"/>
      <c r="C656" s="1"/>
      <c r="D656" s="1"/>
      <c r="E656" s="1"/>
      <c r="F656" s="1"/>
      <c r="G656" s="1"/>
      <c r="H656" s="1"/>
    </row>
    <row r="657" spans="2:8" x14ac:dyDescent="0.2">
      <c r="B657" s="1"/>
      <c r="C657" s="1"/>
      <c r="D657" s="1"/>
      <c r="E657" s="1"/>
      <c r="F657" s="1"/>
      <c r="G657" s="1"/>
      <c r="H657" s="1"/>
    </row>
    <row r="658" spans="2:8" x14ac:dyDescent="0.2">
      <c r="B658" s="1"/>
      <c r="C658" s="1"/>
      <c r="D658" s="1"/>
      <c r="E658" s="1"/>
      <c r="F658" s="1"/>
      <c r="G658" s="1"/>
      <c r="H658" s="1"/>
    </row>
    <row r="659" spans="2:8" x14ac:dyDescent="0.2">
      <c r="B659" s="1"/>
      <c r="C659" s="1"/>
      <c r="D659" s="1"/>
      <c r="E659" s="1"/>
      <c r="F659" s="1"/>
      <c r="G659" s="1"/>
      <c r="H659" s="1"/>
    </row>
    <row r="660" spans="2:8" x14ac:dyDescent="0.2">
      <c r="B660" s="1"/>
      <c r="C660" s="1"/>
      <c r="D660" s="1"/>
      <c r="E660" s="1"/>
      <c r="F660" s="1"/>
      <c r="G660" s="1"/>
      <c r="H660" s="1"/>
    </row>
    <row r="661" spans="2:8" x14ac:dyDescent="0.2">
      <c r="B661" s="1"/>
      <c r="C661" s="1"/>
      <c r="D661" s="1"/>
      <c r="E661" s="1"/>
      <c r="F661" s="1"/>
      <c r="G661" s="1"/>
      <c r="H661" s="1"/>
    </row>
    <row r="662" spans="2:8" x14ac:dyDescent="0.2">
      <c r="B662" s="1"/>
      <c r="C662" s="1"/>
      <c r="D662" s="1"/>
      <c r="E662" s="1"/>
      <c r="F662" s="1"/>
      <c r="G662" s="1"/>
      <c r="H662" s="1"/>
    </row>
    <row r="663" spans="2:8" x14ac:dyDescent="0.2">
      <c r="B663" s="1"/>
      <c r="C663" s="1"/>
      <c r="D663" s="1"/>
      <c r="E663" s="1"/>
      <c r="F663" s="1"/>
      <c r="G663" s="1"/>
      <c r="H663" s="1"/>
    </row>
    <row r="664" spans="2:8" x14ac:dyDescent="0.2">
      <c r="B664" s="1"/>
      <c r="C664" s="1"/>
      <c r="D664" s="1"/>
      <c r="E664" s="1"/>
      <c r="F664" s="1"/>
      <c r="G664" s="1"/>
      <c r="H664" s="1"/>
    </row>
    <row r="665" spans="2:8" x14ac:dyDescent="0.2">
      <c r="B665" s="1"/>
      <c r="C665" s="1"/>
      <c r="D665" s="1"/>
      <c r="E665" s="1"/>
      <c r="F665" s="1"/>
      <c r="G665" s="1"/>
      <c r="H665" s="1"/>
    </row>
    <row r="666" spans="2:8" x14ac:dyDescent="0.2">
      <c r="B666" s="1"/>
      <c r="C666" s="1"/>
      <c r="D666" s="1"/>
      <c r="E666" s="1"/>
      <c r="F666" s="1"/>
      <c r="G666" s="1"/>
      <c r="H666" s="1"/>
    </row>
    <row r="667" spans="2:8" x14ac:dyDescent="0.2">
      <c r="B667" s="1"/>
      <c r="C667" s="1"/>
      <c r="D667" s="1"/>
      <c r="E667" s="1"/>
      <c r="F667" s="1"/>
      <c r="G667" s="1"/>
      <c r="H667" s="1"/>
    </row>
    <row r="668" spans="2:8" x14ac:dyDescent="0.2">
      <c r="B668" s="1"/>
      <c r="C668" s="1"/>
      <c r="D668" s="1"/>
      <c r="E668" s="1"/>
      <c r="F668" s="1"/>
      <c r="G668" s="1"/>
      <c r="H668" s="1"/>
    </row>
    <row r="669" spans="2:8" x14ac:dyDescent="0.2">
      <c r="B669" s="1"/>
      <c r="C669" s="1"/>
      <c r="D669" s="1"/>
      <c r="E669" s="1"/>
      <c r="F669" s="1"/>
      <c r="G669" s="1"/>
      <c r="H669" s="1"/>
    </row>
    <row r="670" spans="2:8" x14ac:dyDescent="0.2">
      <c r="B670" s="1"/>
      <c r="C670" s="1"/>
      <c r="D670" s="1"/>
      <c r="E670" s="1"/>
      <c r="F670" s="1"/>
      <c r="G670" s="1"/>
      <c r="H670" s="1"/>
    </row>
    <row r="671" spans="2:8" x14ac:dyDescent="0.2">
      <c r="B671" s="1"/>
      <c r="C671" s="1"/>
      <c r="D671" s="1"/>
      <c r="E671" s="1"/>
      <c r="F671" s="1"/>
      <c r="G671" s="1"/>
      <c r="H671" s="1"/>
    </row>
    <row r="672" spans="2:8" x14ac:dyDescent="0.2">
      <c r="B672" s="1"/>
      <c r="C672" s="1"/>
      <c r="D672" s="1"/>
      <c r="E672" s="1"/>
      <c r="F672" s="1"/>
      <c r="G672" s="1"/>
      <c r="H672" s="1"/>
    </row>
    <row r="673" spans="2:8" x14ac:dyDescent="0.2">
      <c r="B673" s="1"/>
      <c r="C673" s="1"/>
      <c r="D673" s="1"/>
      <c r="E673" s="1"/>
      <c r="F673" s="1"/>
      <c r="G673" s="1"/>
      <c r="H673" s="1"/>
    </row>
    <row r="674" spans="2:8" x14ac:dyDescent="0.2">
      <c r="B674" s="1"/>
      <c r="C674" s="1"/>
      <c r="D674" s="1"/>
      <c r="E674" s="1"/>
      <c r="F674" s="1"/>
      <c r="G674" s="1"/>
      <c r="H674" s="1"/>
    </row>
    <row r="675" spans="2:8" x14ac:dyDescent="0.2">
      <c r="B675" s="1"/>
      <c r="C675" s="1"/>
      <c r="D675" s="1"/>
      <c r="E675" s="1"/>
      <c r="F675" s="1"/>
      <c r="G675" s="1"/>
      <c r="H675" s="1"/>
    </row>
    <row r="676" spans="2:8" x14ac:dyDescent="0.2">
      <c r="B676" s="1"/>
      <c r="C676" s="1"/>
      <c r="D676" s="1"/>
      <c r="E676" s="1"/>
      <c r="F676" s="1"/>
      <c r="G676" s="1"/>
      <c r="H676" s="1"/>
    </row>
    <row r="677" spans="2:8" x14ac:dyDescent="0.2">
      <c r="B677" s="1"/>
      <c r="C677" s="1"/>
      <c r="D677" s="1"/>
      <c r="E677" s="1"/>
      <c r="F677" s="1"/>
      <c r="G677" s="1"/>
      <c r="H677" s="1"/>
    </row>
    <row r="678" spans="2:8" x14ac:dyDescent="0.2">
      <c r="B678" s="1"/>
      <c r="C678" s="1"/>
      <c r="D678" s="1"/>
      <c r="E678" s="1"/>
      <c r="F678" s="1"/>
      <c r="G678" s="1"/>
      <c r="H678" s="1"/>
    </row>
    <row r="679" spans="2:8" x14ac:dyDescent="0.2">
      <c r="B679" s="1"/>
      <c r="C679" s="1"/>
      <c r="D679" s="1"/>
      <c r="E679" s="1"/>
      <c r="F679" s="1"/>
      <c r="G679" s="1"/>
      <c r="H679" s="1"/>
    </row>
    <row r="680" spans="2:8" x14ac:dyDescent="0.2">
      <c r="B680" s="1"/>
      <c r="C680" s="1"/>
      <c r="D680" s="1"/>
      <c r="E680" s="1"/>
      <c r="F680" s="1"/>
      <c r="G680" s="1"/>
      <c r="H680" s="1"/>
    </row>
    <row r="681" spans="2:8" x14ac:dyDescent="0.2">
      <c r="B681" s="1"/>
      <c r="C681" s="1"/>
      <c r="D681" s="1"/>
      <c r="E681" s="1"/>
      <c r="F681" s="1"/>
      <c r="G681" s="1"/>
      <c r="H681" s="1"/>
    </row>
    <row r="682" spans="2:8" x14ac:dyDescent="0.2">
      <c r="B682" s="1"/>
      <c r="C682" s="1"/>
      <c r="D682" s="1"/>
      <c r="E682" s="1"/>
      <c r="F682" s="1"/>
      <c r="G682" s="1"/>
      <c r="H682" s="1"/>
    </row>
    <row r="683" spans="2:8" x14ac:dyDescent="0.2">
      <c r="B683" s="1"/>
      <c r="C683" s="1"/>
      <c r="D683" s="1"/>
      <c r="E683" s="1"/>
      <c r="F683" s="1"/>
      <c r="G683" s="1"/>
      <c r="H683" s="1"/>
    </row>
    <row r="684" spans="2:8" x14ac:dyDescent="0.2">
      <c r="B684" s="1"/>
      <c r="C684" s="1"/>
      <c r="D684" s="1"/>
      <c r="E684" s="1"/>
      <c r="F684" s="1"/>
      <c r="G684" s="1"/>
      <c r="H684" s="1"/>
    </row>
    <row r="685" spans="2:8" x14ac:dyDescent="0.2">
      <c r="B685" s="1"/>
      <c r="C685" s="1"/>
      <c r="D685" s="1"/>
      <c r="E685" s="1"/>
      <c r="F685" s="1"/>
      <c r="G685" s="1"/>
      <c r="H685" s="1"/>
    </row>
    <row r="686" spans="2:8" x14ac:dyDescent="0.2">
      <c r="B686" s="1"/>
      <c r="C686" s="1"/>
      <c r="D686" s="1"/>
      <c r="E686" s="1"/>
      <c r="F686" s="1"/>
      <c r="G686" s="1"/>
      <c r="H686" s="1"/>
    </row>
    <row r="687" spans="2:8" x14ac:dyDescent="0.2">
      <c r="B687" s="1"/>
      <c r="C687" s="1"/>
      <c r="D687" s="1"/>
      <c r="E687" s="1"/>
      <c r="F687" s="1"/>
      <c r="G687" s="1"/>
      <c r="H687" s="1"/>
    </row>
    <row r="688" spans="2:8" x14ac:dyDescent="0.2">
      <c r="B688" s="1"/>
      <c r="C688" s="1"/>
      <c r="D688" s="1"/>
      <c r="E688" s="1"/>
      <c r="F688" s="1"/>
      <c r="G688" s="1"/>
      <c r="H688" s="1"/>
    </row>
    <row r="689" spans="2:8" x14ac:dyDescent="0.2">
      <c r="B689" s="1"/>
      <c r="C689" s="1"/>
      <c r="D689" s="1"/>
      <c r="E689" s="1"/>
      <c r="F689" s="1"/>
      <c r="G689" s="1"/>
      <c r="H689" s="1"/>
    </row>
    <row r="690" spans="2:8" x14ac:dyDescent="0.2">
      <c r="B690" s="1"/>
      <c r="C690" s="1"/>
      <c r="D690" s="1"/>
      <c r="E690" s="1"/>
      <c r="F690" s="1"/>
      <c r="G690" s="1"/>
      <c r="H690" s="1"/>
    </row>
    <row r="691" spans="2:8" x14ac:dyDescent="0.2">
      <c r="B691" s="1"/>
      <c r="C691" s="1"/>
      <c r="D691" s="1"/>
      <c r="E691" s="1"/>
      <c r="F691" s="1"/>
      <c r="G691" s="1"/>
      <c r="H691" s="1"/>
    </row>
    <row r="692" spans="2:8" x14ac:dyDescent="0.2">
      <c r="B692" s="1"/>
      <c r="C692" s="1"/>
      <c r="D692" s="1"/>
      <c r="E692" s="1"/>
      <c r="F692" s="1"/>
      <c r="G692" s="1"/>
      <c r="H692" s="1"/>
    </row>
    <row r="693" spans="2:8" x14ac:dyDescent="0.2">
      <c r="B693" s="1"/>
      <c r="C693" s="1"/>
      <c r="D693" s="1"/>
      <c r="E693" s="1"/>
      <c r="F693" s="1"/>
      <c r="G693" s="1"/>
      <c r="H693" s="1"/>
    </row>
    <row r="694" spans="2:8" x14ac:dyDescent="0.2">
      <c r="B694" s="1"/>
      <c r="C694" s="1"/>
      <c r="D694" s="1"/>
      <c r="E694" s="1"/>
      <c r="F694" s="1"/>
      <c r="G694" s="1"/>
      <c r="H694" s="1"/>
    </row>
    <row r="695" spans="2:8" x14ac:dyDescent="0.2">
      <c r="B695" s="1"/>
      <c r="C695" s="1"/>
      <c r="D695" s="1"/>
      <c r="E695" s="1"/>
      <c r="F695" s="1"/>
      <c r="G695" s="1"/>
      <c r="H695" s="1"/>
    </row>
    <row r="696" spans="2:8" x14ac:dyDescent="0.2">
      <c r="B696" s="1"/>
      <c r="C696" s="1"/>
      <c r="D696" s="1"/>
      <c r="E696" s="1"/>
      <c r="F696" s="1"/>
      <c r="G696" s="1"/>
      <c r="H696" s="1"/>
    </row>
    <row r="697" spans="2:8" x14ac:dyDescent="0.2">
      <c r="B697" s="1"/>
      <c r="C697" s="1"/>
      <c r="D697" s="1"/>
      <c r="E697" s="1"/>
      <c r="F697" s="1"/>
      <c r="G697" s="1"/>
      <c r="H697" s="1"/>
    </row>
    <row r="698" spans="2:8" x14ac:dyDescent="0.2">
      <c r="B698" s="1"/>
      <c r="C698" s="1"/>
      <c r="D698" s="1"/>
      <c r="E698" s="1"/>
      <c r="F698" s="1"/>
      <c r="G698" s="1"/>
      <c r="H698" s="1"/>
    </row>
    <row r="699" spans="2:8" x14ac:dyDescent="0.2">
      <c r="B699" s="1"/>
      <c r="C699" s="1"/>
      <c r="D699" s="1"/>
      <c r="E699" s="1"/>
      <c r="F699" s="1"/>
      <c r="G699" s="1"/>
      <c r="H699" s="1"/>
    </row>
    <row r="700" spans="2:8" x14ac:dyDescent="0.2">
      <c r="B700" s="1"/>
      <c r="C700" s="1"/>
      <c r="D700" s="1"/>
      <c r="E700" s="1"/>
      <c r="F700" s="1"/>
      <c r="G700" s="1"/>
      <c r="H700" s="1"/>
    </row>
    <row r="701" spans="2:8" x14ac:dyDescent="0.2">
      <c r="B701" s="1"/>
      <c r="C701" s="1"/>
      <c r="D701" s="1"/>
      <c r="E701" s="1"/>
      <c r="F701" s="1"/>
      <c r="G701" s="1"/>
      <c r="H701" s="1"/>
    </row>
    <row r="702" spans="2:8" x14ac:dyDescent="0.2">
      <c r="B702" s="1"/>
      <c r="C702" s="1"/>
      <c r="D702" s="1"/>
      <c r="E702" s="1"/>
      <c r="F702" s="1"/>
      <c r="G702" s="1"/>
      <c r="H702" s="1"/>
    </row>
    <row r="703" spans="2:8" x14ac:dyDescent="0.2">
      <c r="B703" s="1"/>
      <c r="C703" s="1"/>
      <c r="D703" s="1"/>
      <c r="E703" s="1"/>
      <c r="F703" s="1"/>
      <c r="G703" s="1"/>
      <c r="H703" s="1"/>
    </row>
    <row r="704" spans="2:8" x14ac:dyDescent="0.2">
      <c r="B704" s="1"/>
      <c r="C704" s="1"/>
      <c r="D704" s="1"/>
      <c r="E704" s="1"/>
      <c r="F704" s="1"/>
      <c r="G704" s="1"/>
      <c r="H704" s="1"/>
    </row>
    <row r="705" spans="2:8" x14ac:dyDescent="0.2">
      <c r="B705" s="1"/>
      <c r="C705" s="1"/>
      <c r="D705" s="1"/>
      <c r="E705" s="1"/>
      <c r="F705" s="1"/>
      <c r="G705" s="1"/>
      <c r="H705" s="1"/>
    </row>
    <row r="706" spans="2:8" x14ac:dyDescent="0.2">
      <c r="B706" s="1"/>
      <c r="C706" s="1"/>
      <c r="D706" s="1"/>
      <c r="E706" s="1"/>
      <c r="F706" s="1"/>
      <c r="G706" s="1"/>
      <c r="H706" s="1"/>
    </row>
    <row r="707" spans="2:8" x14ac:dyDescent="0.2">
      <c r="B707" s="1"/>
      <c r="C707" s="1"/>
      <c r="D707" s="1"/>
      <c r="E707" s="1"/>
      <c r="F707" s="1"/>
      <c r="G707" s="1"/>
      <c r="H707" s="1"/>
    </row>
    <row r="708" spans="2:8" x14ac:dyDescent="0.2">
      <c r="B708" s="1"/>
      <c r="C708" s="1"/>
      <c r="D708" s="1"/>
      <c r="E708" s="1"/>
      <c r="F708" s="1"/>
      <c r="G708" s="1"/>
      <c r="H708" s="1"/>
    </row>
    <row r="709" spans="2:8" x14ac:dyDescent="0.2">
      <c r="B709" s="1"/>
      <c r="C709" s="1"/>
      <c r="D709" s="1"/>
      <c r="E709" s="1"/>
      <c r="F709" s="1"/>
      <c r="G709" s="1"/>
      <c r="H709" s="1"/>
    </row>
    <row r="710" spans="2:8" x14ac:dyDescent="0.2">
      <c r="B710" s="1"/>
      <c r="C710" s="1"/>
      <c r="D710" s="1"/>
      <c r="E710" s="1"/>
      <c r="F710" s="1"/>
      <c r="G710" s="1"/>
      <c r="H710" s="1"/>
    </row>
    <row r="711" spans="2:8" x14ac:dyDescent="0.2">
      <c r="B711" s="1"/>
      <c r="C711" s="1"/>
      <c r="D711" s="1"/>
      <c r="E711" s="1"/>
      <c r="F711" s="1"/>
      <c r="G711" s="1"/>
      <c r="H711" s="1"/>
    </row>
    <row r="712" spans="2:8" x14ac:dyDescent="0.2">
      <c r="B712" s="1"/>
      <c r="C712" s="1"/>
      <c r="D712" s="1"/>
      <c r="E712" s="1"/>
      <c r="F712" s="1"/>
      <c r="G712" s="1"/>
      <c r="H712" s="1"/>
    </row>
    <row r="713" spans="2:8" x14ac:dyDescent="0.2">
      <c r="B713" s="1"/>
      <c r="C713" s="1"/>
      <c r="D713" s="1"/>
      <c r="E713" s="1"/>
      <c r="F713" s="1"/>
      <c r="G713" s="1"/>
      <c r="H713" s="1"/>
    </row>
    <row r="714" spans="2:8" x14ac:dyDescent="0.2">
      <c r="B714" s="1"/>
      <c r="C714" s="1"/>
      <c r="D714" s="1"/>
      <c r="E714" s="1"/>
      <c r="F714" s="1"/>
      <c r="G714" s="1"/>
      <c r="H714" s="1"/>
    </row>
    <row r="715" spans="2:8" x14ac:dyDescent="0.2">
      <c r="B715" s="1"/>
      <c r="C715" s="1"/>
      <c r="D715" s="1"/>
      <c r="E715" s="1"/>
      <c r="F715" s="1"/>
      <c r="G715" s="1"/>
      <c r="H715" s="1"/>
    </row>
    <row r="716" spans="2:8" x14ac:dyDescent="0.2">
      <c r="B716" s="1"/>
      <c r="C716" s="1"/>
      <c r="D716" s="1"/>
      <c r="E716" s="1"/>
      <c r="F716" s="1"/>
      <c r="G716" s="1"/>
      <c r="H716" s="1"/>
    </row>
    <row r="717" spans="2:8" x14ac:dyDescent="0.2">
      <c r="B717" s="1"/>
      <c r="C717" s="1"/>
      <c r="D717" s="1"/>
      <c r="E717" s="1"/>
      <c r="F717" s="1"/>
      <c r="G717" s="1"/>
      <c r="H717" s="1"/>
    </row>
    <row r="718" spans="2:8" x14ac:dyDescent="0.2">
      <c r="B718" s="1"/>
      <c r="C718" s="1"/>
      <c r="D718" s="1"/>
      <c r="E718" s="1"/>
      <c r="F718" s="1"/>
      <c r="G718" s="1"/>
      <c r="H718" s="1"/>
    </row>
    <row r="719" spans="2:8" x14ac:dyDescent="0.2">
      <c r="B719" s="1"/>
      <c r="C719" s="1"/>
      <c r="D719" s="1"/>
      <c r="E719" s="1"/>
      <c r="F719" s="1"/>
      <c r="G719" s="1"/>
      <c r="H719" s="1"/>
    </row>
    <row r="720" spans="2:8" x14ac:dyDescent="0.2">
      <c r="B720" s="1"/>
      <c r="C720" s="1"/>
      <c r="D720" s="1"/>
      <c r="E720" s="1"/>
      <c r="F720" s="1"/>
      <c r="G720" s="1"/>
      <c r="H720" s="1"/>
    </row>
    <row r="721" spans="2:8" x14ac:dyDescent="0.2">
      <c r="B721" s="1"/>
      <c r="C721" s="1"/>
      <c r="D721" s="1"/>
      <c r="E721" s="1"/>
      <c r="F721" s="1"/>
      <c r="G721" s="1"/>
      <c r="H721" s="1"/>
    </row>
    <row r="722" spans="2:8" x14ac:dyDescent="0.2">
      <c r="B722" s="1"/>
      <c r="C722" s="1"/>
      <c r="D722" s="1"/>
      <c r="E722" s="1"/>
      <c r="F722" s="1"/>
      <c r="G722" s="1"/>
      <c r="H722" s="1"/>
    </row>
    <row r="723" spans="2:8" x14ac:dyDescent="0.2">
      <c r="B723" s="1"/>
      <c r="C723" s="1"/>
      <c r="D723" s="1"/>
      <c r="E723" s="1"/>
      <c r="F723" s="1"/>
      <c r="G723" s="1"/>
      <c r="H723" s="1"/>
    </row>
    <row r="724" spans="2:8" x14ac:dyDescent="0.2">
      <c r="B724" s="1"/>
      <c r="C724" s="1"/>
      <c r="D724" s="1"/>
      <c r="E724" s="1"/>
      <c r="F724" s="1"/>
      <c r="G724" s="1"/>
      <c r="H724" s="1"/>
    </row>
    <row r="725" spans="2:8" x14ac:dyDescent="0.2">
      <c r="B725" s="1"/>
      <c r="C725" s="1"/>
      <c r="D725" s="1"/>
      <c r="E725" s="1"/>
      <c r="F725" s="1"/>
      <c r="G725" s="1"/>
      <c r="H725" s="1"/>
    </row>
    <row r="726" spans="2:8" x14ac:dyDescent="0.2">
      <c r="B726" s="1"/>
      <c r="C726" s="1"/>
      <c r="D726" s="1"/>
      <c r="E726" s="1"/>
      <c r="F726" s="1"/>
      <c r="G726" s="1"/>
      <c r="H726" s="1"/>
    </row>
    <row r="727" spans="2:8" x14ac:dyDescent="0.2">
      <c r="B727" s="1"/>
      <c r="C727" s="1"/>
      <c r="D727" s="1"/>
      <c r="E727" s="1"/>
      <c r="F727" s="1"/>
      <c r="G727" s="1"/>
      <c r="H727" s="1"/>
    </row>
    <row r="728" spans="2:8" x14ac:dyDescent="0.2">
      <c r="B728" s="1"/>
      <c r="C728" s="1"/>
      <c r="D728" s="1"/>
      <c r="E728" s="1"/>
      <c r="F728" s="1"/>
      <c r="G728" s="1"/>
      <c r="H728" s="1"/>
    </row>
    <row r="729" spans="2:8" x14ac:dyDescent="0.2">
      <c r="B729" s="1"/>
      <c r="C729" s="1"/>
      <c r="D729" s="1"/>
      <c r="E729" s="1"/>
      <c r="F729" s="1"/>
      <c r="G729" s="1"/>
      <c r="H729" s="1"/>
    </row>
    <row r="730" spans="2:8" x14ac:dyDescent="0.2">
      <c r="B730" s="1"/>
      <c r="C730" s="1"/>
      <c r="D730" s="1"/>
      <c r="E730" s="1"/>
      <c r="F730" s="1"/>
      <c r="G730" s="1"/>
      <c r="H730" s="1"/>
    </row>
    <row r="731" spans="2:8" x14ac:dyDescent="0.2">
      <c r="B731" s="1"/>
      <c r="C731" s="1"/>
      <c r="D731" s="1"/>
      <c r="E731" s="1"/>
      <c r="F731" s="1"/>
      <c r="G731" s="1"/>
      <c r="H731" s="1"/>
    </row>
    <row r="732" spans="2:8" x14ac:dyDescent="0.2">
      <c r="B732" s="1"/>
      <c r="C732" s="1"/>
      <c r="D732" s="1"/>
      <c r="E732" s="1"/>
      <c r="F732" s="1"/>
      <c r="G732" s="1"/>
      <c r="H732" s="1"/>
    </row>
    <row r="733" spans="2:8" x14ac:dyDescent="0.2">
      <c r="B733" s="1"/>
      <c r="C733" s="1"/>
      <c r="D733" s="1"/>
      <c r="E733" s="1"/>
      <c r="F733" s="1"/>
      <c r="G733" s="1"/>
      <c r="H733" s="1"/>
    </row>
    <row r="734" spans="2:8" x14ac:dyDescent="0.2">
      <c r="B734" s="1"/>
      <c r="C734" s="1"/>
      <c r="D734" s="1"/>
      <c r="E734" s="1"/>
      <c r="F734" s="1"/>
      <c r="G734" s="1"/>
      <c r="H734" s="1"/>
    </row>
    <row r="735" spans="2:8" x14ac:dyDescent="0.2">
      <c r="B735" s="1"/>
      <c r="C735" s="1"/>
      <c r="D735" s="1"/>
      <c r="E735" s="1"/>
      <c r="F735" s="1"/>
      <c r="G735" s="1"/>
      <c r="H735" s="1"/>
    </row>
    <row r="736" spans="2:8" x14ac:dyDescent="0.2">
      <c r="B736" s="1"/>
      <c r="C736" s="1"/>
      <c r="D736" s="1"/>
      <c r="E736" s="1"/>
      <c r="F736" s="1"/>
      <c r="G736" s="1"/>
      <c r="H736" s="1"/>
    </row>
    <row r="737" spans="2:8" x14ac:dyDescent="0.2">
      <c r="B737" s="1"/>
      <c r="C737" s="1"/>
      <c r="D737" s="1"/>
      <c r="E737" s="1"/>
      <c r="F737" s="1"/>
      <c r="G737" s="1"/>
      <c r="H737" s="1"/>
    </row>
    <row r="738" spans="2:8" x14ac:dyDescent="0.2">
      <c r="B738" s="1"/>
      <c r="C738" s="1"/>
      <c r="D738" s="1"/>
      <c r="E738" s="1"/>
      <c r="F738" s="1"/>
      <c r="G738" s="1"/>
      <c r="H738" s="1"/>
    </row>
    <row r="739" spans="2:8" x14ac:dyDescent="0.2">
      <c r="B739" s="1"/>
      <c r="C739" s="1"/>
      <c r="D739" s="1"/>
      <c r="E739" s="1"/>
      <c r="F739" s="1"/>
      <c r="G739" s="1"/>
      <c r="H739" s="1"/>
    </row>
    <row r="740" spans="2:8" x14ac:dyDescent="0.2">
      <c r="B740" s="1"/>
      <c r="C740" s="1"/>
      <c r="D740" s="1"/>
      <c r="E740" s="1"/>
      <c r="F740" s="1"/>
      <c r="G740" s="1"/>
      <c r="H740" s="1"/>
    </row>
    <row r="741" spans="2:8" x14ac:dyDescent="0.2">
      <c r="B741" s="1"/>
      <c r="C741" s="1"/>
      <c r="D741" s="1"/>
      <c r="E741" s="1"/>
      <c r="F741" s="1"/>
      <c r="G741" s="1"/>
      <c r="H741" s="1"/>
    </row>
    <row r="742" spans="2:8" x14ac:dyDescent="0.2">
      <c r="B742" s="1"/>
      <c r="C742" s="1"/>
      <c r="D742" s="1"/>
      <c r="E742" s="1"/>
      <c r="F742" s="1"/>
      <c r="G742" s="1"/>
      <c r="H742" s="1"/>
    </row>
    <row r="743" spans="2:8" x14ac:dyDescent="0.2">
      <c r="B743" s="1"/>
      <c r="C743" s="1"/>
      <c r="D743" s="1"/>
      <c r="E743" s="1"/>
      <c r="F743" s="1"/>
      <c r="G743" s="1"/>
      <c r="H743" s="1"/>
    </row>
    <row r="744" spans="2:8" x14ac:dyDescent="0.2">
      <c r="B744" s="1"/>
      <c r="C744" s="1"/>
      <c r="D744" s="1"/>
      <c r="E744" s="1"/>
      <c r="F744" s="1"/>
      <c r="G744" s="1"/>
      <c r="H744" s="1"/>
    </row>
    <row r="745" spans="2:8" x14ac:dyDescent="0.2">
      <c r="B745" s="1"/>
      <c r="C745" s="1"/>
      <c r="D745" s="1"/>
      <c r="E745" s="1"/>
      <c r="F745" s="1"/>
      <c r="G745" s="1"/>
      <c r="H745" s="1"/>
    </row>
    <row r="746" spans="2:8" x14ac:dyDescent="0.2">
      <c r="B746" s="1"/>
      <c r="C746" s="1"/>
      <c r="D746" s="1"/>
      <c r="E746" s="1"/>
      <c r="F746" s="1"/>
      <c r="G746" s="1"/>
      <c r="H746" s="1"/>
    </row>
    <row r="747" spans="2:8" x14ac:dyDescent="0.2">
      <c r="B747" s="1"/>
      <c r="C747" s="1"/>
      <c r="D747" s="1"/>
      <c r="E747" s="1"/>
      <c r="F747" s="1"/>
      <c r="G747" s="1"/>
      <c r="H747" s="1"/>
    </row>
    <row r="748" spans="2:8" x14ac:dyDescent="0.2">
      <c r="B748" s="1"/>
      <c r="C748" s="1"/>
      <c r="D748" s="1"/>
      <c r="E748" s="1"/>
      <c r="F748" s="1"/>
      <c r="G748" s="1"/>
      <c r="H748" s="1"/>
    </row>
    <row r="749" spans="2:8" x14ac:dyDescent="0.2">
      <c r="B749" s="1"/>
      <c r="C749" s="1"/>
      <c r="D749" s="1"/>
      <c r="E749" s="1"/>
      <c r="F749" s="1"/>
      <c r="G749" s="1"/>
      <c r="H749" s="1"/>
    </row>
    <row r="750" spans="2:8" x14ac:dyDescent="0.2">
      <c r="B750" s="1"/>
      <c r="C750" s="1"/>
      <c r="D750" s="1"/>
      <c r="E750" s="1"/>
      <c r="F750" s="1"/>
      <c r="G750" s="1"/>
      <c r="H750" s="1"/>
    </row>
    <row r="751" spans="2:8" x14ac:dyDescent="0.2">
      <c r="B751" s="1"/>
      <c r="C751" s="1"/>
      <c r="D751" s="1"/>
      <c r="E751" s="1"/>
      <c r="F751" s="1"/>
      <c r="G751" s="1"/>
      <c r="H751" s="1"/>
    </row>
    <row r="752" spans="2:8" x14ac:dyDescent="0.2">
      <c r="B752" s="1"/>
      <c r="C752" s="1"/>
      <c r="D752" s="1"/>
      <c r="E752" s="1"/>
      <c r="F752" s="1"/>
      <c r="G752" s="1"/>
      <c r="H752" s="1"/>
    </row>
    <row r="753" spans="2:8" x14ac:dyDescent="0.2">
      <c r="B753" s="1"/>
      <c r="C753" s="1"/>
      <c r="D753" s="1"/>
      <c r="E753" s="1"/>
      <c r="F753" s="1"/>
      <c r="G753" s="1"/>
      <c r="H753" s="1"/>
    </row>
    <row r="754" spans="2:8" x14ac:dyDescent="0.2">
      <c r="B754" s="1"/>
      <c r="C754" s="1"/>
      <c r="D754" s="1"/>
      <c r="E754" s="1"/>
      <c r="F754" s="1"/>
      <c r="G754" s="1"/>
      <c r="H754" s="1"/>
    </row>
    <row r="755" spans="2:8" x14ac:dyDescent="0.2">
      <c r="B755" s="1"/>
      <c r="C755" s="1"/>
      <c r="D755" s="1"/>
      <c r="E755" s="1"/>
      <c r="F755" s="1"/>
      <c r="G755" s="1"/>
      <c r="H755" s="1"/>
    </row>
    <row r="756" spans="2:8" x14ac:dyDescent="0.2">
      <c r="B756" s="1"/>
      <c r="C756" s="1"/>
      <c r="D756" s="1"/>
      <c r="E756" s="1"/>
      <c r="F756" s="1"/>
      <c r="G756" s="1"/>
      <c r="H756" s="1"/>
    </row>
    <row r="757" spans="2:8" x14ac:dyDescent="0.2">
      <c r="B757" s="1"/>
      <c r="C757" s="1"/>
      <c r="D757" s="1"/>
      <c r="E757" s="1"/>
      <c r="F757" s="1"/>
      <c r="G757" s="1"/>
      <c r="H757" s="1"/>
    </row>
    <row r="758" spans="2:8" x14ac:dyDescent="0.2">
      <c r="B758" s="1"/>
      <c r="C758" s="1"/>
      <c r="D758" s="1"/>
      <c r="E758" s="1"/>
      <c r="F758" s="1"/>
      <c r="G758" s="1"/>
      <c r="H758" s="1"/>
    </row>
    <row r="759" spans="2:8" x14ac:dyDescent="0.2">
      <c r="B759" s="1"/>
      <c r="C759" s="1"/>
      <c r="D759" s="1"/>
      <c r="E759" s="1"/>
      <c r="F759" s="1"/>
      <c r="G759" s="1"/>
      <c r="H759" s="1"/>
    </row>
    <row r="760" spans="2:8" x14ac:dyDescent="0.2">
      <c r="B760" s="1"/>
      <c r="C760" s="1"/>
      <c r="D760" s="1"/>
      <c r="E760" s="1"/>
      <c r="F760" s="1"/>
      <c r="G760" s="1"/>
      <c r="H760" s="1"/>
    </row>
    <row r="761" spans="2:8" x14ac:dyDescent="0.2">
      <c r="B761" s="1"/>
      <c r="C761" s="1"/>
      <c r="D761" s="1"/>
      <c r="E761" s="1"/>
      <c r="F761" s="1"/>
      <c r="G761" s="1"/>
      <c r="H761" s="1"/>
    </row>
    <row r="762" spans="2:8" x14ac:dyDescent="0.2">
      <c r="B762" s="1"/>
      <c r="C762" s="1"/>
      <c r="D762" s="1"/>
      <c r="E762" s="1"/>
      <c r="F762" s="1"/>
      <c r="G762" s="1"/>
      <c r="H762" s="1"/>
    </row>
    <row r="763" spans="2:8" x14ac:dyDescent="0.2">
      <c r="B763" s="1"/>
      <c r="C763" s="1"/>
      <c r="D763" s="1"/>
      <c r="E763" s="1"/>
      <c r="F763" s="1"/>
      <c r="G763" s="1"/>
      <c r="H763" s="1"/>
    </row>
    <row r="764" spans="2:8" x14ac:dyDescent="0.2">
      <c r="B764" s="1"/>
      <c r="C764" s="1"/>
      <c r="D764" s="1"/>
      <c r="E764" s="1"/>
      <c r="F764" s="1"/>
      <c r="G764" s="1"/>
      <c r="H764" s="1"/>
    </row>
    <row r="765" spans="2:8" x14ac:dyDescent="0.2">
      <c r="B765" s="1"/>
      <c r="C765" s="1"/>
      <c r="D765" s="1"/>
      <c r="E765" s="1"/>
      <c r="F765" s="1"/>
      <c r="G765" s="1"/>
      <c r="H765" s="1"/>
    </row>
    <row r="766" spans="2:8" x14ac:dyDescent="0.2">
      <c r="B766" s="1"/>
      <c r="C766" s="1"/>
      <c r="D766" s="1"/>
      <c r="E766" s="1"/>
      <c r="F766" s="1"/>
      <c r="G766" s="1"/>
      <c r="H766" s="1"/>
    </row>
    <row r="767" spans="2:8" x14ac:dyDescent="0.2">
      <c r="B767" s="1"/>
      <c r="C767" s="1"/>
      <c r="D767" s="1"/>
      <c r="E767" s="1"/>
      <c r="F767" s="1"/>
      <c r="G767" s="1"/>
      <c r="H767" s="1"/>
    </row>
    <row r="768" spans="2:8" x14ac:dyDescent="0.2">
      <c r="B768" s="1"/>
      <c r="C768" s="1"/>
      <c r="D768" s="1"/>
      <c r="E768" s="1"/>
      <c r="F768" s="1"/>
      <c r="G768" s="1"/>
      <c r="H768" s="1"/>
    </row>
    <row r="769" spans="2:8" x14ac:dyDescent="0.2">
      <c r="B769" s="1"/>
      <c r="C769" s="1"/>
      <c r="D769" s="1"/>
      <c r="E769" s="1"/>
      <c r="F769" s="1"/>
      <c r="G769" s="1"/>
      <c r="H769" s="1"/>
    </row>
    <row r="770" spans="2:8" x14ac:dyDescent="0.2">
      <c r="B770" s="1"/>
      <c r="C770" s="1"/>
      <c r="D770" s="1"/>
      <c r="E770" s="1"/>
      <c r="F770" s="1"/>
      <c r="G770" s="1"/>
      <c r="H770" s="1"/>
    </row>
    <row r="771" spans="2:8" x14ac:dyDescent="0.2">
      <c r="B771" s="1"/>
      <c r="C771" s="1"/>
      <c r="D771" s="1"/>
      <c r="E771" s="1"/>
      <c r="F771" s="1"/>
      <c r="G771" s="1"/>
      <c r="H771" s="1"/>
    </row>
    <row r="772" spans="2:8" x14ac:dyDescent="0.2">
      <c r="B772" s="1"/>
      <c r="C772" s="1"/>
      <c r="D772" s="1"/>
      <c r="E772" s="1"/>
      <c r="F772" s="1"/>
      <c r="G772" s="1"/>
      <c r="H772" s="1"/>
    </row>
    <row r="773" spans="2:8" x14ac:dyDescent="0.2">
      <c r="B773" s="1"/>
      <c r="C773" s="1"/>
      <c r="D773" s="1"/>
      <c r="E773" s="1"/>
      <c r="F773" s="1"/>
      <c r="G773" s="1"/>
      <c r="H773" s="1"/>
    </row>
    <row r="774" spans="2:8" x14ac:dyDescent="0.2">
      <c r="B774" s="1"/>
      <c r="C774" s="1"/>
      <c r="D774" s="1"/>
      <c r="E774" s="1"/>
      <c r="F774" s="1"/>
      <c r="G774" s="1"/>
      <c r="H774" s="1"/>
    </row>
    <row r="775" spans="2:8" x14ac:dyDescent="0.2">
      <c r="B775" s="1"/>
      <c r="C775" s="1"/>
      <c r="D775" s="1"/>
      <c r="E775" s="1"/>
      <c r="F775" s="1"/>
      <c r="G775" s="1"/>
      <c r="H775" s="1"/>
    </row>
    <row r="776" spans="2:8" x14ac:dyDescent="0.2">
      <c r="B776" s="1"/>
      <c r="C776" s="1"/>
      <c r="D776" s="1"/>
      <c r="E776" s="1"/>
      <c r="F776" s="1"/>
      <c r="G776" s="1"/>
      <c r="H776" s="1"/>
    </row>
    <row r="777" spans="2:8" x14ac:dyDescent="0.2">
      <c r="B777" s="1"/>
      <c r="C777" s="1"/>
      <c r="D777" s="1"/>
      <c r="E777" s="1"/>
      <c r="F777" s="1"/>
      <c r="G777" s="1"/>
      <c r="H777" s="1"/>
    </row>
    <row r="778" spans="2:8" x14ac:dyDescent="0.2">
      <c r="B778" s="1"/>
      <c r="C778" s="1"/>
      <c r="D778" s="1"/>
      <c r="E778" s="1"/>
      <c r="F778" s="1"/>
      <c r="G778" s="1"/>
      <c r="H778" s="1"/>
    </row>
    <row r="779" spans="2:8" x14ac:dyDescent="0.2">
      <c r="B779" s="1"/>
      <c r="C779" s="1"/>
      <c r="D779" s="1"/>
      <c r="E779" s="1"/>
      <c r="F779" s="1"/>
      <c r="G779" s="1"/>
      <c r="H779" s="1"/>
    </row>
    <row r="780" spans="2:8" x14ac:dyDescent="0.2">
      <c r="B780" s="1"/>
      <c r="C780" s="1"/>
      <c r="D780" s="1"/>
      <c r="E780" s="1"/>
      <c r="F780" s="1"/>
      <c r="G780" s="1"/>
      <c r="H780" s="1"/>
    </row>
    <row r="781" spans="2:8" x14ac:dyDescent="0.2">
      <c r="B781" s="1"/>
      <c r="C781" s="1"/>
      <c r="D781" s="1"/>
      <c r="E781" s="1"/>
      <c r="F781" s="1"/>
      <c r="G781" s="1"/>
      <c r="H781" s="1"/>
    </row>
    <row r="782" spans="2:8" x14ac:dyDescent="0.2">
      <c r="B782" s="1"/>
      <c r="C782" s="1"/>
      <c r="D782" s="1"/>
      <c r="E782" s="1"/>
      <c r="F782" s="1"/>
      <c r="G782" s="1"/>
      <c r="H782" s="1"/>
    </row>
    <row r="783" spans="2:8" x14ac:dyDescent="0.2">
      <c r="B783" s="1"/>
      <c r="C783" s="1"/>
      <c r="D783" s="1"/>
      <c r="E783" s="1"/>
      <c r="F783" s="1"/>
      <c r="G783" s="1"/>
      <c r="H783" s="1"/>
    </row>
    <row r="784" spans="2:8" x14ac:dyDescent="0.2">
      <c r="B784" s="1"/>
      <c r="C784" s="1"/>
      <c r="D784" s="1"/>
      <c r="E784" s="1"/>
      <c r="F784" s="1"/>
      <c r="G784" s="1"/>
      <c r="H784" s="1"/>
    </row>
    <row r="785" spans="2:8" x14ac:dyDescent="0.2">
      <c r="B785" s="1"/>
      <c r="C785" s="1"/>
      <c r="D785" s="1"/>
      <c r="E785" s="1"/>
      <c r="F785" s="1"/>
      <c r="G785" s="1"/>
      <c r="H785" s="1"/>
    </row>
    <row r="786" spans="2:8" x14ac:dyDescent="0.2">
      <c r="B786" s="1"/>
      <c r="C786" s="1"/>
      <c r="D786" s="1"/>
      <c r="E786" s="1"/>
      <c r="F786" s="1"/>
      <c r="G786" s="1"/>
      <c r="H786" s="1"/>
    </row>
    <row r="787" spans="2:8" x14ac:dyDescent="0.2">
      <c r="B787" s="1"/>
      <c r="C787" s="1"/>
      <c r="D787" s="1"/>
      <c r="E787" s="1"/>
      <c r="F787" s="1"/>
      <c r="G787" s="1"/>
      <c r="H787" s="1"/>
    </row>
    <row r="788" spans="2:8" x14ac:dyDescent="0.2">
      <c r="B788" s="1"/>
      <c r="C788" s="1"/>
      <c r="D788" s="1"/>
      <c r="E788" s="1"/>
      <c r="F788" s="1"/>
      <c r="G788" s="1"/>
      <c r="H788" s="1"/>
    </row>
    <row r="789" spans="2:8" x14ac:dyDescent="0.2">
      <c r="B789" s="1"/>
      <c r="C789" s="1"/>
      <c r="D789" s="1"/>
      <c r="E789" s="1"/>
      <c r="F789" s="1"/>
      <c r="G789" s="1"/>
      <c r="H789" s="1"/>
    </row>
    <row r="790" spans="2:8" x14ac:dyDescent="0.2">
      <c r="B790" s="1"/>
      <c r="C790" s="1"/>
      <c r="D790" s="1"/>
      <c r="E790" s="1"/>
      <c r="F790" s="1"/>
      <c r="G790" s="1"/>
      <c r="H790" s="1"/>
    </row>
    <row r="791" spans="2:8" x14ac:dyDescent="0.2">
      <c r="B791" s="1"/>
      <c r="C791" s="1"/>
      <c r="D791" s="1"/>
      <c r="E791" s="1"/>
      <c r="F791" s="1"/>
      <c r="G791" s="1"/>
      <c r="H791" s="1"/>
    </row>
    <row r="792" spans="2:8" x14ac:dyDescent="0.2">
      <c r="B792" s="1"/>
      <c r="C792" s="1"/>
      <c r="D792" s="1"/>
      <c r="E792" s="1"/>
      <c r="F792" s="1"/>
      <c r="G792" s="1"/>
      <c r="H792" s="1"/>
    </row>
    <row r="793" spans="2:8" x14ac:dyDescent="0.2">
      <c r="B793" s="1"/>
      <c r="C793" s="1"/>
      <c r="D793" s="1"/>
      <c r="E793" s="1"/>
      <c r="F793" s="1"/>
      <c r="G793" s="1"/>
      <c r="H793" s="1"/>
    </row>
    <row r="794" spans="2:8" x14ac:dyDescent="0.2">
      <c r="B794" s="1"/>
      <c r="C794" s="1"/>
      <c r="D794" s="1"/>
      <c r="E794" s="1"/>
      <c r="F794" s="1"/>
      <c r="G794" s="1"/>
      <c r="H794" s="1"/>
    </row>
    <row r="795" spans="2:8" x14ac:dyDescent="0.2">
      <c r="B795" s="1"/>
      <c r="C795" s="1"/>
      <c r="D795" s="1"/>
      <c r="E795" s="1"/>
      <c r="F795" s="1"/>
      <c r="G795" s="1"/>
      <c r="H795" s="1"/>
    </row>
    <row r="796" spans="2:8" x14ac:dyDescent="0.2">
      <c r="B796" s="1"/>
      <c r="C796" s="1"/>
      <c r="D796" s="1"/>
      <c r="E796" s="1"/>
      <c r="F796" s="1"/>
      <c r="G796" s="1"/>
      <c r="H796" s="1"/>
    </row>
    <row r="797" spans="2:8" x14ac:dyDescent="0.2">
      <c r="B797" s="1"/>
      <c r="C797" s="1"/>
      <c r="D797" s="1"/>
      <c r="E797" s="1"/>
      <c r="F797" s="1"/>
      <c r="G797" s="1"/>
      <c r="H797" s="1"/>
    </row>
    <row r="798" spans="2:8" x14ac:dyDescent="0.2">
      <c r="B798" s="1"/>
      <c r="C798" s="1"/>
      <c r="D798" s="1"/>
      <c r="E798" s="1"/>
      <c r="F798" s="1"/>
      <c r="G798" s="1"/>
      <c r="H798" s="1"/>
    </row>
    <row r="799" spans="2:8" x14ac:dyDescent="0.2">
      <c r="B799" s="1"/>
      <c r="C799" s="1"/>
      <c r="D799" s="1"/>
      <c r="E799" s="1"/>
      <c r="F799" s="1"/>
      <c r="G799" s="1"/>
      <c r="H799" s="1"/>
    </row>
    <row r="800" spans="2:8" x14ac:dyDescent="0.2">
      <c r="B800" s="1"/>
      <c r="C800" s="1"/>
      <c r="D800" s="1"/>
      <c r="E800" s="1"/>
      <c r="F800" s="1"/>
      <c r="G800" s="1"/>
      <c r="H800" s="1"/>
    </row>
    <row r="801" spans="2:8" x14ac:dyDescent="0.2">
      <c r="B801" s="1"/>
      <c r="C801" s="1"/>
      <c r="D801" s="1"/>
      <c r="E801" s="1"/>
      <c r="F801" s="1"/>
      <c r="G801" s="1"/>
      <c r="H801" s="1"/>
    </row>
    <row r="802" spans="2:8" x14ac:dyDescent="0.2">
      <c r="B802" s="1"/>
      <c r="C802" s="1"/>
      <c r="D802" s="1"/>
      <c r="E802" s="1"/>
      <c r="F802" s="1"/>
      <c r="G802" s="1"/>
      <c r="H802" s="1"/>
    </row>
    <row r="803" spans="2:8" x14ac:dyDescent="0.2">
      <c r="B803" s="1"/>
      <c r="C803" s="1"/>
      <c r="D803" s="1"/>
      <c r="E803" s="1"/>
      <c r="F803" s="1"/>
      <c r="G803" s="1"/>
      <c r="H803" s="1"/>
    </row>
    <row r="804" spans="2:8" x14ac:dyDescent="0.2">
      <c r="B804" s="1"/>
      <c r="C804" s="1"/>
      <c r="D804" s="1"/>
      <c r="E804" s="1"/>
      <c r="F804" s="1"/>
      <c r="G804" s="1"/>
      <c r="H804" s="1"/>
    </row>
    <row r="805" spans="2:8" x14ac:dyDescent="0.2">
      <c r="B805" s="1"/>
      <c r="C805" s="1"/>
      <c r="D805" s="1"/>
      <c r="E805" s="1"/>
      <c r="F805" s="1"/>
      <c r="G805" s="1"/>
      <c r="H805" s="1"/>
    </row>
    <row r="806" spans="2:8" x14ac:dyDescent="0.2">
      <c r="B806" s="1"/>
      <c r="C806" s="1"/>
      <c r="D806" s="1"/>
      <c r="E806" s="1"/>
      <c r="F806" s="1"/>
      <c r="G806" s="1"/>
      <c r="H806" s="1"/>
    </row>
    <row r="807" spans="2:8" x14ac:dyDescent="0.2">
      <c r="B807" s="1"/>
      <c r="C807" s="1"/>
      <c r="D807" s="1"/>
      <c r="E807" s="1"/>
      <c r="F807" s="1"/>
      <c r="G807" s="1"/>
      <c r="H807" s="1"/>
    </row>
    <row r="808" spans="2:8" x14ac:dyDescent="0.2">
      <c r="B808" s="1"/>
      <c r="C808" s="1"/>
      <c r="D808" s="1"/>
      <c r="E808" s="1"/>
      <c r="F808" s="1"/>
      <c r="G808" s="1"/>
      <c r="H808" s="1"/>
    </row>
    <row r="809" spans="2:8" x14ac:dyDescent="0.2">
      <c r="B809" s="1"/>
      <c r="C809" s="1"/>
      <c r="D809" s="1"/>
      <c r="E809" s="1"/>
      <c r="F809" s="1"/>
      <c r="G809" s="1"/>
      <c r="H809" s="1"/>
    </row>
    <row r="810" spans="2:8" x14ac:dyDescent="0.2">
      <c r="B810" s="1"/>
      <c r="C810" s="1"/>
      <c r="D810" s="1"/>
      <c r="E810" s="1"/>
      <c r="F810" s="1"/>
      <c r="G810" s="1"/>
      <c r="H810" s="1"/>
    </row>
    <row r="811" spans="2:8" x14ac:dyDescent="0.2">
      <c r="B811" s="1"/>
      <c r="C811" s="1"/>
      <c r="D811" s="1"/>
      <c r="E811" s="1"/>
      <c r="F811" s="1"/>
      <c r="G811" s="1"/>
      <c r="H811" s="1"/>
    </row>
    <row r="812" spans="2:8" x14ac:dyDescent="0.2">
      <c r="B812" s="1"/>
      <c r="C812" s="1"/>
      <c r="D812" s="1"/>
      <c r="E812" s="1"/>
      <c r="F812" s="1"/>
      <c r="G812" s="1"/>
      <c r="H812" s="1"/>
    </row>
    <row r="813" spans="2:8" x14ac:dyDescent="0.2">
      <c r="B813" s="1"/>
      <c r="C813" s="1"/>
      <c r="D813" s="1"/>
      <c r="E813" s="1"/>
      <c r="F813" s="1"/>
      <c r="G813" s="1"/>
      <c r="H813" s="1"/>
    </row>
    <row r="814" spans="2:8" x14ac:dyDescent="0.2">
      <c r="B814" s="1"/>
      <c r="C814" s="1"/>
      <c r="D814" s="1"/>
      <c r="E814" s="1"/>
      <c r="F814" s="1"/>
      <c r="G814" s="1"/>
      <c r="H814" s="1"/>
    </row>
    <row r="815" spans="2:8" x14ac:dyDescent="0.2">
      <c r="B815" s="1"/>
      <c r="C815" s="1"/>
      <c r="D815" s="1"/>
      <c r="E815" s="1"/>
      <c r="F815" s="1"/>
      <c r="G815" s="1"/>
      <c r="H815" s="1"/>
    </row>
    <row r="816" spans="2:8" x14ac:dyDescent="0.2">
      <c r="B816" s="1"/>
      <c r="C816" s="1"/>
      <c r="D816" s="1"/>
      <c r="E816" s="1"/>
      <c r="F816" s="1"/>
      <c r="G816" s="1"/>
      <c r="H816" s="1"/>
    </row>
    <row r="817" spans="2:8" x14ac:dyDescent="0.2">
      <c r="B817" s="1"/>
      <c r="C817" s="1"/>
      <c r="D817" s="1"/>
      <c r="E817" s="1"/>
      <c r="F817" s="1"/>
      <c r="G817" s="1"/>
      <c r="H817" s="1"/>
    </row>
    <row r="818" spans="2:8" x14ac:dyDescent="0.2">
      <c r="B818" s="1"/>
      <c r="C818" s="1"/>
      <c r="D818" s="1"/>
      <c r="E818" s="1"/>
      <c r="F818" s="1"/>
      <c r="G818" s="1"/>
      <c r="H818" s="1"/>
    </row>
    <row r="819" spans="2:8" x14ac:dyDescent="0.2">
      <c r="B819" s="1"/>
      <c r="C819" s="1"/>
      <c r="D819" s="1"/>
      <c r="E819" s="1"/>
      <c r="F819" s="1"/>
      <c r="G819" s="1"/>
      <c r="H819" s="1"/>
    </row>
    <row r="820" spans="2:8" x14ac:dyDescent="0.2">
      <c r="B820" s="1"/>
      <c r="C820" s="1"/>
      <c r="D820" s="1"/>
      <c r="E820" s="1"/>
      <c r="F820" s="1"/>
      <c r="G820" s="1"/>
      <c r="H820" s="1"/>
    </row>
    <row r="821" spans="2:8" x14ac:dyDescent="0.2">
      <c r="B821" s="1"/>
      <c r="C821" s="1"/>
      <c r="D821" s="1"/>
      <c r="E821" s="1"/>
      <c r="F821" s="1"/>
      <c r="G821" s="1"/>
      <c r="H821" s="1"/>
    </row>
    <row r="822" spans="2:8" x14ac:dyDescent="0.2">
      <c r="B822" s="1"/>
      <c r="C822" s="1"/>
      <c r="D822" s="1"/>
      <c r="E822" s="1"/>
      <c r="F822" s="1"/>
      <c r="G822" s="1"/>
      <c r="H822" s="1"/>
    </row>
    <row r="823" spans="2:8" x14ac:dyDescent="0.2">
      <c r="B823" s="1"/>
      <c r="C823" s="1"/>
      <c r="D823" s="1"/>
      <c r="E823" s="1"/>
      <c r="F823" s="1"/>
      <c r="G823" s="1"/>
      <c r="H823" s="1"/>
    </row>
    <row r="824" spans="2:8" x14ac:dyDescent="0.2">
      <c r="B824" s="1"/>
      <c r="C824" s="1"/>
      <c r="D824" s="1"/>
      <c r="E824" s="1"/>
      <c r="F824" s="1"/>
      <c r="G824" s="1"/>
      <c r="H824" s="1"/>
    </row>
    <row r="825" spans="2:8" x14ac:dyDescent="0.2">
      <c r="B825" s="1"/>
      <c r="C825" s="1"/>
      <c r="D825" s="1"/>
      <c r="E825" s="1"/>
      <c r="F825" s="1"/>
      <c r="G825" s="1"/>
      <c r="H825" s="1"/>
    </row>
    <row r="826" spans="2:8" x14ac:dyDescent="0.2">
      <c r="B826" s="1"/>
      <c r="C826" s="1"/>
      <c r="D826" s="1"/>
      <c r="E826" s="1"/>
      <c r="F826" s="1"/>
      <c r="G826" s="1"/>
      <c r="H826" s="1"/>
    </row>
    <row r="827" spans="2:8" x14ac:dyDescent="0.2">
      <c r="B827" s="1"/>
      <c r="C827" s="1"/>
      <c r="D827" s="1"/>
      <c r="E827" s="1"/>
      <c r="F827" s="1"/>
      <c r="G827" s="1"/>
      <c r="H827" s="1"/>
    </row>
    <row r="828" spans="2:8" x14ac:dyDescent="0.2">
      <c r="B828" s="1"/>
      <c r="C828" s="1"/>
      <c r="D828" s="1"/>
      <c r="E828" s="1"/>
      <c r="F828" s="1"/>
      <c r="G828" s="1"/>
      <c r="H828" s="1"/>
    </row>
    <row r="829" spans="2:8" x14ac:dyDescent="0.2">
      <c r="B829" s="1"/>
      <c r="C829" s="1"/>
      <c r="D829" s="1"/>
      <c r="E829" s="1"/>
      <c r="F829" s="1"/>
      <c r="G829" s="1"/>
      <c r="H829" s="1"/>
    </row>
    <row r="830" spans="2:8" x14ac:dyDescent="0.2">
      <c r="B830" s="1"/>
      <c r="C830" s="1"/>
      <c r="D830" s="1"/>
      <c r="E830" s="1"/>
      <c r="F830" s="1"/>
      <c r="G830" s="1"/>
      <c r="H830" s="1"/>
    </row>
    <row r="831" spans="2:8" x14ac:dyDescent="0.2">
      <c r="B831" s="1"/>
      <c r="C831" s="1"/>
      <c r="D831" s="1"/>
      <c r="E831" s="1"/>
      <c r="F831" s="1"/>
      <c r="G831" s="1"/>
      <c r="H831" s="1"/>
    </row>
    <row r="832" spans="2:8" x14ac:dyDescent="0.2">
      <c r="B832" s="1"/>
      <c r="C832" s="1"/>
      <c r="D832" s="1"/>
      <c r="E832" s="1"/>
      <c r="F832" s="1"/>
      <c r="G832" s="1"/>
      <c r="H832" s="1"/>
    </row>
    <row r="833" spans="2:8" x14ac:dyDescent="0.2">
      <c r="B833" s="1"/>
      <c r="C833" s="1"/>
      <c r="D833" s="1"/>
      <c r="E833" s="1"/>
      <c r="F833" s="1"/>
      <c r="G833" s="1"/>
      <c r="H833" s="1"/>
    </row>
    <row r="834" spans="2:8" x14ac:dyDescent="0.2">
      <c r="B834" s="1"/>
      <c r="C834" s="1"/>
      <c r="D834" s="1"/>
      <c r="E834" s="1"/>
      <c r="F834" s="1"/>
      <c r="G834" s="1"/>
      <c r="H834" s="1"/>
    </row>
    <row r="835" spans="2:8" x14ac:dyDescent="0.2">
      <c r="B835" s="1"/>
      <c r="C835" s="1"/>
      <c r="D835" s="1"/>
      <c r="E835" s="1"/>
      <c r="F835" s="1"/>
      <c r="G835" s="1"/>
      <c r="H835" s="1"/>
    </row>
    <row r="836" spans="2:8" x14ac:dyDescent="0.2">
      <c r="B836" s="1"/>
      <c r="C836" s="1"/>
      <c r="D836" s="1"/>
      <c r="E836" s="1"/>
      <c r="F836" s="1"/>
      <c r="G836" s="1"/>
      <c r="H836" s="1"/>
    </row>
    <row r="837" spans="2:8" x14ac:dyDescent="0.2">
      <c r="B837" s="1"/>
      <c r="C837" s="1"/>
      <c r="D837" s="1"/>
      <c r="E837" s="1"/>
      <c r="F837" s="1"/>
      <c r="G837" s="1"/>
      <c r="H837" s="1"/>
    </row>
    <row r="838" spans="2:8" x14ac:dyDescent="0.2">
      <c r="B838" s="1"/>
      <c r="C838" s="1"/>
      <c r="D838" s="1"/>
      <c r="E838" s="1"/>
      <c r="F838" s="1"/>
      <c r="G838" s="1"/>
      <c r="H838" s="1"/>
    </row>
    <row r="839" spans="2:8" x14ac:dyDescent="0.2">
      <c r="B839" s="1"/>
      <c r="C839" s="1"/>
      <c r="D839" s="1"/>
      <c r="E839" s="1"/>
      <c r="F839" s="1"/>
      <c r="G839" s="1"/>
      <c r="H839" s="1"/>
    </row>
    <row r="840" spans="2:8" x14ac:dyDescent="0.2">
      <c r="B840" s="1"/>
      <c r="C840" s="1"/>
      <c r="D840" s="1"/>
      <c r="E840" s="1"/>
      <c r="F840" s="1"/>
      <c r="G840" s="1"/>
      <c r="H840" s="1"/>
    </row>
    <row r="841" spans="2:8" x14ac:dyDescent="0.2">
      <c r="B841" s="1"/>
      <c r="C841" s="1"/>
      <c r="D841" s="1"/>
      <c r="E841" s="1"/>
      <c r="F841" s="1"/>
      <c r="G841" s="1"/>
      <c r="H841" s="1"/>
    </row>
    <row r="842" spans="2:8" x14ac:dyDescent="0.2">
      <c r="B842" s="1"/>
      <c r="C842" s="1"/>
      <c r="D842" s="1"/>
      <c r="E842" s="1"/>
      <c r="F842" s="1"/>
      <c r="G842" s="1"/>
      <c r="H842" s="1"/>
    </row>
    <row r="843" spans="2:8" x14ac:dyDescent="0.2">
      <c r="B843" s="1"/>
      <c r="C843" s="1"/>
      <c r="D843" s="1"/>
      <c r="E843" s="1"/>
      <c r="F843" s="1"/>
      <c r="G843" s="1"/>
      <c r="H843" s="1"/>
    </row>
    <row r="844" spans="2:8" x14ac:dyDescent="0.2">
      <c r="B844" s="1"/>
      <c r="C844" s="1"/>
      <c r="D844" s="1"/>
      <c r="E844" s="1"/>
      <c r="F844" s="1"/>
      <c r="G844" s="1"/>
      <c r="H844" s="1"/>
    </row>
    <row r="845" spans="2:8" x14ac:dyDescent="0.2">
      <c r="B845" s="1"/>
      <c r="C845" s="1"/>
      <c r="D845" s="1"/>
      <c r="E845" s="1"/>
      <c r="F845" s="1"/>
      <c r="G845" s="1"/>
      <c r="H845" s="1"/>
    </row>
    <row r="846" spans="2:8" x14ac:dyDescent="0.2">
      <c r="B846" s="1"/>
      <c r="C846" s="1"/>
      <c r="D846" s="1"/>
      <c r="E846" s="1"/>
      <c r="F846" s="1"/>
      <c r="G846" s="1"/>
      <c r="H846" s="1"/>
    </row>
    <row r="847" spans="2:8" x14ac:dyDescent="0.2">
      <c r="B847" s="1"/>
      <c r="C847" s="1"/>
      <c r="D847" s="1"/>
      <c r="E847" s="1"/>
      <c r="F847" s="1"/>
      <c r="G847" s="1"/>
      <c r="H847" s="1"/>
    </row>
    <row r="848" spans="2:8" x14ac:dyDescent="0.2">
      <c r="B848" s="1"/>
      <c r="C848" s="1"/>
      <c r="D848" s="1"/>
      <c r="E848" s="1"/>
      <c r="F848" s="1"/>
      <c r="G848" s="1"/>
      <c r="H848" s="1"/>
    </row>
    <row r="849" spans="2:8" x14ac:dyDescent="0.2">
      <c r="B849" s="1"/>
      <c r="C849" s="1"/>
      <c r="D849" s="1"/>
      <c r="E849" s="1"/>
      <c r="F849" s="1"/>
      <c r="G849" s="1"/>
      <c r="H849" s="1"/>
    </row>
    <row r="850" spans="2:8" x14ac:dyDescent="0.2">
      <c r="B850" s="1"/>
      <c r="C850" s="1"/>
      <c r="D850" s="1"/>
      <c r="E850" s="1"/>
      <c r="F850" s="1"/>
      <c r="G850" s="1"/>
      <c r="H850" s="1"/>
    </row>
    <row r="851" spans="2:8" x14ac:dyDescent="0.2">
      <c r="B851" s="1"/>
      <c r="C851" s="1"/>
      <c r="D851" s="1"/>
      <c r="E851" s="1"/>
      <c r="F851" s="1"/>
      <c r="G851" s="1"/>
      <c r="H851" s="1"/>
    </row>
    <row r="852" spans="2:8" x14ac:dyDescent="0.2">
      <c r="B852" s="1"/>
      <c r="C852" s="1"/>
      <c r="D852" s="1"/>
      <c r="E852" s="1"/>
      <c r="F852" s="1"/>
      <c r="G852" s="1"/>
      <c r="H852" s="1"/>
    </row>
    <row r="853" spans="2:8" x14ac:dyDescent="0.2">
      <c r="B853" s="1"/>
      <c r="C853" s="1"/>
      <c r="D853" s="1"/>
      <c r="E853" s="1"/>
      <c r="F853" s="1"/>
      <c r="G853" s="1"/>
      <c r="H853" s="1"/>
    </row>
    <row r="854" spans="2:8" x14ac:dyDescent="0.2">
      <c r="B854" s="1"/>
      <c r="C854" s="1"/>
      <c r="D854" s="1"/>
      <c r="E854" s="1"/>
      <c r="F854" s="1"/>
      <c r="G854" s="1"/>
      <c r="H854" s="1"/>
    </row>
    <row r="855" spans="2:8" x14ac:dyDescent="0.2">
      <c r="B855" s="1"/>
      <c r="C855" s="1"/>
      <c r="D855" s="1"/>
      <c r="E855" s="1"/>
      <c r="F855" s="1"/>
      <c r="G855" s="1"/>
      <c r="H855" s="1"/>
    </row>
    <row r="856" spans="2:8" x14ac:dyDescent="0.2">
      <c r="B856" s="1"/>
      <c r="C856" s="1"/>
      <c r="D856" s="1"/>
      <c r="E856" s="1"/>
      <c r="F856" s="1"/>
      <c r="G856" s="1"/>
      <c r="H856" s="1"/>
    </row>
    <row r="857" spans="2:8" x14ac:dyDescent="0.2">
      <c r="B857" s="1"/>
      <c r="C857" s="1"/>
      <c r="D857" s="1"/>
      <c r="E857" s="1"/>
      <c r="F857" s="1"/>
      <c r="G857" s="1"/>
      <c r="H857" s="1"/>
    </row>
    <row r="858" spans="2:8" x14ac:dyDescent="0.2">
      <c r="B858" s="1"/>
      <c r="C858" s="1"/>
      <c r="D858" s="1"/>
      <c r="E858" s="1"/>
      <c r="F858" s="1"/>
      <c r="G858" s="1"/>
      <c r="H858" s="1"/>
    </row>
    <row r="859" spans="2:8" x14ac:dyDescent="0.2">
      <c r="B859" s="1"/>
      <c r="C859" s="1"/>
      <c r="D859" s="1"/>
      <c r="E859" s="1"/>
      <c r="F859" s="1"/>
      <c r="G859" s="1"/>
      <c r="H859" s="1"/>
    </row>
    <row r="860" spans="2:8" x14ac:dyDescent="0.2">
      <c r="B860" s="1"/>
      <c r="C860" s="1"/>
      <c r="D860" s="1"/>
      <c r="E860" s="1"/>
      <c r="F860" s="1"/>
      <c r="G860" s="1"/>
      <c r="H860" s="1"/>
    </row>
    <row r="861" spans="2:8" x14ac:dyDescent="0.2">
      <c r="B861" s="1"/>
      <c r="C861" s="1"/>
      <c r="D861" s="1"/>
      <c r="E861" s="1"/>
      <c r="F861" s="1"/>
      <c r="G861" s="1"/>
      <c r="H861" s="1"/>
    </row>
    <row r="862" spans="2:8" x14ac:dyDescent="0.2">
      <c r="B862" s="1"/>
      <c r="C862" s="1"/>
      <c r="D862" s="1"/>
      <c r="E862" s="1"/>
      <c r="F862" s="1"/>
      <c r="G862" s="1"/>
      <c r="H862" s="1"/>
    </row>
    <row r="863" spans="2:8" x14ac:dyDescent="0.2">
      <c r="B863" s="1"/>
      <c r="C863" s="1"/>
      <c r="D863" s="1"/>
      <c r="E863" s="1"/>
      <c r="F863" s="1"/>
      <c r="G863" s="1"/>
      <c r="H863" s="1"/>
    </row>
    <row r="864" spans="2:8" x14ac:dyDescent="0.2">
      <c r="B864" s="1"/>
      <c r="C864" s="1"/>
      <c r="D864" s="1"/>
      <c r="E864" s="1"/>
      <c r="F864" s="1"/>
      <c r="G864" s="1"/>
      <c r="H864" s="1"/>
    </row>
    <row r="865" spans="2:8" x14ac:dyDescent="0.2">
      <c r="B865" s="1"/>
      <c r="C865" s="1"/>
      <c r="D865" s="1"/>
      <c r="E865" s="1"/>
      <c r="F865" s="1"/>
      <c r="G865" s="1"/>
      <c r="H865" s="1"/>
    </row>
    <row r="866" spans="2:8" x14ac:dyDescent="0.2">
      <c r="B866" s="1"/>
      <c r="C866" s="1"/>
      <c r="D866" s="1"/>
      <c r="E866" s="1"/>
      <c r="F866" s="1"/>
      <c r="G866" s="1"/>
      <c r="H866" s="1"/>
    </row>
    <row r="867" spans="2:8" x14ac:dyDescent="0.2">
      <c r="B867" s="1"/>
      <c r="C867" s="1"/>
      <c r="D867" s="1"/>
      <c r="E867" s="1"/>
      <c r="F867" s="1"/>
      <c r="G867" s="1"/>
      <c r="H867" s="1"/>
    </row>
    <row r="868" spans="2:8" x14ac:dyDescent="0.2">
      <c r="B868" s="1"/>
      <c r="C868" s="1"/>
      <c r="D868" s="1"/>
      <c r="E868" s="1"/>
      <c r="F868" s="1"/>
      <c r="G868" s="1"/>
      <c r="H868" s="1"/>
    </row>
    <row r="869" spans="2:8" x14ac:dyDescent="0.2">
      <c r="B869" s="1"/>
      <c r="C869" s="1"/>
      <c r="D869" s="1"/>
      <c r="E869" s="1"/>
      <c r="F869" s="1"/>
      <c r="G869" s="1"/>
      <c r="H869" s="1"/>
    </row>
    <row r="870" spans="2:8" x14ac:dyDescent="0.2">
      <c r="B870" s="1"/>
      <c r="C870" s="1"/>
      <c r="D870" s="1"/>
      <c r="E870" s="1"/>
      <c r="F870" s="1"/>
      <c r="G870" s="1"/>
      <c r="H870" s="1"/>
    </row>
    <row r="871" spans="2:8" x14ac:dyDescent="0.2">
      <c r="B871" s="1"/>
      <c r="C871" s="1"/>
      <c r="D871" s="1"/>
      <c r="E871" s="1"/>
      <c r="F871" s="1"/>
      <c r="G871" s="1"/>
      <c r="H871" s="1"/>
    </row>
    <row r="872" spans="2:8" x14ac:dyDescent="0.2">
      <c r="B872" s="1"/>
      <c r="C872" s="1"/>
      <c r="D872" s="1"/>
      <c r="E872" s="1"/>
      <c r="F872" s="1"/>
      <c r="G872" s="1"/>
      <c r="H872" s="1"/>
    </row>
    <row r="873" spans="2:8" x14ac:dyDescent="0.2">
      <c r="B873" s="1"/>
      <c r="C873" s="1"/>
      <c r="D873" s="1"/>
      <c r="E873" s="1"/>
      <c r="F873" s="1"/>
      <c r="G873" s="1"/>
      <c r="H873" s="1"/>
    </row>
    <row r="874" spans="2:8" x14ac:dyDescent="0.2">
      <c r="B874" s="1"/>
      <c r="C874" s="1"/>
      <c r="D874" s="1"/>
      <c r="E874" s="1"/>
      <c r="F874" s="1"/>
      <c r="G874" s="1"/>
      <c r="H874" s="1"/>
    </row>
    <row r="875" spans="2:8" x14ac:dyDescent="0.2">
      <c r="B875" s="1"/>
      <c r="C875" s="1"/>
      <c r="D875" s="1"/>
      <c r="E875" s="1"/>
      <c r="F875" s="1"/>
      <c r="G875" s="1"/>
      <c r="H875" s="1"/>
    </row>
    <row r="876" spans="2:8" x14ac:dyDescent="0.2">
      <c r="B876" s="1"/>
      <c r="C876" s="1"/>
      <c r="D876" s="1"/>
      <c r="E876" s="1"/>
      <c r="F876" s="1"/>
      <c r="G876" s="1"/>
      <c r="H876" s="1"/>
    </row>
    <row r="877" spans="2:8" x14ac:dyDescent="0.2">
      <c r="B877" s="1"/>
      <c r="C877" s="1"/>
      <c r="D877" s="1"/>
      <c r="E877" s="1"/>
      <c r="F877" s="1"/>
      <c r="G877" s="1"/>
      <c r="H877" s="1"/>
    </row>
    <row r="878" spans="2:8" x14ac:dyDescent="0.2">
      <c r="B878" s="1"/>
      <c r="C878" s="1"/>
      <c r="D878" s="1"/>
      <c r="E878" s="1"/>
      <c r="F878" s="1"/>
      <c r="G878" s="1"/>
      <c r="H878" s="1"/>
    </row>
    <row r="879" spans="2:8" x14ac:dyDescent="0.2">
      <c r="B879" s="1"/>
      <c r="C879" s="1"/>
      <c r="D879" s="1"/>
      <c r="E879" s="1"/>
      <c r="F879" s="1"/>
      <c r="G879" s="1"/>
      <c r="H879" s="1"/>
    </row>
    <row r="880" spans="2:8" x14ac:dyDescent="0.2">
      <c r="B880" s="1"/>
      <c r="C880" s="1"/>
      <c r="D880" s="1"/>
      <c r="E880" s="1"/>
      <c r="F880" s="1"/>
      <c r="G880" s="1"/>
      <c r="H880" s="1"/>
    </row>
    <row r="881" spans="2:8" x14ac:dyDescent="0.2">
      <c r="B881" s="1"/>
      <c r="C881" s="1"/>
      <c r="D881" s="1"/>
      <c r="E881" s="1"/>
      <c r="F881" s="1"/>
      <c r="G881" s="1"/>
      <c r="H881" s="1"/>
    </row>
    <row r="882" spans="2:8" x14ac:dyDescent="0.2">
      <c r="B882" s="1"/>
      <c r="C882" s="1"/>
      <c r="D882" s="1"/>
      <c r="E882" s="1"/>
      <c r="F882" s="1"/>
      <c r="G882" s="1"/>
      <c r="H882" s="1"/>
    </row>
    <row r="883" spans="2:8" x14ac:dyDescent="0.2">
      <c r="B883" s="1"/>
      <c r="C883" s="1"/>
      <c r="D883" s="1"/>
      <c r="E883" s="1"/>
      <c r="F883" s="1"/>
      <c r="G883" s="1"/>
      <c r="H883" s="1"/>
    </row>
    <row r="884" spans="2:8" x14ac:dyDescent="0.2">
      <c r="B884" s="1"/>
      <c r="C884" s="1"/>
      <c r="D884" s="1"/>
      <c r="E884" s="1"/>
      <c r="F884" s="1"/>
      <c r="G884" s="1"/>
      <c r="H884" s="1"/>
    </row>
    <row r="885" spans="2:8" x14ac:dyDescent="0.2">
      <c r="B885" s="1"/>
      <c r="C885" s="1"/>
      <c r="D885" s="1"/>
      <c r="E885" s="1"/>
      <c r="F885" s="1"/>
      <c r="G885" s="1"/>
      <c r="H885" s="1"/>
    </row>
    <row r="886" spans="2:8" x14ac:dyDescent="0.2">
      <c r="B886" s="1"/>
      <c r="C886" s="1"/>
      <c r="D886" s="1"/>
      <c r="E886" s="1"/>
      <c r="F886" s="1"/>
      <c r="G886" s="1"/>
      <c r="H886" s="1"/>
    </row>
    <row r="887" spans="2:8" x14ac:dyDescent="0.2">
      <c r="B887" s="1"/>
      <c r="C887" s="1"/>
      <c r="D887" s="1"/>
      <c r="E887" s="1"/>
      <c r="F887" s="1"/>
      <c r="G887" s="1"/>
      <c r="H887" s="1"/>
    </row>
    <row r="888" spans="2:8" x14ac:dyDescent="0.2">
      <c r="B888" s="1"/>
      <c r="C888" s="1"/>
      <c r="D888" s="1"/>
      <c r="E888" s="1"/>
      <c r="F888" s="1"/>
      <c r="G888" s="1"/>
      <c r="H888" s="1"/>
    </row>
    <row r="889" spans="2:8" x14ac:dyDescent="0.2">
      <c r="B889" s="1"/>
      <c r="C889" s="1"/>
      <c r="D889" s="1"/>
      <c r="E889" s="1"/>
      <c r="F889" s="1"/>
      <c r="G889" s="1"/>
      <c r="H889" s="1"/>
    </row>
    <row r="890" spans="2:8" x14ac:dyDescent="0.2">
      <c r="B890" s="1"/>
      <c r="C890" s="1"/>
      <c r="D890" s="1"/>
      <c r="E890" s="1"/>
      <c r="F890" s="1"/>
      <c r="G890" s="1"/>
      <c r="H890" s="1"/>
    </row>
    <row r="891" spans="2:8" x14ac:dyDescent="0.2">
      <c r="B891" s="1"/>
      <c r="C891" s="1"/>
      <c r="D891" s="1"/>
      <c r="E891" s="1"/>
      <c r="F891" s="1"/>
      <c r="G891" s="1"/>
      <c r="H891" s="1"/>
    </row>
    <row r="892" spans="2:8" x14ac:dyDescent="0.2">
      <c r="B892" s="1"/>
      <c r="C892" s="1"/>
      <c r="D892" s="1"/>
      <c r="E892" s="1"/>
      <c r="F892" s="1"/>
      <c r="G892" s="1"/>
      <c r="H892" s="1"/>
    </row>
    <row r="893" spans="2:8" x14ac:dyDescent="0.2">
      <c r="B893" s="1"/>
      <c r="C893" s="1"/>
      <c r="D893" s="1"/>
      <c r="E893" s="1"/>
      <c r="F893" s="1"/>
      <c r="G893" s="1"/>
      <c r="H893" s="1"/>
    </row>
    <row r="894" spans="2:8" x14ac:dyDescent="0.2">
      <c r="B894" s="1"/>
      <c r="C894" s="1"/>
      <c r="D894" s="1"/>
      <c r="E894" s="1"/>
      <c r="F894" s="1"/>
      <c r="G894" s="1"/>
      <c r="H894" s="1"/>
    </row>
    <row r="895" spans="2:8" x14ac:dyDescent="0.2">
      <c r="B895" s="1"/>
      <c r="C895" s="1"/>
      <c r="D895" s="1"/>
      <c r="E895" s="1"/>
      <c r="F895" s="1"/>
      <c r="G895" s="1"/>
      <c r="H895" s="1"/>
    </row>
    <row r="896" spans="2:8" x14ac:dyDescent="0.2">
      <c r="B896" s="1"/>
      <c r="C896" s="1"/>
      <c r="D896" s="1"/>
      <c r="E896" s="1"/>
      <c r="F896" s="1"/>
      <c r="G896" s="1"/>
      <c r="H896" s="1"/>
    </row>
    <row r="897" spans="2:8" x14ac:dyDescent="0.2">
      <c r="B897" s="1"/>
      <c r="C897" s="1"/>
      <c r="D897" s="1"/>
      <c r="E897" s="1"/>
      <c r="F897" s="1"/>
      <c r="G897" s="1"/>
      <c r="H897" s="1"/>
    </row>
    <row r="898" spans="2:8" x14ac:dyDescent="0.2">
      <c r="B898" s="1"/>
      <c r="C898" s="1"/>
      <c r="D898" s="1"/>
      <c r="E898" s="1"/>
      <c r="F898" s="1"/>
      <c r="G898" s="1"/>
      <c r="H898" s="1"/>
    </row>
    <row r="899" spans="2:8" x14ac:dyDescent="0.2">
      <c r="B899" s="1"/>
      <c r="C899" s="1"/>
      <c r="D899" s="1"/>
      <c r="E899" s="1"/>
      <c r="F899" s="1"/>
      <c r="G899" s="1"/>
      <c r="H899" s="1"/>
    </row>
    <row r="900" spans="2:8" x14ac:dyDescent="0.2">
      <c r="B900" s="1"/>
      <c r="C900" s="1"/>
      <c r="D900" s="1"/>
      <c r="E900" s="1"/>
      <c r="F900" s="1"/>
      <c r="G900" s="1"/>
      <c r="H900" s="1"/>
    </row>
    <row r="901" spans="2:8" x14ac:dyDescent="0.2">
      <c r="B901" s="1"/>
      <c r="C901" s="1"/>
      <c r="D901" s="1"/>
      <c r="E901" s="1"/>
      <c r="F901" s="1"/>
      <c r="G901" s="1"/>
      <c r="H901" s="1"/>
    </row>
    <row r="902" spans="2:8" x14ac:dyDescent="0.2">
      <c r="B902" s="1"/>
      <c r="C902" s="1"/>
      <c r="D902" s="1"/>
      <c r="E902" s="1"/>
      <c r="F902" s="1"/>
      <c r="G902" s="1"/>
      <c r="H902" s="1"/>
    </row>
    <row r="903" spans="2:8" x14ac:dyDescent="0.2">
      <c r="B903" s="1"/>
      <c r="C903" s="1"/>
      <c r="D903" s="1"/>
      <c r="E903" s="1"/>
      <c r="F903" s="1"/>
      <c r="G903" s="1"/>
      <c r="H903" s="1"/>
    </row>
    <row r="904" spans="2:8" x14ac:dyDescent="0.2">
      <c r="B904" s="1"/>
      <c r="C904" s="1"/>
      <c r="D904" s="1"/>
      <c r="E904" s="1"/>
      <c r="F904" s="1"/>
      <c r="G904" s="1"/>
      <c r="H904" s="1"/>
    </row>
    <row r="905" spans="2:8" x14ac:dyDescent="0.2">
      <c r="B905" s="1"/>
      <c r="C905" s="1"/>
      <c r="D905" s="1"/>
      <c r="E905" s="1"/>
      <c r="F905" s="1"/>
      <c r="G905" s="1"/>
      <c r="H905" s="1"/>
    </row>
    <row r="906" spans="2:8" x14ac:dyDescent="0.2">
      <c r="B906" s="1"/>
      <c r="C906" s="1"/>
      <c r="D906" s="1"/>
      <c r="E906" s="1"/>
      <c r="F906" s="1"/>
      <c r="G906" s="1"/>
      <c r="H906" s="1"/>
    </row>
    <row r="907" spans="2:8" x14ac:dyDescent="0.2">
      <c r="B907" s="1"/>
      <c r="C907" s="1"/>
      <c r="D907" s="1"/>
      <c r="E907" s="1"/>
      <c r="F907" s="1"/>
      <c r="G907" s="1"/>
      <c r="H907" s="1"/>
    </row>
    <row r="908" spans="2:8" x14ac:dyDescent="0.2">
      <c r="B908" s="1"/>
      <c r="C908" s="1"/>
      <c r="D908" s="1"/>
      <c r="E908" s="1"/>
      <c r="F908" s="1"/>
      <c r="G908" s="1"/>
      <c r="H908" s="1"/>
    </row>
    <row r="909" spans="2:8" x14ac:dyDescent="0.2">
      <c r="B909" s="1"/>
      <c r="C909" s="1"/>
      <c r="D909" s="1"/>
      <c r="E909" s="1"/>
      <c r="F909" s="1"/>
      <c r="G909" s="1"/>
      <c r="H909" s="1"/>
    </row>
    <row r="910" spans="2:8" x14ac:dyDescent="0.2">
      <c r="B910" s="1"/>
      <c r="C910" s="1"/>
      <c r="D910" s="1"/>
      <c r="E910" s="1"/>
      <c r="F910" s="1"/>
      <c r="G910" s="1"/>
      <c r="H910" s="1"/>
    </row>
    <row r="911" spans="2:8" x14ac:dyDescent="0.2">
      <c r="B911" s="1"/>
      <c r="C911" s="1"/>
      <c r="D911" s="1"/>
      <c r="E911" s="1"/>
      <c r="F911" s="1"/>
      <c r="G911" s="1"/>
      <c r="H911" s="1"/>
    </row>
    <row r="912" spans="2:8" x14ac:dyDescent="0.2">
      <c r="B912" s="1"/>
      <c r="C912" s="1"/>
      <c r="D912" s="1"/>
      <c r="E912" s="1"/>
      <c r="F912" s="1"/>
      <c r="G912" s="1"/>
      <c r="H912" s="1"/>
    </row>
    <row r="913" spans="2:8" x14ac:dyDescent="0.2">
      <c r="B913" s="1"/>
      <c r="C913" s="1"/>
      <c r="D913" s="1"/>
      <c r="E913" s="1"/>
      <c r="F913" s="1"/>
      <c r="G913" s="1"/>
      <c r="H913" s="1"/>
    </row>
    <row r="914" spans="2:8" x14ac:dyDescent="0.2">
      <c r="B914" s="1"/>
      <c r="C914" s="1"/>
      <c r="D914" s="1"/>
      <c r="E914" s="1"/>
      <c r="F914" s="1"/>
      <c r="G914" s="1"/>
      <c r="H914" s="1"/>
    </row>
    <row r="915" spans="2:8" x14ac:dyDescent="0.2">
      <c r="B915" s="1"/>
      <c r="C915" s="1"/>
      <c r="D915" s="1"/>
      <c r="E915" s="1"/>
      <c r="F915" s="1"/>
      <c r="G915" s="1"/>
      <c r="H915" s="1"/>
    </row>
    <row r="916" spans="2:8" x14ac:dyDescent="0.2">
      <c r="B916" s="1"/>
      <c r="C916" s="1"/>
      <c r="D916" s="1"/>
      <c r="E916" s="1"/>
      <c r="F916" s="1"/>
      <c r="G916" s="1"/>
      <c r="H916" s="1"/>
    </row>
    <row r="917" spans="2:8" x14ac:dyDescent="0.2">
      <c r="B917" s="1"/>
      <c r="C917" s="1"/>
      <c r="D917" s="1"/>
      <c r="E917" s="1"/>
      <c r="F917" s="1"/>
      <c r="G917" s="1"/>
      <c r="H917" s="1"/>
    </row>
    <row r="918" spans="2:8" x14ac:dyDescent="0.2">
      <c r="B918" s="1"/>
      <c r="C918" s="1"/>
      <c r="D918" s="1"/>
      <c r="E918" s="1"/>
      <c r="F918" s="1"/>
      <c r="G918" s="1"/>
      <c r="H918" s="1"/>
    </row>
    <row r="919" spans="2:8" x14ac:dyDescent="0.2">
      <c r="B919" s="1"/>
      <c r="C919" s="1"/>
      <c r="D919" s="1"/>
      <c r="E919" s="1"/>
      <c r="F919" s="1"/>
      <c r="G919" s="1"/>
      <c r="H919" s="1"/>
    </row>
    <row r="920" spans="2:8" x14ac:dyDescent="0.2">
      <c r="B920" s="1"/>
      <c r="C920" s="1"/>
      <c r="D920" s="1"/>
      <c r="E920" s="1"/>
      <c r="F920" s="1"/>
      <c r="G920" s="1"/>
      <c r="H920" s="1"/>
    </row>
    <row r="921" spans="2:8" x14ac:dyDescent="0.2">
      <c r="B921" s="1"/>
      <c r="C921" s="1"/>
      <c r="D921" s="1"/>
      <c r="E921" s="1"/>
      <c r="F921" s="1"/>
      <c r="G921" s="1"/>
      <c r="H921" s="1"/>
    </row>
    <row r="922" spans="2:8" x14ac:dyDescent="0.2">
      <c r="B922" s="1"/>
      <c r="C922" s="1"/>
      <c r="D922" s="1"/>
      <c r="E922" s="1"/>
      <c r="F922" s="1"/>
      <c r="G922" s="1"/>
      <c r="H922" s="1"/>
    </row>
    <row r="923" spans="2:8" x14ac:dyDescent="0.2">
      <c r="B923" s="1"/>
      <c r="C923" s="1"/>
      <c r="D923" s="1"/>
      <c r="E923" s="1"/>
      <c r="F923" s="1"/>
      <c r="G923" s="1"/>
      <c r="H923" s="1"/>
    </row>
    <row r="924" spans="2:8" x14ac:dyDescent="0.2">
      <c r="B924" s="1"/>
      <c r="C924" s="1"/>
      <c r="D924" s="1"/>
      <c r="E924" s="1"/>
      <c r="F924" s="1"/>
      <c r="G924" s="1"/>
      <c r="H924" s="1"/>
    </row>
    <row r="925" spans="2:8" x14ac:dyDescent="0.2">
      <c r="B925" s="1"/>
      <c r="C925" s="1"/>
      <c r="D925" s="1"/>
      <c r="E925" s="1"/>
      <c r="F925" s="1"/>
      <c r="G925" s="1"/>
      <c r="H925" s="1"/>
    </row>
    <row r="926" spans="2:8" x14ac:dyDescent="0.2">
      <c r="B926" s="1"/>
      <c r="C926" s="1"/>
      <c r="D926" s="1"/>
      <c r="E926" s="1"/>
      <c r="F926" s="1"/>
      <c r="G926" s="1"/>
      <c r="H926" s="1"/>
    </row>
    <row r="927" spans="2:8" x14ac:dyDescent="0.2">
      <c r="B927" s="1"/>
      <c r="C927" s="1"/>
      <c r="D927" s="1"/>
      <c r="E927" s="1"/>
      <c r="F927" s="1"/>
      <c r="G927" s="1"/>
      <c r="H927" s="1"/>
    </row>
    <row r="928" spans="2:8" x14ac:dyDescent="0.2">
      <c r="B928" s="1"/>
      <c r="C928" s="1"/>
      <c r="D928" s="1"/>
      <c r="E928" s="1"/>
      <c r="F928" s="1"/>
      <c r="G928" s="1"/>
      <c r="H928" s="1"/>
    </row>
    <row r="929" spans="2:8" x14ac:dyDescent="0.2">
      <c r="B929" s="1"/>
      <c r="C929" s="1"/>
      <c r="D929" s="1"/>
      <c r="E929" s="1"/>
      <c r="F929" s="1"/>
      <c r="G929" s="1"/>
      <c r="H929" s="1"/>
    </row>
    <row r="930" spans="2:8" x14ac:dyDescent="0.2">
      <c r="B930" s="1"/>
      <c r="C930" s="1"/>
      <c r="D930" s="1"/>
      <c r="E930" s="1"/>
      <c r="F930" s="1"/>
      <c r="G930" s="1"/>
      <c r="H930" s="1"/>
    </row>
    <row r="931" spans="2:8" x14ac:dyDescent="0.2">
      <c r="B931" s="1"/>
      <c r="C931" s="1"/>
      <c r="D931" s="1"/>
      <c r="E931" s="1"/>
      <c r="F931" s="1"/>
      <c r="G931" s="1"/>
      <c r="H931" s="1"/>
    </row>
    <row r="932" spans="2:8" x14ac:dyDescent="0.2">
      <c r="B932" s="1"/>
      <c r="C932" s="1"/>
      <c r="D932" s="1"/>
      <c r="E932" s="1"/>
      <c r="F932" s="1"/>
      <c r="G932" s="1"/>
      <c r="H932" s="1"/>
    </row>
    <row r="933" spans="2:8" x14ac:dyDescent="0.2">
      <c r="B933" s="1"/>
      <c r="C933" s="1"/>
      <c r="D933" s="1"/>
      <c r="E933" s="1"/>
      <c r="F933" s="1"/>
      <c r="G933" s="1"/>
      <c r="H933" s="1"/>
    </row>
    <row r="934" spans="2:8" x14ac:dyDescent="0.2">
      <c r="B934" s="1"/>
      <c r="C934" s="1"/>
      <c r="D934" s="1"/>
      <c r="E934" s="1"/>
      <c r="F934" s="1"/>
      <c r="G934" s="1"/>
      <c r="H934" s="1"/>
    </row>
    <row r="935" spans="2:8" x14ac:dyDescent="0.2">
      <c r="B935" s="1"/>
      <c r="C935" s="1"/>
      <c r="D935" s="1"/>
      <c r="E935" s="1"/>
      <c r="F935" s="1"/>
      <c r="G935" s="1"/>
      <c r="H935" s="1"/>
    </row>
    <row r="936" spans="2:8" x14ac:dyDescent="0.2">
      <c r="B936" s="1"/>
      <c r="C936" s="1"/>
      <c r="D936" s="1"/>
      <c r="E936" s="1"/>
      <c r="F936" s="1"/>
      <c r="G936" s="1"/>
      <c r="H936" s="1"/>
    </row>
    <row r="937" spans="2:8" x14ac:dyDescent="0.2">
      <c r="B937" s="1"/>
      <c r="C937" s="1"/>
      <c r="D937" s="1"/>
      <c r="E937" s="1"/>
      <c r="F937" s="1"/>
      <c r="G937" s="1"/>
      <c r="H937" s="1"/>
    </row>
  </sheetData>
  <mergeCells count="6">
    <mergeCell ref="M9:O10"/>
    <mergeCell ref="J2:J3"/>
    <mergeCell ref="C3:E3"/>
    <mergeCell ref="C2:E2"/>
    <mergeCell ref="M5:O6"/>
    <mergeCell ref="M7:O8"/>
  </mergeCells>
  <phoneticPr fontId="5" type="noConversion"/>
  <hyperlinks>
    <hyperlink ref="M1" location="'Main'!A1" display="Main" xr:uid="{00000000-0004-0000-0D00-000000000000}"/>
  </hyperlinks>
  <pageMargins left="0.75" right="0.75" top="1" bottom="1" header="0.5" footer="0.5"/>
  <pageSetup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3" r:id="rId4" name="Button 3">
              <controlPr defaultSize="0" print="0" autoFill="0" autoPict="0" macro="[0]!ExportFile">
                <anchor moveWithCells="1" sizeWithCells="1">
                  <from>
                    <xdr:col>6</xdr:col>
                    <xdr:colOff>38100</xdr:colOff>
                    <xdr:row>1</xdr:row>
                    <xdr:rowOff>19050</xdr:rowOff>
                  </from>
                  <to>
                    <xdr:col>6</xdr:col>
                    <xdr:colOff>628650</xdr:colOff>
                    <xdr:row>3</xdr:row>
                    <xdr:rowOff>0</xdr:rowOff>
                  </to>
                </anchor>
              </controlPr>
            </control>
          </mc:Choice>
        </mc:AlternateContent>
        <mc:AlternateContent xmlns:mc="http://schemas.openxmlformats.org/markup-compatibility/2006">
          <mc:Choice Requires="x14">
            <control shapeId="25604" r:id="rId5" name="Button 4">
              <controlPr defaultSize="0" print="0" autoFill="0" autoPict="0" macro="[0]!GenerateVolumeElements">
                <anchor moveWithCells="1" sizeWithCells="1">
                  <from>
                    <xdr:col>5</xdr:col>
                    <xdr:colOff>57150</xdr:colOff>
                    <xdr:row>1</xdr:row>
                    <xdr:rowOff>19050</xdr:rowOff>
                  </from>
                  <to>
                    <xdr:col>5</xdr:col>
                    <xdr:colOff>685800</xdr:colOff>
                    <xdr:row>3</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indexed="46"/>
  </sheetPr>
  <dimension ref="A1:O867"/>
  <sheetViews>
    <sheetView workbookViewId="0">
      <selection activeCell="F3" sqref="F3"/>
    </sheetView>
  </sheetViews>
  <sheetFormatPr defaultColWidth="9.28515625" defaultRowHeight="12.75" x14ac:dyDescent="0.2"/>
  <cols>
    <col min="1" max="1" width="4.28515625" style="172" customWidth="1"/>
    <col min="2" max="2" width="9.28515625" style="16"/>
    <col min="3" max="3" width="17.28515625" style="16" customWidth="1"/>
    <col min="4" max="4" width="11.5703125" style="16" bestFit="1" customWidth="1"/>
    <col min="5" max="5" width="13.28515625" style="16" customWidth="1"/>
    <col min="6" max="6" width="12.5703125" style="16" bestFit="1" customWidth="1"/>
    <col min="7" max="7" width="13.28515625" style="16" customWidth="1"/>
    <col min="8" max="8" width="4.28515625" style="16" customWidth="1"/>
    <col min="9" max="9" width="4.28515625" style="174" customWidth="1"/>
    <col min="10" max="10" width="60.42578125" style="177" bestFit="1" customWidth="1"/>
    <col min="11" max="11" width="4.28515625" style="176" customWidth="1"/>
    <col min="12" max="12" width="4.28515625" style="1" customWidth="1"/>
    <col min="13" max="15" width="8.5703125" style="1" customWidth="1"/>
    <col min="16" max="16384" width="9.28515625" style="1"/>
  </cols>
  <sheetData>
    <row r="1" spans="1:15" ht="13.5" thickBot="1" x14ac:dyDescent="0.25">
      <c r="A1" s="171"/>
      <c r="B1" s="62"/>
      <c r="C1" s="62"/>
      <c r="D1" s="62"/>
      <c r="E1" s="62"/>
      <c r="F1" s="62"/>
      <c r="G1" s="62"/>
      <c r="H1" s="62"/>
      <c r="I1" s="173"/>
      <c r="J1" s="62"/>
      <c r="K1" s="175"/>
      <c r="L1" s="54"/>
      <c r="M1" s="54" t="s">
        <v>13</v>
      </c>
    </row>
    <row r="2" spans="1:15" ht="46.5" customHeight="1" x14ac:dyDescent="0.2">
      <c r="B2" s="184" t="s">
        <v>8</v>
      </c>
      <c r="C2" s="592" t="str">
        <f>setupfile_dir</f>
        <v>C:\RTR\Foundries\TRIM</v>
      </c>
      <c r="D2" s="593"/>
      <c r="E2" s="594"/>
      <c r="F2" s="174"/>
      <c r="G2" s="59"/>
      <c r="H2" s="174"/>
      <c r="J2" s="595" t="s">
        <v>237</v>
      </c>
    </row>
    <row r="3" spans="1:15" ht="26.25" thickBot="1" x14ac:dyDescent="0.25">
      <c r="B3" s="183" t="s">
        <v>7</v>
      </c>
      <c r="C3" s="597" t="str">
        <f>scenario_name &amp; " (3) Compartments.txt"</f>
        <v>Foundries_SS (3) Compartments.txt</v>
      </c>
      <c r="D3" s="598"/>
      <c r="E3" s="599"/>
      <c r="F3" s="174"/>
      <c r="G3" s="60"/>
      <c r="H3" s="174"/>
      <c r="J3" s="596"/>
    </row>
    <row r="4" spans="1:15" ht="13.5" thickBot="1" x14ac:dyDescent="0.25">
      <c r="B4" s="59"/>
      <c r="C4" s="59"/>
      <c r="D4" s="59"/>
      <c r="E4" s="59"/>
      <c r="F4" s="59"/>
      <c r="G4" s="59"/>
      <c r="H4" s="59"/>
      <c r="J4" s="59"/>
    </row>
    <row r="5" spans="1:15" ht="12.75" customHeight="1" x14ac:dyDescent="0.2">
      <c r="B5" s="1" t="s">
        <v>545</v>
      </c>
      <c r="C5" s="1"/>
      <c r="D5" s="1"/>
      <c r="E5" s="1"/>
      <c r="F5" s="1"/>
      <c r="G5" s="1"/>
      <c r="H5" s="1"/>
      <c r="J5" s="178" t="str">
        <f>ConcatenateWithSpaces($B$5:$H$5)</f>
        <v>// TRIM.FaTE scenario compartments</v>
      </c>
      <c r="M5" s="600" t="s">
        <v>231</v>
      </c>
      <c r="N5" s="601"/>
      <c r="O5" s="602"/>
    </row>
    <row r="6" spans="1:15" ht="13.5" thickBot="1" x14ac:dyDescent="0.25">
      <c r="B6" s="1" t="s">
        <v>375</v>
      </c>
      <c r="C6" s="1"/>
      <c r="D6" s="1"/>
      <c r="E6" s="1"/>
      <c r="F6" s="1"/>
      <c r="G6" s="1"/>
      <c r="H6" s="1"/>
      <c r="J6" s="177" t="str">
        <f>ConcatenateWithSpaces($B$6:$H$6)</f>
        <v>// Biotic and non-primary abiotoc compartments</v>
      </c>
      <c r="M6" s="603"/>
      <c r="N6" s="604"/>
      <c r="O6" s="605"/>
    </row>
    <row r="7" spans="1:15" x14ac:dyDescent="0.2">
      <c r="B7" s="1"/>
      <c r="C7" s="1"/>
      <c r="D7" s="1"/>
      <c r="E7" s="1"/>
      <c r="F7" s="1"/>
      <c r="G7" s="1"/>
      <c r="H7" s="1"/>
      <c r="J7" s="177" t="str">
        <f>ConcatenateWithSpaces($B$7:$H$7)</f>
        <v/>
      </c>
      <c r="M7" s="518" t="s">
        <v>232</v>
      </c>
      <c r="N7" s="519"/>
      <c r="O7" s="520"/>
    </row>
    <row r="8" spans="1:15" ht="13.5" thickBot="1" x14ac:dyDescent="0.25">
      <c r="B8" s="26" t="str">
        <f>"// "&amp; Parameters!$J$7</f>
        <v>// Foundries_SS</v>
      </c>
      <c r="C8" s="1"/>
      <c r="D8" s="1"/>
      <c r="E8" s="1"/>
      <c r="F8" s="1"/>
      <c r="G8" s="1"/>
      <c r="H8" s="1"/>
      <c r="J8" s="177" t="str">
        <f>ConcatenateWithSpaces($B$8:$H$8)</f>
        <v>// Foundries_SS</v>
      </c>
      <c r="M8" s="606"/>
      <c r="N8" s="607"/>
      <c r="O8" s="608"/>
    </row>
    <row r="9" spans="1:15" x14ac:dyDescent="0.2">
      <c r="B9" s="26" t="str">
        <f>"// "&amp; Parameters!$J$9</f>
        <v>// Site-specific scenario for Int Iron Steel Foundries in Wexford County, MI</v>
      </c>
      <c r="C9" s="1"/>
      <c r="D9" s="1"/>
      <c r="E9" s="1"/>
      <c r="F9" s="1"/>
      <c r="G9" s="1"/>
      <c r="H9" s="1"/>
      <c r="J9" s="177" t="str">
        <f>ConcatenateWithSpaces($B$9:$H$9)</f>
        <v>// Site-specific scenario for Int Iron Steel Foundries in Wexford County, MI</v>
      </c>
      <c r="M9" s="586" t="s">
        <v>233</v>
      </c>
      <c r="N9" s="587"/>
      <c r="O9" s="588"/>
    </row>
    <row r="10" spans="1:15" ht="13.5" thickBot="1" x14ac:dyDescent="0.25">
      <c r="B10" s="1"/>
      <c r="C10" s="1"/>
      <c r="D10" s="1"/>
      <c r="E10" s="1"/>
      <c r="F10" s="1"/>
      <c r="G10" s="1"/>
      <c r="H10" s="1"/>
      <c r="J10" s="177" t="str">
        <f>ConcatenateWithSpaces($B$10:$H$10)</f>
        <v/>
      </c>
      <c r="M10" s="589"/>
      <c r="N10" s="590"/>
      <c r="O10" s="591"/>
    </row>
    <row r="11" spans="1:15" x14ac:dyDescent="0.2">
      <c r="B11" s="1" t="s">
        <v>374</v>
      </c>
      <c r="C11" s="185">
        <f ca="1">NOW()</f>
        <v>43843.428775231485</v>
      </c>
      <c r="D11" s="1"/>
      <c r="E11" s="1"/>
      <c r="F11" s="1"/>
      <c r="G11" s="1"/>
      <c r="H11" s="1"/>
      <c r="J11" s="177" t="str">
        <f ca="1">ConcatenateWithSpaces($B$11:$H$11)</f>
        <v>// Generated:  1/13/2020 10:17:26 AM</v>
      </c>
    </row>
    <row r="12" spans="1:15" x14ac:dyDescent="0.2">
      <c r="B12" s="1"/>
      <c r="C12" s="1"/>
      <c r="D12" s="1"/>
      <c r="E12" s="1"/>
      <c r="F12" s="1"/>
      <c r="G12" s="1"/>
      <c r="H12" s="1"/>
      <c r="J12" s="177" t="str">
        <f>ConcatenateWithSpaces($B$12:$H$12)</f>
        <v/>
      </c>
    </row>
    <row r="13" spans="1:15" x14ac:dyDescent="0.2">
      <c r="B13" s="1" t="s">
        <v>257</v>
      </c>
      <c r="C13" s="1"/>
      <c r="D13" s="1"/>
      <c r="E13" s="1"/>
      <c r="F13" s="1"/>
      <c r="G13" s="1"/>
      <c r="H13" s="1"/>
      <c r="J13" s="177" t="str">
        <f>ConcatenateWithSpaces($B$13:$H$13)</f>
        <v>Version:1</v>
      </c>
    </row>
    <row r="14" spans="1:15" x14ac:dyDescent="0.2">
      <c r="B14" s="1"/>
      <c r="C14" s="1"/>
      <c r="D14" s="1"/>
      <c r="E14" s="1"/>
      <c r="F14" s="1"/>
      <c r="G14" s="1"/>
      <c r="H14" s="1"/>
      <c r="J14" s="177" t="str">
        <f>ConcatenateWithSpaces($B$14:$H$14)</f>
        <v/>
      </c>
    </row>
    <row r="15" spans="1:15" x14ac:dyDescent="0.2">
      <c r="B15" s="1" t="s">
        <v>540</v>
      </c>
      <c r="C15" s="1"/>
      <c r="D15" s="1"/>
      <c r="E15" s="1"/>
      <c r="F15" s="1"/>
      <c r="G15" s="1"/>
      <c r="H15" s="1"/>
      <c r="J15" s="177" t="str">
        <f>ConcatenateWithSpaces($B$15:$H$15)</f>
        <v>// ----------------------------------------------------------------------------</v>
      </c>
    </row>
    <row r="16" spans="1:15" x14ac:dyDescent="0.2">
      <c r="B16" s="1" t="s">
        <v>367</v>
      </c>
      <c r="C16" s="1"/>
      <c r="D16" s="1"/>
      <c r="E16" s="1"/>
      <c r="F16" s="1"/>
      <c r="G16" s="1"/>
      <c r="H16" s="1"/>
      <c r="J16" s="177" t="str">
        <f>ConcatenateWithSpaces($B$16:$H$16)</f>
        <v>// Air</v>
      </c>
    </row>
    <row r="17" spans="2:10" x14ac:dyDescent="0.2">
      <c r="B17" s="1" t="s">
        <v>540</v>
      </c>
      <c r="C17" s="1"/>
      <c r="D17" s="1"/>
      <c r="E17" s="1"/>
      <c r="F17" s="1"/>
      <c r="G17" s="1"/>
      <c r="H17" s="1"/>
      <c r="J17" s="177" t="str">
        <f>ConcatenateWithSpaces($B$17:$H$17)</f>
        <v>// ----------------------------------------------------------------------------</v>
      </c>
    </row>
    <row r="18" spans="2:10" x14ac:dyDescent="0.2">
      <c r="B18" s="1"/>
      <c r="C18" s="1"/>
      <c r="D18" s="1"/>
      <c r="E18" s="1"/>
      <c r="F18" s="1"/>
      <c r="G18" s="1"/>
      <c r="H18" s="1"/>
      <c r="J18" s="177" t="str">
        <f>ConcatenateWithSpaces($B$18:$H$18)</f>
        <v/>
      </c>
    </row>
    <row r="19" spans="2:10" x14ac:dyDescent="0.2">
      <c r="B19" s="1" t="s">
        <v>376</v>
      </c>
      <c r="C19" s="26" t="str">
        <f>"Air_" &amp; TRIM(Layout!$H$10)</f>
        <v>Air_E2</v>
      </c>
      <c r="D19" s="1"/>
      <c r="E19" s="1"/>
      <c r="F19" s="1"/>
      <c r="G19" s="1"/>
      <c r="H19" s="1"/>
      <c r="J19" s="177" t="str">
        <f>ConcatenateWithSpaces($B$19:$H$19)</f>
        <v>VolumeElement: Air_E2</v>
      </c>
    </row>
    <row r="20" spans="2:10" x14ac:dyDescent="0.2">
      <c r="B20" s="1" t="s">
        <v>377</v>
      </c>
      <c r="C20" s="1"/>
      <c r="D20" s="1"/>
      <c r="E20" s="1"/>
      <c r="F20" s="1"/>
      <c r="G20" s="1"/>
      <c r="H20" s="1"/>
      <c r="J20" s="177" t="str">
        <f>ConcatenateWithSpaces($B$20:$H$20)</f>
        <v>Compartment: Degradation/Reaction Sink</v>
      </c>
    </row>
    <row r="21" spans="2:10" x14ac:dyDescent="0.2">
      <c r="B21" s="1" t="s">
        <v>376</v>
      </c>
      <c r="C21" s="26" t="str">
        <f>"Air_" &amp; TRIM(Layout!$H$12)</f>
        <v>Air_LakeCadillac</v>
      </c>
      <c r="D21" s="1"/>
      <c r="E21" s="1"/>
      <c r="F21" s="1"/>
      <c r="G21" s="1"/>
      <c r="H21" s="1"/>
      <c r="J21" s="177" t="str">
        <f>ConcatenateWithSpaces($B$21:$H$21)</f>
        <v>VolumeElement: Air_LakeCadillac</v>
      </c>
    </row>
    <row r="22" spans="2:10" x14ac:dyDescent="0.2">
      <c r="B22" s="1" t="s">
        <v>377</v>
      </c>
      <c r="C22" s="1"/>
      <c r="D22" s="1"/>
      <c r="E22" s="1"/>
      <c r="F22" s="1"/>
      <c r="G22" s="1"/>
      <c r="H22" s="1"/>
      <c r="J22" s="177" t="str">
        <f>ConcatenateWithSpaces($B$22:$H$22)</f>
        <v>Compartment: Degradation/Reaction Sink</v>
      </c>
    </row>
    <row r="23" spans="2:10" x14ac:dyDescent="0.2">
      <c r="B23" s="1" t="s">
        <v>376</v>
      </c>
      <c r="C23" s="26" t="str">
        <f>"Air_" &amp; TRIM(Layout!$H$13)</f>
        <v>Air_LakeMitchell</v>
      </c>
      <c r="D23" s="1"/>
      <c r="E23" s="1"/>
      <c r="F23" s="1"/>
      <c r="G23" s="1"/>
      <c r="H23" s="1"/>
      <c r="J23" s="177" t="str">
        <f>ConcatenateWithSpaces($B$23:$H$23)</f>
        <v>VolumeElement: Air_LakeMitchell</v>
      </c>
    </row>
    <row r="24" spans="2:10" x14ac:dyDescent="0.2">
      <c r="B24" s="1" t="s">
        <v>377</v>
      </c>
      <c r="C24" s="1"/>
      <c r="D24" s="1"/>
      <c r="E24" s="1"/>
      <c r="F24" s="1"/>
      <c r="G24" s="1"/>
      <c r="H24" s="1"/>
      <c r="J24" s="177" t="str">
        <f>ConcatenateWithSpaces($B$24:$H$24)</f>
        <v>Compartment: Degradation/Reaction Sink</v>
      </c>
    </row>
    <row r="25" spans="2:10" x14ac:dyDescent="0.2">
      <c r="B25" s="1" t="s">
        <v>376</v>
      </c>
      <c r="C25" s="26" t="str">
        <f>"Air_" &amp; TRIM(Layout!$H$14)</f>
        <v>Air_N1</v>
      </c>
      <c r="D25" s="1"/>
      <c r="E25" s="1"/>
      <c r="F25" s="1"/>
      <c r="G25" s="1"/>
      <c r="H25" s="1"/>
      <c r="J25" s="177" t="str">
        <f>ConcatenateWithSpaces($B$25:$H$25)</f>
        <v>VolumeElement: Air_N1</v>
      </c>
    </row>
    <row r="26" spans="2:10" x14ac:dyDescent="0.2">
      <c r="B26" s="1" t="s">
        <v>377</v>
      </c>
      <c r="C26" s="1"/>
      <c r="D26" s="1"/>
      <c r="E26" s="1"/>
      <c r="F26" s="1"/>
      <c r="G26" s="1"/>
      <c r="H26" s="1"/>
      <c r="J26" s="177" t="str">
        <f>ConcatenateWithSpaces($B$26:$H$26)</f>
        <v>Compartment: Degradation/Reaction Sink</v>
      </c>
    </row>
    <row r="27" spans="2:10" x14ac:dyDescent="0.2">
      <c r="B27" s="1" t="s">
        <v>376</v>
      </c>
      <c r="C27" s="26" t="str">
        <f>"Air_" &amp; TRIM(Layout!$H$15)</f>
        <v>Air_N2</v>
      </c>
      <c r="D27" s="1"/>
      <c r="E27" s="1"/>
      <c r="F27" s="1"/>
      <c r="G27" s="1"/>
      <c r="H27" s="1"/>
      <c r="J27" s="177" t="str">
        <f>ConcatenateWithSpaces($B$27:$H$27)</f>
        <v>VolumeElement: Air_N2</v>
      </c>
    </row>
    <row r="28" spans="2:10" x14ac:dyDescent="0.2">
      <c r="B28" s="1" t="s">
        <v>377</v>
      </c>
      <c r="C28" s="1"/>
      <c r="D28" s="1"/>
      <c r="E28" s="1"/>
      <c r="F28" s="1"/>
      <c r="G28" s="1"/>
      <c r="H28" s="1"/>
      <c r="J28" s="177" t="str">
        <f>ConcatenateWithSpaces($B$28:$H$28)</f>
        <v>Compartment: Degradation/Reaction Sink</v>
      </c>
    </row>
    <row r="29" spans="2:10" x14ac:dyDescent="0.2">
      <c r="B29" s="1" t="s">
        <v>376</v>
      </c>
      <c r="C29" s="26" t="str">
        <f>"Air_" &amp; TRIM(Layout!$H$16)</f>
        <v>Air_NE1</v>
      </c>
      <c r="D29" s="1"/>
      <c r="E29" s="1"/>
      <c r="F29" s="1"/>
      <c r="G29" s="1"/>
      <c r="H29" s="1"/>
      <c r="J29" s="177" t="str">
        <f>ConcatenateWithSpaces($B$29:$H$29)</f>
        <v>VolumeElement: Air_NE1</v>
      </c>
    </row>
    <row r="30" spans="2:10" x14ac:dyDescent="0.2">
      <c r="B30" s="1" t="s">
        <v>377</v>
      </c>
      <c r="C30" s="1"/>
      <c r="D30" s="1"/>
      <c r="E30" s="1"/>
      <c r="F30" s="1"/>
      <c r="G30" s="1"/>
      <c r="H30" s="1"/>
      <c r="J30" s="177" t="str">
        <f>ConcatenateWithSpaces($B$30:$H$30)</f>
        <v>Compartment: Degradation/Reaction Sink</v>
      </c>
    </row>
    <row r="31" spans="2:10" x14ac:dyDescent="0.2">
      <c r="B31" s="1" t="s">
        <v>376</v>
      </c>
      <c r="C31" s="26" t="str">
        <f>"Air_" &amp; TRIM(Layout!$H$17)</f>
        <v>Air_NE2</v>
      </c>
      <c r="D31" s="1"/>
      <c r="E31" s="1"/>
      <c r="F31" s="1"/>
      <c r="G31" s="1"/>
      <c r="H31" s="1"/>
      <c r="J31" s="177" t="str">
        <f>ConcatenateWithSpaces($B$31:$H$31)</f>
        <v>VolumeElement: Air_NE2</v>
      </c>
    </row>
    <row r="32" spans="2:10" x14ac:dyDescent="0.2">
      <c r="B32" s="1" t="s">
        <v>377</v>
      </c>
      <c r="C32" s="1"/>
      <c r="D32" s="1"/>
      <c r="E32" s="1"/>
      <c r="F32" s="1"/>
      <c r="G32" s="1"/>
      <c r="H32" s="1"/>
      <c r="J32" s="177" t="str">
        <f>ConcatenateWithSpaces($B$32:$H$32)</f>
        <v>Compartment: Degradation/Reaction Sink</v>
      </c>
    </row>
    <row r="33" spans="2:10" x14ac:dyDescent="0.2">
      <c r="B33" s="1" t="s">
        <v>376</v>
      </c>
      <c r="C33" s="26" t="str">
        <f>"Air_" &amp; TRIM(Layout!$H$18)</f>
        <v>Air_NE3</v>
      </c>
      <c r="D33" s="1"/>
      <c r="E33" s="1"/>
      <c r="F33" s="1"/>
      <c r="G33" s="1"/>
      <c r="H33" s="1"/>
      <c r="J33" s="177" t="str">
        <f>ConcatenateWithSpaces($B$33:$H$33)</f>
        <v>VolumeElement: Air_NE3</v>
      </c>
    </row>
    <row r="34" spans="2:10" x14ac:dyDescent="0.2">
      <c r="B34" s="1" t="s">
        <v>377</v>
      </c>
      <c r="C34" s="1"/>
      <c r="D34" s="1"/>
      <c r="E34" s="1"/>
      <c r="F34" s="1"/>
      <c r="G34" s="1"/>
      <c r="H34" s="1"/>
      <c r="J34" s="177" t="str">
        <f>ConcatenateWithSpaces($B$34:$H$34)</f>
        <v>Compartment: Degradation/Reaction Sink</v>
      </c>
    </row>
    <row r="35" spans="2:10" x14ac:dyDescent="0.2">
      <c r="B35" s="1" t="s">
        <v>376</v>
      </c>
      <c r="C35" s="26" t="str">
        <f>"Air_" &amp; TRIM(Layout!$H$19)</f>
        <v>Air_NW1</v>
      </c>
      <c r="D35" s="1"/>
      <c r="E35" s="1"/>
      <c r="F35" s="1"/>
      <c r="G35" s="1"/>
      <c r="H35" s="1"/>
      <c r="J35" s="177" t="str">
        <f>ConcatenateWithSpaces($B$35:$H$35)</f>
        <v>VolumeElement: Air_NW1</v>
      </c>
    </row>
    <row r="36" spans="2:10" x14ac:dyDescent="0.2">
      <c r="B36" s="1" t="s">
        <v>377</v>
      </c>
      <c r="C36" s="1"/>
      <c r="D36" s="1"/>
      <c r="E36" s="1"/>
      <c r="F36" s="1"/>
      <c r="G36" s="1"/>
      <c r="H36" s="1"/>
      <c r="J36" s="177" t="str">
        <f>ConcatenateWithSpaces($B$36:$H$36)</f>
        <v>Compartment: Degradation/Reaction Sink</v>
      </c>
    </row>
    <row r="37" spans="2:10" x14ac:dyDescent="0.2">
      <c r="B37" s="1" t="s">
        <v>376</v>
      </c>
      <c r="C37" s="26" t="str">
        <f>"Air_" &amp; TRIM(Layout!$H$20)</f>
        <v>Air_NW2</v>
      </c>
      <c r="D37" s="1"/>
      <c r="E37" s="1"/>
      <c r="F37" s="1"/>
      <c r="G37" s="1"/>
      <c r="H37" s="1"/>
      <c r="J37" s="177" t="str">
        <f>ConcatenateWithSpaces($B$37:$H$37)</f>
        <v>VolumeElement: Air_NW2</v>
      </c>
    </row>
    <row r="38" spans="2:10" x14ac:dyDescent="0.2">
      <c r="B38" s="1" t="s">
        <v>377</v>
      </c>
      <c r="C38" s="1"/>
      <c r="D38" s="1"/>
      <c r="E38" s="1"/>
      <c r="F38" s="1"/>
      <c r="G38" s="1"/>
      <c r="H38" s="1"/>
      <c r="J38" s="177" t="str">
        <f>ConcatenateWithSpaces($B$38:$H$38)</f>
        <v>Compartment: Degradation/Reaction Sink</v>
      </c>
    </row>
    <row r="39" spans="2:10" x14ac:dyDescent="0.2">
      <c r="B39" s="1" t="s">
        <v>376</v>
      </c>
      <c r="C39" s="26" t="str">
        <f>"Air_" &amp; TRIM(Layout!$H$21)</f>
        <v>Air_S1</v>
      </c>
      <c r="D39" s="1"/>
      <c r="E39" s="1"/>
      <c r="F39" s="1"/>
      <c r="G39" s="1"/>
      <c r="H39" s="1"/>
      <c r="J39" s="177" t="str">
        <f>ConcatenateWithSpaces($B$39:$H$39)</f>
        <v>VolumeElement: Air_S1</v>
      </c>
    </row>
    <row r="40" spans="2:10" x14ac:dyDescent="0.2">
      <c r="B40" s="1" t="s">
        <v>377</v>
      </c>
      <c r="C40" s="1"/>
      <c r="D40" s="1"/>
      <c r="E40" s="1"/>
      <c r="F40" s="1"/>
      <c r="G40" s="1"/>
      <c r="H40" s="1"/>
      <c r="J40" s="177" t="str">
        <f>ConcatenateWithSpaces($B$40:$H$40)</f>
        <v>Compartment: Degradation/Reaction Sink</v>
      </c>
    </row>
    <row r="41" spans="2:10" x14ac:dyDescent="0.2">
      <c r="B41" s="1" t="s">
        <v>376</v>
      </c>
      <c r="C41" s="26" t="str">
        <f>"Air_" &amp; TRIM(Layout!$H$22)</f>
        <v>Air_S2</v>
      </c>
      <c r="D41" s="1"/>
      <c r="E41" s="1"/>
      <c r="F41" s="1"/>
      <c r="G41" s="1"/>
      <c r="H41" s="1"/>
      <c r="J41" s="177" t="str">
        <f>ConcatenateWithSpaces($B$41:$H$41)</f>
        <v>VolumeElement: Air_S2</v>
      </c>
    </row>
    <row r="42" spans="2:10" x14ac:dyDescent="0.2">
      <c r="B42" s="1" t="s">
        <v>377</v>
      </c>
      <c r="C42" s="1"/>
      <c r="D42" s="1"/>
      <c r="E42" s="1"/>
      <c r="F42" s="1"/>
      <c r="G42" s="1"/>
      <c r="H42" s="1"/>
      <c r="J42" s="177" t="str">
        <f>ConcatenateWithSpaces($B$42:$H$42)</f>
        <v>Compartment: Degradation/Reaction Sink</v>
      </c>
    </row>
    <row r="43" spans="2:10" x14ac:dyDescent="0.2">
      <c r="B43" s="1" t="s">
        <v>376</v>
      </c>
      <c r="C43" s="26" t="str">
        <f>"Air_" &amp; TRIM(Layout!$H$23)</f>
        <v>Air_SE1</v>
      </c>
      <c r="D43" s="1"/>
      <c r="E43" s="1"/>
      <c r="F43" s="1"/>
      <c r="G43" s="1"/>
      <c r="H43" s="1"/>
      <c r="J43" s="177" t="str">
        <f>ConcatenateWithSpaces($B$43:$H$43)</f>
        <v>VolumeElement: Air_SE1</v>
      </c>
    </row>
    <row r="44" spans="2:10" x14ac:dyDescent="0.2">
      <c r="B44" s="1" t="s">
        <v>377</v>
      </c>
      <c r="C44" s="1"/>
      <c r="D44" s="1"/>
      <c r="E44" s="1"/>
      <c r="F44" s="1"/>
      <c r="G44" s="1"/>
      <c r="H44" s="1"/>
      <c r="J44" s="177" t="str">
        <f>ConcatenateWithSpaces($B$44:$H$44)</f>
        <v>Compartment: Degradation/Reaction Sink</v>
      </c>
    </row>
    <row r="45" spans="2:10" x14ac:dyDescent="0.2">
      <c r="B45" s="1" t="s">
        <v>376</v>
      </c>
      <c r="C45" s="26" t="str">
        <f>"Air_" &amp; TRIM(Layout!$H$24)</f>
        <v>Air_SE2</v>
      </c>
      <c r="D45" s="1"/>
      <c r="E45" s="1"/>
      <c r="F45" s="1"/>
      <c r="G45" s="1"/>
      <c r="H45" s="1"/>
      <c r="J45" s="177" t="str">
        <f>ConcatenateWithSpaces($B$45:$H$45)</f>
        <v>VolumeElement: Air_SE2</v>
      </c>
    </row>
    <row r="46" spans="2:10" x14ac:dyDescent="0.2">
      <c r="B46" s="1" t="s">
        <v>377</v>
      </c>
      <c r="C46" s="1"/>
      <c r="D46" s="1"/>
      <c r="E46" s="1"/>
      <c r="F46" s="1"/>
      <c r="G46" s="1"/>
      <c r="H46" s="1"/>
      <c r="J46" s="177" t="str">
        <f>ConcatenateWithSpaces($B$46:$H$46)</f>
        <v>Compartment: Degradation/Reaction Sink</v>
      </c>
    </row>
    <row r="47" spans="2:10" x14ac:dyDescent="0.2">
      <c r="B47" s="1" t="s">
        <v>376</v>
      </c>
      <c r="C47" s="26" t="str">
        <f>"Air_" &amp; TRIM(Layout!$H$25)</f>
        <v>Air_SW1</v>
      </c>
      <c r="D47" s="1"/>
      <c r="E47" s="1"/>
      <c r="F47" s="1"/>
      <c r="G47" s="1"/>
      <c r="H47" s="1"/>
      <c r="J47" s="177" t="str">
        <f>ConcatenateWithSpaces($B$47:$H$47)</f>
        <v>VolumeElement: Air_SW1</v>
      </c>
    </row>
    <row r="48" spans="2:10" x14ac:dyDescent="0.2">
      <c r="B48" s="1" t="s">
        <v>377</v>
      </c>
      <c r="C48" s="1"/>
      <c r="D48" s="1"/>
      <c r="E48" s="1"/>
      <c r="F48" s="1"/>
      <c r="G48" s="1"/>
      <c r="H48" s="1"/>
      <c r="J48" s="177" t="str">
        <f>ConcatenateWithSpaces($B$48:$H$48)</f>
        <v>Compartment: Degradation/Reaction Sink</v>
      </c>
    </row>
    <row r="49" spans="2:10" x14ac:dyDescent="0.2">
      <c r="B49" s="1" t="s">
        <v>376</v>
      </c>
      <c r="C49" s="26" t="str">
        <f>"Air_" &amp; TRIM(Layout!$H$26)</f>
        <v>Air_SW2</v>
      </c>
      <c r="D49" s="1"/>
      <c r="E49" s="1"/>
      <c r="F49" s="1"/>
      <c r="G49" s="1"/>
      <c r="H49" s="1"/>
      <c r="J49" s="177" t="str">
        <f>ConcatenateWithSpaces($B$49:$H$49)</f>
        <v>VolumeElement: Air_SW2</v>
      </c>
    </row>
    <row r="50" spans="2:10" x14ac:dyDescent="0.2">
      <c r="B50" s="1" t="s">
        <v>377</v>
      </c>
      <c r="C50" s="1"/>
      <c r="D50" s="1"/>
      <c r="E50" s="1"/>
      <c r="F50" s="1"/>
      <c r="G50" s="1"/>
      <c r="H50" s="1"/>
      <c r="J50" s="177" t="str">
        <f>ConcatenateWithSpaces($B$50:$H$50)</f>
        <v>Compartment: Degradation/Reaction Sink</v>
      </c>
    </row>
    <row r="51" spans="2:10" x14ac:dyDescent="0.2">
      <c r="B51" s="1" t="s">
        <v>376</v>
      </c>
      <c r="C51" s="26" t="str">
        <f>"Air_" &amp; TRIM(Layout!$H$27)</f>
        <v>Air_W1</v>
      </c>
      <c r="D51" s="1"/>
      <c r="E51" s="1"/>
      <c r="F51" s="1"/>
      <c r="G51" s="1"/>
      <c r="H51" s="1"/>
      <c r="J51" s="177" t="str">
        <f>ConcatenateWithSpaces($B$51:$H$51)</f>
        <v>VolumeElement: Air_W1</v>
      </c>
    </row>
    <row r="52" spans="2:10" x14ac:dyDescent="0.2">
      <c r="B52" s="1" t="s">
        <v>377</v>
      </c>
      <c r="C52" s="1"/>
      <c r="D52" s="1"/>
      <c r="E52" s="1"/>
      <c r="F52" s="1"/>
      <c r="G52" s="1"/>
      <c r="H52" s="1"/>
      <c r="J52" s="177" t="str">
        <f>ConcatenateWithSpaces($B$52:$H$52)</f>
        <v>Compartment: Degradation/Reaction Sink</v>
      </c>
    </row>
    <row r="53" spans="2:10" x14ac:dyDescent="0.2">
      <c r="B53" s="1"/>
      <c r="C53" s="1"/>
      <c r="D53" s="1"/>
      <c r="E53" s="1"/>
      <c r="F53" s="1"/>
      <c r="G53" s="1"/>
      <c r="H53" s="1"/>
      <c r="J53" s="177" t="str">
        <f>ConcatenateWithSpaces($B$53:$H$53)</f>
        <v/>
      </c>
    </row>
    <row r="54" spans="2:10" x14ac:dyDescent="0.2">
      <c r="B54" s="1" t="s">
        <v>540</v>
      </c>
      <c r="C54" s="1"/>
      <c r="D54" s="1"/>
      <c r="E54" s="1"/>
      <c r="F54" s="1"/>
      <c r="G54" s="1"/>
      <c r="H54" s="1"/>
      <c r="J54" s="177" t="str">
        <f>ConcatenateWithSpaces($B$54:$H$54)</f>
        <v>// ----------------------------------------------------------------------------</v>
      </c>
    </row>
    <row r="55" spans="2:10" x14ac:dyDescent="0.2">
      <c r="B55" s="1" t="s">
        <v>368</v>
      </c>
      <c r="C55" s="1"/>
      <c r="D55" s="1"/>
      <c r="E55" s="1"/>
      <c r="F55" s="1"/>
      <c r="G55" s="1"/>
      <c r="H55" s="1"/>
      <c r="J55" s="177" t="str">
        <f>ConcatenateWithSpaces($B$55:$H$55)</f>
        <v>// Water</v>
      </c>
    </row>
    <row r="56" spans="2:10" x14ac:dyDescent="0.2">
      <c r="B56" s="1" t="s">
        <v>540</v>
      </c>
      <c r="C56" s="1"/>
      <c r="D56" s="1"/>
      <c r="E56" s="1"/>
      <c r="F56" s="1"/>
      <c r="G56" s="1"/>
      <c r="H56" s="1"/>
      <c r="J56" s="177" t="str">
        <f>ConcatenateWithSpaces($B$56:$H$56)</f>
        <v>// ----------------------------------------------------------------------------</v>
      </c>
    </row>
    <row r="57" spans="2:10" x14ac:dyDescent="0.2">
      <c r="B57" s="1"/>
      <c r="C57" s="1"/>
      <c r="D57" s="1"/>
      <c r="E57" s="1"/>
      <c r="F57" s="1"/>
      <c r="G57" s="1"/>
      <c r="H57" s="1"/>
      <c r="J57" s="177" t="str">
        <f>ConcatenateWithSpaces($B$57:$H$57)</f>
        <v/>
      </c>
    </row>
    <row r="58" spans="2:10" x14ac:dyDescent="0.2">
      <c r="B58" s="1" t="s">
        <v>923</v>
      </c>
      <c r="C58" s="1"/>
      <c r="D58" s="1"/>
      <c r="E58" s="1"/>
      <c r="F58" s="1"/>
      <c r="G58" s="1"/>
      <c r="H58" s="1"/>
      <c r="J58" s="177" t="str">
        <f>ConcatenateWithSpaces($B$58:$H$58)</f>
        <v>// E3</v>
      </c>
    </row>
    <row r="59" spans="2:10" x14ac:dyDescent="0.2">
      <c r="B59" s="1" t="s">
        <v>376</v>
      </c>
      <c r="C59" s="26" t="str">
        <f>"SW_" &amp; TRIM(Layout!$H$11)</f>
        <v>SW_E3</v>
      </c>
      <c r="D59" s="1"/>
      <c r="E59" s="1"/>
      <c r="F59" s="1"/>
      <c r="G59" s="1"/>
      <c r="H59" s="1"/>
      <c r="J59" s="177" t="str">
        <f>ConcatenateWithSpaces($B$59:$H$59)</f>
        <v>VolumeElement: SW_E3</v>
      </c>
    </row>
    <row r="60" spans="2:10" x14ac:dyDescent="0.2">
      <c r="B60" s="1" t="s">
        <v>377</v>
      </c>
      <c r="C60" s="1"/>
      <c r="D60" s="1"/>
      <c r="E60" s="1"/>
      <c r="F60" s="1"/>
      <c r="G60" s="1"/>
      <c r="H60" s="1"/>
      <c r="J60" s="177" t="str">
        <f>ConcatenateWithSpaces($B$60:$H$60)</f>
        <v>Compartment: Degradation/Reaction Sink</v>
      </c>
    </row>
    <row r="61" spans="2:10" x14ac:dyDescent="0.2">
      <c r="B61" s="1" t="s">
        <v>379</v>
      </c>
      <c r="C61" s="1"/>
      <c r="D61" s="1"/>
      <c r="E61" s="1"/>
      <c r="F61" s="1"/>
      <c r="G61" s="1"/>
      <c r="H61" s="1"/>
      <c r="J61" s="177" t="str">
        <f>ConcatenateWithSpaces($B$61:$H$61)</f>
        <v>Compartment: Flush Rate Sink</v>
      </c>
    </row>
    <row r="62" spans="2:10" x14ac:dyDescent="0.2">
      <c r="B62" s="1" t="s">
        <v>376</v>
      </c>
      <c r="C62" s="26" t="str">
        <f>"Sed_" &amp; TRIM(Layout!$H$11)</f>
        <v>Sed_E3</v>
      </c>
      <c r="D62" s="1"/>
      <c r="E62" s="1"/>
      <c r="F62" s="1"/>
      <c r="G62" s="1"/>
      <c r="H62" s="1"/>
      <c r="J62" s="177" t="str">
        <f>ConcatenateWithSpaces($B$62:$H$62)</f>
        <v>VolumeElement: Sed_E3</v>
      </c>
    </row>
    <row r="63" spans="2:10" x14ac:dyDescent="0.2">
      <c r="B63" s="1" t="s">
        <v>377</v>
      </c>
      <c r="C63" s="1"/>
      <c r="D63" s="1"/>
      <c r="E63" s="1"/>
      <c r="F63" s="1"/>
      <c r="G63" s="1"/>
      <c r="H63" s="1"/>
      <c r="J63" s="177" t="str">
        <f>ConcatenateWithSpaces($B$63:$H$63)</f>
        <v>Compartment: Degradation/Reaction Sink</v>
      </c>
    </row>
    <row r="64" spans="2:10" x14ac:dyDescent="0.2">
      <c r="B64" s="1"/>
      <c r="C64" s="1"/>
      <c r="D64" s="1"/>
      <c r="E64" s="1"/>
      <c r="F64" s="1"/>
      <c r="G64" s="1"/>
      <c r="H64" s="1"/>
      <c r="J64" s="177" t="str">
        <f>ConcatenateWithSpaces($B$64:$H$64)</f>
        <v/>
      </c>
    </row>
    <row r="65" spans="2:10" x14ac:dyDescent="0.2">
      <c r="B65" s="1" t="s">
        <v>848</v>
      </c>
      <c r="C65" s="1"/>
      <c r="D65" s="1"/>
      <c r="E65" s="1"/>
      <c r="F65" s="1"/>
      <c r="G65" s="1"/>
      <c r="H65" s="1"/>
      <c r="J65" s="177" t="str">
        <f>ConcatenateWithSpaces($B$65:$H$65)</f>
        <v>// LakeCadillac</v>
      </c>
    </row>
    <row r="66" spans="2:10" x14ac:dyDescent="0.2">
      <c r="B66" s="1" t="s">
        <v>376</v>
      </c>
      <c r="C66" s="26" t="str">
        <f>"SW_" &amp; TRIM(Layout!$H$12)</f>
        <v>SW_LakeCadillac</v>
      </c>
      <c r="D66" s="1"/>
      <c r="E66" s="1"/>
      <c r="F66" s="1"/>
      <c r="G66" s="1"/>
      <c r="H66" s="1"/>
      <c r="J66" s="177" t="str">
        <f>ConcatenateWithSpaces($B$66:$H$66)</f>
        <v>VolumeElement: SW_LakeCadillac</v>
      </c>
    </row>
    <row r="67" spans="2:10" x14ac:dyDescent="0.2">
      <c r="B67" s="1" t="s">
        <v>377</v>
      </c>
      <c r="C67" s="1"/>
      <c r="D67" s="1"/>
      <c r="E67" s="1"/>
      <c r="F67" s="1"/>
      <c r="G67" s="1"/>
      <c r="H67" s="1"/>
      <c r="J67" s="177" t="str">
        <f>ConcatenateWithSpaces($B$67:$H$67)</f>
        <v>Compartment: Degradation/Reaction Sink</v>
      </c>
    </row>
    <row r="68" spans="2:10" x14ac:dyDescent="0.2">
      <c r="B68" s="1" t="s">
        <v>379</v>
      </c>
      <c r="C68" s="1"/>
      <c r="D68" s="1"/>
      <c r="E68" s="1"/>
      <c r="F68" s="1"/>
      <c r="G68" s="1"/>
      <c r="H68" s="1"/>
      <c r="J68" s="177" t="str">
        <f>ConcatenateWithSpaces($B$68:$H$68)</f>
        <v>Compartment: Flush Rate Sink</v>
      </c>
    </row>
    <row r="69" spans="2:10" x14ac:dyDescent="0.2">
      <c r="B69" s="1" t="s">
        <v>378</v>
      </c>
      <c r="C69" s="26" t="str">
        <f>Fish!$D$10</f>
        <v>Macrophyte</v>
      </c>
      <c r="D69" s="1"/>
      <c r="E69" s="1"/>
      <c r="F69" s="1"/>
      <c r="G69" s="1"/>
      <c r="H69" s="1"/>
      <c r="J69" s="177" t="str">
        <f>ConcatenateWithSpaces($B$69:$H$69)</f>
        <v>Compartment: Macrophyte</v>
      </c>
    </row>
    <row r="70" spans="2:10" x14ac:dyDescent="0.2">
      <c r="B70" s="1" t="s">
        <v>378</v>
      </c>
      <c r="C70" s="26" t="str">
        <f>Fish!$D$11</f>
        <v>Zooplankton</v>
      </c>
      <c r="D70" s="1"/>
      <c r="E70" s="1"/>
      <c r="F70" s="1"/>
      <c r="G70" s="1"/>
      <c r="H70" s="1"/>
      <c r="J70" s="177" t="str">
        <f>ConcatenateWithSpaces($B$70:$H$70)</f>
        <v>Compartment: Zooplankton</v>
      </c>
    </row>
    <row r="71" spans="2:10" x14ac:dyDescent="0.2">
      <c r="B71" s="1" t="s">
        <v>378</v>
      </c>
      <c r="C71" s="26" t="str">
        <f>Fish!$D$13</f>
        <v>Water Column Herbivore</v>
      </c>
      <c r="D71" s="1"/>
      <c r="E71" s="1"/>
      <c r="F71" s="1"/>
      <c r="G71" s="1"/>
      <c r="H71" s="1"/>
      <c r="J71" s="177" t="str">
        <f>ConcatenateWithSpaces($B$71:$H$71)</f>
        <v>Compartment: Water Column Herbivore</v>
      </c>
    </row>
    <row r="72" spans="2:10" x14ac:dyDescent="0.2">
      <c r="B72" s="1" t="s">
        <v>378</v>
      </c>
      <c r="C72" s="26" t="str">
        <f>Fish!$D$15</f>
        <v>Water Column Omnivore</v>
      </c>
      <c r="D72" s="1"/>
      <c r="E72" s="1"/>
      <c r="F72" s="1"/>
      <c r="G72" s="1"/>
      <c r="H72" s="1"/>
      <c r="J72" s="177" t="str">
        <f>ConcatenateWithSpaces($B$72:$H$72)</f>
        <v>Compartment: Water Column Omnivore</v>
      </c>
    </row>
    <row r="73" spans="2:10" x14ac:dyDescent="0.2">
      <c r="B73" s="1" t="s">
        <v>378</v>
      </c>
      <c r="C73" s="26" t="str">
        <f>Fish!$D$17</f>
        <v>Water Column Carnivore</v>
      </c>
      <c r="D73" s="1"/>
      <c r="E73" s="1"/>
      <c r="F73" s="1"/>
      <c r="G73" s="1"/>
      <c r="H73" s="1"/>
      <c r="J73" s="177" t="str">
        <f>ConcatenateWithSpaces($B$73:$H$73)</f>
        <v>Compartment: Water Column Carnivore</v>
      </c>
    </row>
    <row r="74" spans="2:10" x14ac:dyDescent="0.2">
      <c r="B74" s="1" t="s">
        <v>376</v>
      </c>
      <c r="C74" s="26" t="str">
        <f>"Sed_" &amp; TRIM(Layout!$H$12)</f>
        <v>Sed_LakeCadillac</v>
      </c>
      <c r="D74" s="1"/>
      <c r="E74" s="1"/>
      <c r="F74" s="1"/>
      <c r="G74" s="1"/>
      <c r="H74" s="1"/>
      <c r="J74" s="177" t="str">
        <f>ConcatenateWithSpaces($B$74:$H$74)</f>
        <v>VolumeElement: Sed_LakeCadillac</v>
      </c>
    </row>
    <row r="75" spans="2:10" x14ac:dyDescent="0.2">
      <c r="B75" s="1" t="s">
        <v>377</v>
      </c>
      <c r="C75" s="1"/>
      <c r="D75" s="1"/>
      <c r="E75" s="1"/>
      <c r="F75" s="1"/>
      <c r="G75" s="1"/>
      <c r="H75" s="1"/>
      <c r="J75" s="177" t="str">
        <f>ConcatenateWithSpaces($B$75:$H$75)</f>
        <v>Compartment: Degradation/Reaction Sink</v>
      </c>
    </row>
    <row r="76" spans="2:10" x14ac:dyDescent="0.2">
      <c r="B76" s="1" t="s">
        <v>378</v>
      </c>
      <c r="C76" s="26" t="str">
        <f>Fish!$D$12</f>
        <v>Benthic Invertebrate</v>
      </c>
      <c r="D76" s="1"/>
      <c r="E76" s="1"/>
      <c r="F76" s="1"/>
      <c r="G76" s="1"/>
      <c r="H76" s="1"/>
      <c r="J76" s="177" t="str">
        <f>ConcatenateWithSpaces($B$76:$H$76)</f>
        <v>Compartment: Benthic Invertebrate</v>
      </c>
    </row>
    <row r="77" spans="2:10" x14ac:dyDescent="0.2">
      <c r="B77" s="1" t="s">
        <v>378</v>
      </c>
      <c r="C77" s="26" t="str">
        <f>Fish!$D$14</f>
        <v>Benthic Omnivore</v>
      </c>
      <c r="D77" s="1"/>
      <c r="E77" s="1"/>
      <c r="F77" s="1"/>
      <c r="G77" s="1"/>
      <c r="H77" s="1"/>
      <c r="J77" s="177" t="str">
        <f>ConcatenateWithSpaces($B$77:$H$77)</f>
        <v>Compartment: Benthic Omnivore</v>
      </c>
    </row>
    <row r="78" spans="2:10" x14ac:dyDescent="0.2">
      <c r="B78" s="1" t="s">
        <v>378</v>
      </c>
      <c r="C78" s="26" t="str">
        <f>Fish!$D$16</f>
        <v>Benthic Carnivore</v>
      </c>
      <c r="D78" s="1"/>
      <c r="E78" s="1"/>
      <c r="F78" s="1"/>
      <c r="G78" s="1"/>
      <c r="H78" s="1"/>
      <c r="J78" s="177" t="str">
        <f>ConcatenateWithSpaces($B$78:$H$78)</f>
        <v>Compartment: Benthic Carnivore</v>
      </c>
    </row>
    <row r="79" spans="2:10" x14ac:dyDescent="0.2">
      <c r="B79" s="1"/>
      <c r="C79" s="1"/>
      <c r="D79" s="1"/>
      <c r="E79" s="1"/>
      <c r="F79" s="1"/>
      <c r="G79" s="1"/>
      <c r="H79" s="1"/>
      <c r="J79" s="177" t="str">
        <f>ConcatenateWithSpaces($B$79:$H$79)</f>
        <v/>
      </c>
    </row>
    <row r="80" spans="2:10" x14ac:dyDescent="0.2">
      <c r="B80" s="1"/>
      <c r="C80" s="1"/>
      <c r="D80" s="1"/>
      <c r="E80" s="1"/>
      <c r="F80" s="1"/>
      <c r="G80" s="1"/>
      <c r="H80" s="1"/>
      <c r="J80" s="177" t="str">
        <f>ConcatenateWithSpaces($B$80:$H$80)</f>
        <v/>
      </c>
    </row>
    <row r="81" spans="2:10" x14ac:dyDescent="0.2">
      <c r="B81" s="1" t="s">
        <v>540</v>
      </c>
      <c r="C81" s="1"/>
      <c r="D81" s="1"/>
      <c r="E81" s="1"/>
      <c r="F81" s="1"/>
      <c r="G81" s="1"/>
      <c r="H81" s="1"/>
      <c r="J81" s="177" t="str">
        <f>ConcatenateWithSpaces($B$81:$H$81)</f>
        <v>// ----------------------------------------------------------------------------</v>
      </c>
    </row>
    <row r="82" spans="2:10" x14ac:dyDescent="0.2">
      <c r="B82" s="1" t="s">
        <v>369</v>
      </c>
      <c r="C82" s="1"/>
      <c r="D82" s="1"/>
      <c r="E82" s="1"/>
      <c r="F82" s="1"/>
      <c r="G82" s="1"/>
      <c r="H82" s="1"/>
      <c r="J82" s="177" t="str">
        <f>ConcatenateWithSpaces($B$82:$H$82)</f>
        <v>// Land</v>
      </c>
    </row>
    <row r="83" spans="2:10" x14ac:dyDescent="0.2">
      <c r="B83" s="1" t="s">
        <v>540</v>
      </c>
      <c r="C83" s="1"/>
      <c r="D83" s="1"/>
      <c r="E83" s="1"/>
      <c r="F83" s="1"/>
      <c r="G83" s="1"/>
      <c r="H83" s="1"/>
      <c r="J83" s="177" t="str">
        <f>ConcatenateWithSpaces($B$83:$H$83)</f>
        <v>// ----------------------------------------------------------------------------</v>
      </c>
    </row>
    <row r="84" spans="2:10" x14ac:dyDescent="0.2">
      <c r="B84" s="1"/>
      <c r="C84" s="1"/>
      <c r="D84" s="1"/>
      <c r="E84" s="1"/>
      <c r="F84" s="1"/>
      <c r="G84" s="1"/>
      <c r="H84" s="1"/>
      <c r="J84" s="177" t="str">
        <f>ConcatenateWithSpaces($B$84:$H$84)</f>
        <v/>
      </c>
    </row>
    <row r="85" spans="2:10" x14ac:dyDescent="0.2">
      <c r="B85" s="1" t="s">
        <v>924</v>
      </c>
      <c r="C85" s="26" t="str">
        <f>Layout!$J$9</f>
        <v>grass</v>
      </c>
      <c r="D85" s="1"/>
      <c r="E85" s="1"/>
      <c r="F85" s="1"/>
      <c r="G85" s="1"/>
      <c r="H85" s="1"/>
      <c r="J85" s="177" t="str">
        <f>ConcatenateWithSpaces($B$85:$H$85)</f>
        <v>// E1 land use: grass</v>
      </c>
    </row>
    <row r="86" spans="2:10" x14ac:dyDescent="0.2">
      <c r="B86" s="1" t="s">
        <v>376</v>
      </c>
      <c r="C86" s="26" t="str">
        <f>"GW_" &amp; TRIM(Layout!$H$9)</f>
        <v>GW_E1</v>
      </c>
      <c r="D86" s="1"/>
      <c r="E86" s="1"/>
      <c r="F86" s="1"/>
      <c r="G86" s="1"/>
      <c r="H86" s="1"/>
      <c r="J86" s="177" t="str">
        <f>ConcatenateWithSpaces($B$86:$H$86)</f>
        <v>VolumeElement: GW_E1</v>
      </c>
    </row>
    <row r="87" spans="2:10" x14ac:dyDescent="0.2">
      <c r="B87" s="1" t="s">
        <v>377</v>
      </c>
      <c r="C87" s="1"/>
      <c r="D87" s="1"/>
      <c r="E87" s="1"/>
      <c r="F87" s="1"/>
      <c r="G87" s="1"/>
      <c r="H87" s="1"/>
      <c r="J87" s="177" t="str">
        <f>ConcatenateWithSpaces($B$87:$H$87)</f>
        <v>Compartment: Degradation/Reaction Sink</v>
      </c>
    </row>
    <row r="88" spans="2:10" x14ac:dyDescent="0.2">
      <c r="B88" s="1" t="s">
        <v>376</v>
      </c>
      <c r="C88" s="26" t="str">
        <f>"VadoseSoil_" &amp; TRIM(Layout!$H$9)</f>
        <v>VadoseSoil_E1</v>
      </c>
      <c r="D88" s="1"/>
      <c r="E88" s="1"/>
      <c r="F88" s="1"/>
      <c r="G88" s="1"/>
      <c r="H88" s="1"/>
      <c r="J88" s="177" t="str">
        <f>ConcatenateWithSpaces($B$88:$H$88)</f>
        <v>VolumeElement: VadoseSoil_E1</v>
      </c>
    </row>
    <row r="89" spans="2:10" x14ac:dyDescent="0.2">
      <c r="B89" s="1" t="s">
        <v>377</v>
      </c>
      <c r="C89" s="1"/>
      <c r="D89" s="1"/>
      <c r="E89" s="1"/>
      <c r="F89" s="1"/>
      <c r="G89" s="1"/>
      <c r="H89" s="1"/>
      <c r="J89" s="177" t="str">
        <f>ConcatenateWithSpaces($B$89:$H$89)</f>
        <v>Compartment: Degradation/Reaction Sink</v>
      </c>
    </row>
    <row r="90" spans="2:10" x14ac:dyDescent="0.2">
      <c r="B90" s="1" t="s">
        <v>376</v>
      </c>
      <c r="C90" s="26" t="str">
        <f>"RootSoil_" &amp; TRIM(Layout!$H$9)</f>
        <v>RootSoil_E1</v>
      </c>
      <c r="D90" s="1"/>
      <c r="E90" s="1"/>
      <c r="F90" s="1"/>
      <c r="G90" s="1"/>
      <c r="H90" s="1"/>
      <c r="J90" s="177" t="str">
        <f>ConcatenateWithSpaces($B$90:$H$90)</f>
        <v>VolumeElement: RootSoil_E1</v>
      </c>
    </row>
    <row r="91" spans="2:10" x14ac:dyDescent="0.2">
      <c r="B91" s="1" t="s">
        <v>377</v>
      </c>
      <c r="C91" s="1"/>
      <c r="D91" s="1"/>
      <c r="E91" s="1"/>
      <c r="F91" s="1"/>
      <c r="G91" s="1"/>
      <c r="H91" s="1"/>
      <c r="J91" s="177" t="str">
        <f>ConcatenateWithSpaces($B$91:$H$91)</f>
        <v>Compartment: Degradation/Reaction Sink</v>
      </c>
    </row>
    <row r="92" spans="2:10" x14ac:dyDescent="0.2">
      <c r="B92" s="1" t="s">
        <v>376</v>
      </c>
      <c r="C92" s="26" t="str">
        <f>"SurfSoil_" &amp; TRIM(Layout!$H$9)</f>
        <v>SurfSoil_E1</v>
      </c>
      <c r="D92" s="1"/>
      <c r="E92" s="1"/>
      <c r="F92" s="1"/>
      <c r="G92" s="1"/>
      <c r="H92" s="1"/>
      <c r="J92" s="177" t="str">
        <f>ConcatenateWithSpaces($B$92:$H$92)</f>
        <v>VolumeElement: SurfSoil_E1</v>
      </c>
    </row>
    <row r="93" spans="2:10" x14ac:dyDescent="0.2">
      <c r="B93" s="1" t="s">
        <v>377</v>
      </c>
      <c r="C93" s="1"/>
      <c r="D93" s="1"/>
      <c r="E93" s="1"/>
      <c r="F93" s="1"/>
      <c r="G93" s="1"/>
      <c r="H93" s="1"/>
      <c r="J93" s="177" t="str">
        <f>ConcatenateWithSpaces($B$93:$H$93)</f>
        <v>Compartment: Degradation/Reaction Sink</v>
      </c>
    </row>
    <row r="94" spans="2:10" x14ac:dyDescent="0.2">
      <c r="B94" s="1" t="s">
        <v>925</v>
      </c>
      <c r="C94" s="1"/>
      <c r="D94" s="1"/>
      <c r="E94" s="1"/>
      <c r="F94" s="1"/>
      <c r="G94" s="1"/>
      <c r="H94" s="1"/>
      <c r="J94" s="177" t="str">
        <f>ConcatenateWithSpaces($B$94:$H$94)</f>
        <v>Compartment: Soil Advection Sink</v>
      </c>
    </row>
    <row r="95" spans="2:10" x14ac:dyDescent="0.2">
      <c r="B95" s="1"/>
      <c r="C95" s="1"/>
      <c r="D95" s="1"/>
      <c r="E95" s="1"/>
      <c r="F95" s="1"/>
      <c r="G95" s="1"/>
      <c r="H95" s="1"/>
    </row>
    <row r="96" spans="2:10" x14ac:dyDescent="0.2">
      <c r="B96" s="1"/>
      <c r="C96" s="1"/>
      <c r="D96" s="1"/>
      <c r="E96" s="1"/>
      <c r="F96" s="1"/>
      <c r="G96" s="1"/>
      <c r="H96" s="1"/>
    </row>
    <row r="97" spans="2:8" x14ac:dyDescent="0.2">
      <c r="B97" s="1"/>
      <c r="C97" s="1"/>
      <c r="D97" s="1"/>
      <c r="E97" s="1"/>
      <c r="F97" s="1"/>
      <c r="G97" s="1"/>
      <c r="H97" s="1"/>
    </row>
    <row r="98" spans="2:8" x14ac:dyDescent="0.2">
      <c r="B98" s="1"/>
      <c r="C98" s="1"/>
      <c r="D98" s="1"/>
      <c r="E98" s="1"/>
      <c r="F98" s="1"/>
      <c r="G98" s="1"/>
      <c r="H98" s="1"/>
    </row>
    <row r="99" spans="2:8" x14ac:dyDescent="0.2">
      <c r="B99" s="1"/>
      <c r="C99" s="1"/>
      <c r="D99" s="1"/>
      <c r="E99" s="1"/>
      <c r="F99" s="1"/>
      <c r="G99" s="1"/>
      <c r="H99" s="1"/>
    </row>
    <row r="100" spans="2:8" x14ac:dyDescent="0.2">
      <c r="B100" s="1"/>
      <c r="C100" s="1"/>
      <c r="D100" s="1"/>
      <c r="E100" s="1"/>
      <c r="F100" s="1"/>
      <c r="G100" s="1"/>
      <c r="H100" s="1"/>
    </row>
    <row r="101" spans="2:8" x14ac:dyDescent="0.2">
      <c r="B101" s="1"/>
      <c r="C101" s="1"/>
      <c r="D101" s="1"/>
      <c r="E101" s="1"/>
      <c r="F101" s="1"/>
      <c r="G101" s="1"/>
      <c r="H101" s="1"/>
    </row>
    <row r="102" spans="2:8" x14ac:dyDescent="0.2">
      <c r="B102" s="1"/>
      <c r="C102" s="1"/>
      <c r="D102" s="1"/>
      <c r="E102" s="1"/>
      <c r="F102" s="1"/>
      <c r="G102" s="1"/>
      <c r="H102" s="1"/>
    </row>
    <row r="103" spans="2:8" x14ac:dyDescent="0.2">
      <c r="B103" s="1"/>
      <c r="C103" s="1"/>
      <c r="D103" s="1"/>
      <c r="E103" s="1"/>
      <c r="F103" s="1"/>
      <c r="G103" s="1"/>
      <c r="H103" s="1"/>
    </row>
    <row r="104" spans="2:8" x14ac:dyDescent="0.2">
      <c r="B104" s="1"/>
      <c r="C104" s="1"/>
      <c r="D104" s="1"/>
      <c r="E104" s="1"/>
      <c r="F104" s="1"/>
      <c r="G104" s="1"/>
      <c r="H104" s="1"/>
    </row>
    <row r="105" spans="2:8" x14ac:dyDescent="0.2">
      <c r="B105" s="1"/>
      <c r="C105" s="1"/>
      <c r="D105" s="1"/>
      <c r="E105" s="1"/>
      <c r="F105" s="1"/>
      <c r="G105" s="1"/>
      <c r="H105" s="1"/>
    </row>
    <row r="106" spans="2:8" x14ac:dyDescent="0.2">
      <c r="B106" s="1"/>
      <c r="C106" s="1"/>
      <c r="D106" s="1"/>
      <c r="E106" s="1"/>
      <c r="F106" s="1"/>
      <c r="G106" s="1"/>
      <c r="H106" s="1"/>
    </row>
    <row r="107" spans="2:8" x14ac:dyDescent="0.2">
      <c r="B107" s="1"/>
      <c r="C107" s="1"/>
      <c r="D107" s="1"/>
      <c r="E107" s="1"/>
      <c r="F107" s="1"/>
      <c r="G107" s="1"/>
      <c r="H107" s="1"/>
    </row>
    <row r="108" spans="2:8" x14ac:dyDescent="0.2">
      <c r="B108" s="1"/>
      <c r="C108" s="1"/>
      <c r="D108" s="1"/>
      <c r="E108" s="1"/>
      <c r="F108" s="1"/>
      <c r="G108" s="1"/>
      <c r="H108" s="1"/>
    </row>
    <row r="109" spans="2:8" x14ac:dyDescent="0.2">
      <c r="B109" s="1"/>
      <c r="C109" s="1"/>
      <c r="D109" s="1"/>
      <c r="E109" s="1"/>
      <c r="F109" s="1"/>
      <c r="G109" s="1"/>
      <c r="H109" s="1"/>
    </row>
    <row r="110" spans="2:8" x14ac:dyDescent="0.2">
      <c r="B110" s="1"/>
      <c r="C110" s="1"/>
      <c r="D110" s="1"/>
      <c r="E110" s="1"/>
      <c r="F110" s="1"/>
      <c r="G110" s="1"/>
      <c r="H110" s="1"/>
    </row>
    <row r="111" spans="2:8" x14ac:dyDescent="0.2">
      <c r="B111" s="1"/>
      <c r="C111" s="1"/>
      <c r="D111" s="1"/>
      <c r="E111" s="1"/>
      <c r="F111" s="1"/>
      <c r="G111" s="1"/>
      <c r="H111" s="1"/>
    </row>
    <row r="112" spans="2:8" x14ac:dyDescent="0.2">
      <c r="B112" s="1"/>
      <c r="C112" s="1"/>
      <c r="D112" s="1"/>
      <c r="E112" s="1"/>
      <c r="F112" s="1"/>
      <c r="G112" s="1"/>
      <c r="H112" s="1"/>
    </row>
    <row r="113" spans="1:13" x14ac:dyDescent="0.2">
      <c r="B113" s="1"/>
      <c r="C113" s="1"/>
      <c r="D113" s="1"/>
      <c r="E113" s="1"/>
      <c r="F113" s="1"/>
      <c r="G113" s="1"/>
      <c r="H113" s="1"/>
    </row>
    <row r="114" spans="1:13" x14ac:dyDescent="0.2">
      <c r="B114" s="1"/>
      <c r="C114" s="1"/>
      <c r="D114" s="1"/>
      <c r="E114" s="1"/>
      <c r="F114" s="1"/>
      <c r="G114" s="1"/>
      <c r="H114" s="1"/>
    </row>
    <row r="115" spans="1:13" x14ac:dyDescent="0.2">
      <c r="B115" s="1"/>
      <c r="C115" s="1"/>
      <c r="D115" s="1"/>
      <c r="E115" s="1"/>
      <c r="F115" s="1"/>
      <c r="G115" s="1"/>
      <c r="H115" s="1"/>
    </row>
    <row r="116" spans="1:13" x14ac:dyDescent="0.2">
      <c r="B116" s="1"/>
      <c r="C116" s="1"/>
      <c r="D116" s="1"/>
      <c r="E116" s="1"/>
      <c r="F116" s="1"/>
      <c r="G116" s="1"/>
      <c r="H116" s="1"/>
    </row>
    <row r="117" spans="1:13" x14ac:dyDescent="0.2">
      <c r="B117" s="1"/>
      <c r="C117" s="1"/>
      <c r="D117" s="1"/>
      <c r="E117" s="1"/>
      <c r="F117" s="1"/>
      <c r="G117" s="1"/>
      <c r="H117" s="1"/>
    </row>
    <row r="118" spans="1:13" x14ac:dyDescent="0.2">
      <c r="B118" s="1"/>
      <c r="C118" s="1"/>
      <c r="D118" s="1"/>
      <c r="E118" s="1"/>
      <c r="F118" s="1"/>
      <c r="G118" s="1"/>
      <c r="H118" s="1"/>
    </row>
    <row r="119" spans="1:13" s="16" customFormat="1" x14ac:dyDescent="0.2">
      <c r="A119" s="172"/>
      <c r="B119" s="1"/>
      <c r="C119" s="1"/>
      <c r="D119" s="1"/>
      <c r="E119" s="1"/>
      <c r="F119" s="1"/>
      <c r="G119" s="1"/>
      <c r="H119" s="1"/>
      <c r="I119" s="174"/>
      <c r="J119" s="177"/>
      <c r="K119" s="176"/>
    </row>
    <row r="120" spans="1:13" s="16" customFormat="1" x14ac:dyDescent="0.2">
      <c r="A120" s="172"/>
      <c r="B120" s="1"/>
      <c r="C120" s="1"/>
      <c r="D120" s="1"/>
      <c r="E120" s="1"/>
      <c r="F120" s="1"/>
      <c r="G120" s="1"/>
      <c r="H120" s="1"/>
      <c r="I120" s="174"/>
      <c r="J120" s="177"/>
      <c r="K120" s="176"/>
    </row>
    <row r="121" spans="1:13" s="16" customFormat="1" x14ac:dyDescent="0.2">
      <c r="A121" s="172"/>
      <c r="B121" s="1"/>
      <c r="C121" s="1"/>
      <c r="D121" s="1"/>
      <c r="E121" s="1"/>
      <c r="F121" s="1"/>
      <c r="G121" s="1"/>
      <c r="H121" s="1"/>
      <c r="I121" s="174"/>
      <c r="J121" s="177"/>
      <c r="K121" s="176"/>
    </row>
    <row r="122" spans="1:13" s="16" customFormat="1" x14ac:dyDescent="0.2">
      <c r="A122" s="172"/>
      <c r="B122" s="1"/>
      <c r="C122" s="1"/>
      <c r="D122" s="1"/>
      <c r="E122" s="1"/>
      <c r="F122" s="1"/>
      <c r="G122" s="1"/>
      <c r="H122" s="1"/>
      <c r="I122" s="174"/>
      <c r="J122" s="177"/>
      <c r="K122" s="176"/>
    </row>
    <row r="123" spans="1:13" s="16" customFormat="1" x14ac:dyDescent="0.2">
      <c r="A123" s="172"/>
      <c r="B123" s="1"/>
      <c r="C123" s="1"/>
      <c r="D123" s="1"/>
      <c r="E123" s="1"/>
      <c r="F123" s="1"/>
      <c r="G123" s="1"/>
      <c r="H123" s="1"/>
      <c r="I123" s="174"/>
      <c r="J123" s="177"/>
      <c r="K123" s="176"/>
    </row>
    <row r="124" spans="1:13" s="16" customFormat="1" x14ac:dyDescent="0.2">
      <c r="A124" s="172"/>
      <c r="B124" s="1"/>
      <c r="C124" s="1"/>
      <c r="D124" s="1"/>
      <c r="E124" s="1"/>
      <c r="F124" s="1"/>
      <c r="G124" s="1"/>
      <c r="H124" s="1"/>
      <c r="I124" s="174"/>
      <c r="J124" s="177"/>
      <c r="K124" s="176"/>
    </row>
    <row r="125" spans="1:13" s="16" customFormat="1" x14ac:dyDescent="0.2">
      <c r="A125" s="172"/>
      <c r="B125" s="1"/>
      <c r="C125" s="1"/>
      <c r="D125" s="1"/>
      <c r="E125" s="1"/>
      <c r="F125" s="1"/>
      <c r="G125" s="1"/>
      <c r="H125" s="1"/>
      <c r="I125" s="174"/>
      <c r="J125" s="177"/>
      <c r="K125" s="176"/>
    </row>
    <row r="126" spans="1:13" s="16" customFormat="1" x14ac:dyDescent="0.2">
      <c r="A126" s="172"/>
      <c r="B126" s="1"/>
      <c r="C126" s="1"/>
      <c r="D126" s="1"/>
      <c r="E126" s="1"/>
      <c r="F126" s="1"/>
      <c r="G126" s="1"/>
      <c r="H126" s="1"/>
      <c r="I126" s="174"/>
      <c r="J126" s="177"/>
      <c r="K126" s="176"/>
    </row>
    <row r="127" spans="1:13" s="16" customFormat="1" x14ac:dyDescent="0.2">
      <c r="A127" s="172"/>
      <c r="B127" s="1"/>
      <c r="C127" s="1"/>
      <c r="D127" s="1"/>
      <c r="E127" s="1"/>
      <c r="F127" s="1"/>
      <c r="G127" s="1"/>
      <c r="H127" s="1"/>
      <c r="I127" s="174"/>
      <c r="J127" s="177"/>
      <c r="K127" s="176"/>
      <c r="M127" s="186"/>
    </row>
    <row r="128" spans="1:13" s="16" customFormat="1" x14ac:dyDescent="0.2">
      <c r="A128" s="172"/>
      <c r="B128" s="1"/>
      <c r="C128" s="1"/>
      <c r="D128" s="1"/>
      <c r="E128" s="1"/>
      <c r="F128" s="1"/>
      <c r="G128" s="1"/>
      <c r="H128" s="1"/>
      <c r="I128" s="174"/>
      <c r="J128" s="177"/>
      <c r="K128" s="176"/>
    </row>
    <row r="129" spans="1:11" s="16" customFormat="1" x14ac:dyDescent="0.2">
      <c r="A129" s="172"/>
      <c r="B129" s="1"/>
      <c r="C129" s="1"/>
      <c r="D129" s="1"/>
      <c r="E129" s="1"/>
      <c r="F129" s="1"/>
      <c r="G129" s="1"/>
      <c r="H129" s="1"/>
      <c r="I129" s="174"/>
      <c r="J129" s="177"/>
      <c r="K129" s="176"/>
    </row>
    <row r="130" spans="1:11" s="16" customFormat="1" x14ac:dyDescent="0.2">
      <c r="A130" s="172"/>
      <c r="B130" s="1"/>
      <c r="C130" s="1"/>
      <c r="D130" s="1"/>
      <c r="E130" s="1"/>
      <c r="F130" s="1"/>
      <c r="G130" s="1"/>
      <c r="H130" s="1"/>
      <c r="I130" s="174"/>
      <c r="J130" s="177"/>
      <c r="K130" s="176"/>
    </row>
    <row r="131" spans="1:11" s="16" customFormat="1" x14ac:dyDescent="0.2">
      <c r="A131" s="172"/>
      <c r="B131" s="1"/>
      <c r="C131" s="1"/>
      <c r="D131" s="1"/>
      <c r="E131" s="1"/>
      <c r="F131" s="1"/>
      <c r="G131" s="1"/>
      <c r="H131" s="1"/>
      <c r="I131" s="174"/>
      <c r="J131" s="177"/>
      <c r="K131" s="176"/>
    </row>
    <row r="132" spans="1:11" x14ac:dyDescent="0.2">
      <c r="B132" s="1"/>
      <c r="C132" s="1"/>
      <c r="D132" s="1"/>
      <c r="E132" s="1"/>
      <c r="F132" s="1"/>
      <c r="G132" s="1"/>
      <c r="H132" s="1"/>
    </row>
    <row r="133" spans="1:11" x14ac:dyDescent="0.2">
      <c r="B133" s="1"/>
      <c r="C133" s="1"/>
      <c r="D133" s="1"/>
      <c r="E133" s="1"/>
      <c r="F133" s="1"/>
      <c r="G133" s="1"/>
      <c r="H133" s="1"/>
    </row>
    <row r="134" spans="1:11" x14ac:dyDescent="0.2">
      <c r="B134" s="1"/>
      <c r="C134" s="1"/>
      <c r="D134" s="1"/>
      <c r="E134" s="1"/>
      <c r="F134" s="1"/>
      <c r="G134" s="1"/>
      <c r="H134" s="1"/>
    </row>
    <row r="135" spans="1:11" x14ac:dyDescent="0.2">
      <c r="B135" s="1"/>
      <c r="C135" s="1"/>
      <c r="D135" s="1"/>
      <c r="E135" s="1"/>
      <c r="F135" s="1"/>
      <c r="G135" s="1"/>
      <c r="H135" s="1"/>
    </row>
    <row r="136" spans="1:11" x14ac:dyDescent="0.2">
      <c r="B136" s="1"/>
      <c r="C136" s="1"/>
      <c r="D136" s="1"/>
      <c r="E136" s="1"/>
      <c r="F136" s="1"/>
      <c r="G136" s="1"/>
      <c r="H136" s="1"/>
    </row>
    <row r="137" spans="1:11" x14ac:dyDescent="0.2">
      <c r="B137" s="1"/>
      <c r="C137" s="1"/>
      <c r="D137" s="1"/>
      <c r="E137" s="1"/>
      <c r="F137" s="1"/>
      <c r="G137" s="1"/>
      <c r="H137" s="1"/>
    </row>
    <row r="138" spans="1:11" x14ac:dyDescent="0.2">
      <c r="B138" s="1"/>
      <c r="C138" s="1"/>
      <c r="D138" s="1"/>
      <c r="E138" s="1"/>
      <c r="F138" s="1"/>
      <c r="G138" s="1"/>
      <c r="H138" s="1"/>
    </row>
    <row r="139" spans="1:11" x14ac:dyDescent="0.2">
      <c r="B139" s="1"/>
      <c r="C139" s="1"/>
      <c r="D139" s="1"/>
      <c r="E139" s="1"/>
      <c r="F139" s="1"/>
      <c r="G139" s="1"/>
      <c r="H139" s="1"/>
    </row>
    <row r="140" spans="1:11" x14ac:dyDescent="0.2">
      <c r="B140" s="1"/>
      <c r="C140" s="1"/>
      <c r="D140" s="1"/>
      <c r="E140" s="1"/>
      <c r="F140" s="1"/>
      <c r="G140" s="1"/>
      <c r="H140" s="1"/>
    </row>
    <row r="141" spans="1:11" x14ac:dyDescent="0.2">
      <c r="B141" s="1"/>
      <c r="C141" s="1"/>
      <c r="D141" s="1"/>
      <c r="E141" s="1"/>
      <c r="F141" s="1"/>
      <c r="G141" s="1"/>
      <c r="H141" s="1"/>
    </row>
    <row r="142" spans="1:11" x14ac:dyDescent="0.2">
      <c r="B142" s="1"/>
      <c r="C142" s="1"/>
      <c r="D142" s="1"/>
      <c r="E142" s="1"/>
      <c r="F142" s="1"/>
      <c r="G142" s="1"/>
      <c r="H142" s="1"/>
    </row>
    <row r="143" spans="1:11" x14ac:dyDescent="0.2">
      <c r="B143" s="1"/>
      <c r="C143" s="1"/>
      <c r="D143" s="1"/>
      <c r="E143" s="1"/>
      <c r="F143" s="1"/>
      <c r="G143" s="1"/>
      <c r="H143" s="1"/>
    </row>
    <row r="144" spans="1:11" x14ac:dyDescent="0.2">
      <c r="B144" s="1"/>
      <c r="C144" s="1"/>
      <c r="D144" s="1"/>
      <c r="E144" s="1"/>
      <c r="F144" s="1"/>
      <c r="G144" s="1"/>
      <c r="H144" s="1"/>
    </row>
    <row r="145" spans="2:8" x14ac:dyDescent="0.2">
      <c r="B145" s="1"/>
      <c r="C145" s="1"/>
      <c r="D145" s="1"/>
      <c r="E145" s="1"/>
      <c r="F145" s="1"/>
      <c r="G145" s="1"/>
      <c r="H145" s="1"/>
    </row>
    <row r="146" spans="2:8" x14ac:dyDescent="0.2">
      <c r="B146" s="1"/>
      <c r="C146" s="1"/>
      <c r="D146" s="1"/>
      <c r="E146" s="1"/>
      <c r="F146" s="1"/>
      <c r="G146" s="1"/>
      <c r="H146" s="1"/>
    </row>
    <row r="147" spans="2:8" x14ac:dyDescent="0.2">
      <c r="B147" s="1"/>
      <c r="C147" s="1"/>
      <c r="D147" s="1"/>
      <c r="E147" s="1"/>
      <c r="F147" s="1"/>
      <c r="G147" s="1"/>
      <c r="H147" s="1"/>
    </row>
    <row r="148" spans="2:8" x14ac:dyDescent="0.2">
      <c r="B148" s="1"/>
      <c r="C148" s="1"/>
      <c r="D148" s="1"/>
      <c r="E148" s="1"/>
      <c r="F148" s="1"/>
      <c r="G148" s="1"/>
      <c r="H148" s="1"/>
    </row>
    <row r="149" spans="2:8" x14ac:dyDescent="0.2">
      <c r="B149" s="1"/>
      <c r="C149" s="1"/>
      <c r="D149" s="1"/>
      <c r="E149" s="1"/>
      <c r="F149" s="1"/>
      <c r="G149" s="1"/>
      <c r="H149" s="1"/>
    </row>
    <row r="150" spans="2:8" x14ac:dyDescent="0.2">
      <c r="B150" s="1"/>
      <c r="C150" s="1"/>
      <c r="D150" s="1"/>
      <c r="E150" s="1"/>
      <c r="F150" s="1"/>
      <c r="G150" s="1"/>
      <c r="H150" s="1"/>
    </row>
    <row r="151" spans="2:8" x14ac:dyDescent="0.2">
      <c r="B151" s="1"/>
      <c r="C151" s="1"/>
      <c r="D151" s="1"/>
      <c r="E151" s="1"/>
      <c r="F151" s="1"/>
      <c r="G151" s="1"/>
      <c r="H151" s="1"/>
    </row>
    <row r="152" spans="2:8" x14ac:dyDescent="0.2">
      <c r="B152" s="1"/>
      <c r="C152" s="1"/>
      <c r="D152" s="1"/>
      <c r="E152" s="1"/>
      <c r="F152" s="1"/>
      <c r="G152" s="1"/>
      <c r="H152" s="1"/>
    </row>
    <row r="153" spans="2:8" x14ac:dyDescent="0.2">
      <c r="B153" s="1"/>
      <c r="C153" s="1"/>
      <c r="D153" s="1"/>
      <c r="E153" s="1"/>
      <c r="F153" s="1"/>
      <c r="G153" s="1"/>
      <c r="H153" s="1"/>
    </row>
    <row r="154" spans="2:8" x14ac:dyDescent="0.2">
      <c r="B154" s="1"/>
      <c r="C154" s="1"/>
      <c r="D154" s="1"/>
      <c r="E154" s="1"/>
      <c r="F154" s="1"/>
      <c r="G154" s="1"/>
      <c r="H154" s="1"/>
    </row>
    <row r="155" spans="2:8" x14ac:dyDescent="0.2">
      <c r="B155" s="1"/>
      <c r="C155" s="1"/>
      <c r="D155" s="1"/>
      <c r="E155" s="1"/>
      <c r="F155" s="1"/>
      <c r="G155" s="1"/>
      <c r="H155" s="1"/>
    </row>
    <row r="156" spans="2:8" x14ac:dyDescent="0.2">
      <c r="B156" s="1"/>
      <c r="C156" s="1"/>
      <c r="D156" s="1"/>
      <c r="E156" s="1"/>
      <c r="F156" s="1"/>
      <c r="G156" s="1"/>
      <c r="H156" s="1"/>
    </row>
    <row r="157" spans="2:8" x14ac:dyDescent="0.2">
      <c r="B157" s="1"/>
      <c r="C157" s="1"/>
      <c r="D157" s="1"/>
      <c r="E157" s="1"/>
      <c r="F157" s="1"/>
      <c r="G157" s="1"/>
      <c r="H157" s="1"/>
    </row>
    <row r="158" spans="2:8" x14ac:dyDescent="0.2">
      <c r="B158" s="1"/>
      <c r="C158" s="1"/>
      <c r="D158" s="1"/>
      <c r="E158" s="1"/>
      <c r="F158" s="1"/>
      <c r="G158" s="1"/>
      <c r="H158" s="1"/>
    </row>
    <row r="159" spans="2:8" x14ac:dyDescent="0.2">
      <c r="B159" s="1"/>
      <c r="C159" s="1"/>
      <c r="D159" s="1"/>
      <c r="E159" s="1"/>
      <c r="F159" s="1"/>
      <c r="G159" s="1"/>
      <c r="H159" s="1"/>
    </row>
    <row r="160" spans="2:8" x14ac:dyDescent="0.2">
      <c r="B160" s="1"/>
      <c r="C160" s="1"/>
      <c r="D160" s="1"/>
      <c r="E160" s="1"/>
      <c r="F160" s="1"/>
      <c r="G160" s="1"/>
      <c r="H160" s="1"/>
    </row>
    <row r="161" spans="2:8" x14ac:dyDescent="0.2">
      <c r="B161" s="1"/>
      <c r="C161" s="1"/>
      <c r="D161" s="1"/>
      <c r="E161" s="1"/>
      <c r="F161" s="1"/>
      <c r="G161" s="1"/>
      <c r="H161" s="1"/>
    </row>
    <row r="162" spans="2:8" x14ac:dyDescent="0.2">
      <c r="B162" s="1"/>
      <c r="C162" s="1"/>
      <c r="D162" s="1"/>
      <c r="E162" s="1"/>
      <c r="F162" s="1"/>
      <c r="G162" s="1"/>
      <c r="H162" s="1"/>
    </row>
    <row r="163" spans="2:8" x14ac:dyDescent="0.2">
      <c r="B163" s="1"/>
      <c r="C163" s="1"/>
      <c r="D163" s="1"/>
      <c r="E163" s="1"/>
      <c r="F163" s="1"/>
      <c r="G163" s="1"/>
      <c r="H163" s="1"/>
    </row>
    <row r="164" spans="2:8" x14ac:dyDescent="0.2">
      <c r="B164" s="1"/>
      <c r="C164" s="1"/>
      <c r="D164" s="1"/>
      <c r="E164" s="1"/>
      <c r="F164" s="1"/>
      <c r="G164" s="1"/>
      <c r="H164" s="1"/>
    </row>
    <row r="165" spans="2:8" x14ac:dyDescent="0.2">
      <c r="B165" s="1"/>
      <c r="C165" s="1"/>
      <c r="D165" s="1"/>
      <c r="E165" s="1"/>
      <c r="F165" s="1"/>
      <c r="G165" s="1"/>
      <c r="H165" s="1"/>
    </row>
    <row r="166" spans="2:8" x14ac:dyDescent="0.2">
      <c r="B166" s="1"/>
      <c r="C166" s="1"/>
      <c r="D166" s="1"/>
      <c r="E166" s="1"/>
      <c r="F166" s="1"/>
      <c r="G166" s="1"/>
      <c r="H166" s="1"/>
    </row>
    <row r="167" spans="2:8" x14ac:dyDescent="0.2">
      <c r="B167" s="1"/>
      <c r="C167" s="1"/>
      <c r="D167" s="1"/>
      <c r="E167" s="1"/>
      <c r="F167" s="1"/>
      <c r="G167" s="1"/>
      <c r="H167" s="1"/>
    </row>
    <row r="168" spans="2:8" x14ac:dyDescent="0.2">
      <c r="B168" s="1"/>
      <c r="C168" s="1"/>
      <c r="D168" s="1"/>
      <c r="E168" s="1"/>
      <c r="F168" s="1"/>
      <c r="G168" s="1"/>
      <c r="H168" s="1"/>
    </row>
    <row r="169" spans="2:8" x14ac:dyDescent="0.2">
      <c r="B169" s="1"/>
      <c r="C169" s="1"/>
      <c r="D169" s="1"/>
      <c r="E169" s="1"/>
      <c r="F169" s="1"/>
      <c r="G169" s="1"/>
      <c r="H169" s="1"/>
    </row>
    <row r="170" spans="2:8" x14ac:dyDescent="0.2">
      <c r="B170" s="1"/>
      <c r="C170" s="1"/>
      <c r="D170" s="1"/>
      <c r="E170" s="1"/>
      <c r="F170" s="1"/>
      <c r="G170" s="1"/>
      <c r="H170" s="1"/>
    </row>
    <row r="171" spans="2:8" x14ac:dyDescent="0.2">
      <c r="B171" s="1"/>
      <c r="C171" s="1"/>
      <c r="D171" s="1"/>
      <c r="E171" s="1"/>
      <c r="F171" s="1"/>
      <c r="G171" s="1"/>
      <c r="H171" s="1"/>
    </row>
    <row r="172" spans="2:8" x14ac:dyDescent="0.2">
      <c r="B172" s="1"/>
      <c r="C172" s="1"/>
      <c r="D172" s="1"/>
      <c r="E172" s="1"/>
      <c r="F172" s="1"/>
      <c r="G172" s="1"/>
      <c r="H172" s="1"/>
    </row>
    <row r="173" spans="2:8" x14ac:dyDescent="0.2">
      <c r="B173" s="1"/>
      <c r="C173" s="1"/>
      <c r="D173" s="1"/>
      <c r="E173" s="1"/>
      <c r="F173" s="1"/>
      <c r="G173" s="1"/>
      <c r="H173" s="1"/>
    </row>
    <row r="174" spans="2:8" x14ac:dyDescent="0.2">
      <c r="B174" s="1"/>
      <c r="C174" s="1"/>
      <c r="D174" s="1"/>
      <c r="E174" s="1"/>
      <c r="F174" s="1"/>
      <c r="G174" s="1"/>
      <c r="H174" s="1"/>
    </row>
    <row r="175" spans="2:8" x14ac:dyDescent="0.2">
      <c r="B175" s="1"/>
      <c r="C175" s="1"/>
      <c r="D175" s="1"/>
      <c r="E175" s="1"/>
      <c r="F175" s="1"/>
      <c r="G175" s="1"/>
      <c r="H175" s="1"/>
    </row>
    <row r="176" spans="2:8" x14ac:dyDescent="0.2">
      <c r="B176" s="1"/>
      <c r="C176" s="1"/>
      <c r="D176" s="1"/>
      <c r="E176" s="1"/>
      <c r="F176" s="1"/>
      <c r="G176" s="1"/>
      <c r="H176" s="1"/>
    </row>
    <row r="177" spans="2:8" x14ac:dyDescent="0.2">
      <c r="B177" s="1"/>
      <c r="C177" s="1"/>
      <c r="D177" s="1"/>
      <c r="E177" s="1"/>
      <c r="F177" s="1"/>
      <c r="G177" s="1"/>
      <c r="H177" s="1"/>
    </row>
    <row r="178" spans="2:8" x14ac:dyDescent="0.2">
      <c r="B178" s="1"/>
      <c r="C178" s="1"/>
      <c r="D178" s="1"/>
      <c r="E178" s="1"/>
      <c r="F178" s="1"/>
      <c r="G178" s="1"/>
      <c r="H178" s="1"/>
    </row>
    <row r="179" spans="2:8" x14ac:dyDescent="0.2">
      <c r="B179" s="1"/>
      <c r="C179" s="1"/>
      <c r="D179" s="1"/>
      <c r="E179" s="1"/>
      <c r="F179" s="1"/>
      <c r="G179" s="1"/>
      <c r="H179" s="1"/>
    </row>
    <row r="180" spans="2:8" x14ac:dyDescent="0.2">
      <c r="B180" s="1"/>
      <c r="C180" s="1"/>
      <c r="D180" s="1"/>
      <c r="E180" s="1"/>
      <c r="F180" s="1"/>
      <c r="G180" s="1"/>
      <c r="H180" s="1"/>
    </row>
    <row r="181" spans="2:8" x14ac:dyDescent="0.2">
      <c r="B181" s="1"/>
      <c r="C181" s="1"/>
      <c r="D181" s="1"/>
      <c r="E181" s="1"/>
      <c r="F181" s="1"/>
      <c r="G181" s="1"/>
      <c r="H181" s="1"/>
    </row>
    <row r="182" spans="2:8" x14ac:dyDescent="0.2">
      <c r="B182" s="1"/>
      <c r="C182" s="1"/>
      <c r="D182" s="1"/>
      <c r="E182" s="1"/>
      <c r="F182" s="1"/>
      <c r="G182" s="1"/>
      <c r="H182" s="1"/>
    </row>
    <row r="183" spans="2:8" x14ac:dyDescent="0.2">
      <c r="B183" s="1"/>
      <c r="C183" s="1"/>
      <c r="D183" s="1"/>
      <c r="E183" s="1"/>
      <c r="F183" s="1"/>
      <c r="G183" s="1"/>
      <c r="H183" s="1"/>
    </row>
    <row r="184" spans="2:8" x14ac:dyDescent="0.2">
      <c r="B184" s="1"/>
      <c r="C184" s="1"/>
      <c r="D184" s="1"/>
      <c r="E184" s="1"/>
      <c r="F184" s="1"/>
      <c r="G184" s="1"/>
      <c r="H184" s="1"/>
    </row>
    <row r="185" spans="2:8" x14ac:dyDescent="0.2">
      <c r="B185" s="1"/>
      <c r="C185" s="1"/>
      <c r="D185" s="1"/>
      <c r="E185" s="1"/>
      <c r="F185" s="1"/>
      <c r="G185" s="1"/>
      <c r="H185" s="1"/>
    </row>
    <row r="186" spans="2:8" x14ac:dyDescent="0.2">
      <c r="B186" s="1"/>
      <c r="C186" s="1"/>
      <c r="D186" s="1"/>
      <c r="E186" s="1"/>
      <c r="F186" s="1"/>
      <c r="G186" s="1"/>
      <c r="H186" s="1"/>
    </row>
    <row r="187" spans="2:8" x14ac:dyDescent="0.2">
      <c r="B187" s="1"/>
      <c r="C187" s="1"/>
      <c r="D187" s="1"/>
      <c r="E187" s="1"/>
      <c r="F187" s="1"/>
      <c r="G187" s="1"/>
      <c r="H187" s="1"/>
    </row>
    <row r="188" spans="2:8" x14ac:dyDescent="0.2">
      <c r="B188" s="1"/>
      <c r="C188" s="1"/>
      <c r="D188" s="1"/>
      <c r="E188" s="1"/>
      <c r="F188" s="1"/>
      <c r="G188" s="1"/>
      <c r="H188" s="1"/>
    </row>
    <row r="189" spans="2:8" x14ac:dyDescent="0.2">
      <c r="B189" s="1"/>
      <c r="C189" s="1"/>
      <c r="D189" s="1"/>
      <c r="E189" s="1"/>
      <c r="F189" s="1"/>
      <c r="G189" s="1"/>
      <c r="H189" s="1"/>
    </row>
    <row r="190" spans="2:8" x14ac:dyDescent="0.2">
      <c r="B190" s="1"/>
      <c r="C190" s="1"/>
      <c r="D190" s="1"/>
      <c r="E190" s="1"/>
      <c r="F190" s="1"/>
      <c r="G190" s="1"/>
      <c r="H190" s="1"/>
    </row>
    <row r="191" spans="2:8" x14ac:dyDescent="0.2">
      <c r="B191" s="1"/>
      <c r="C191" s="1"/>
      <c r="D191" s="1"/>
      <c r="E191" s="1"/>
      <c r="F191" s="1"/>
      <c r="G191" s="1"/>
      <c r="H191" s="1"/>
    </row>
    <row r="192" spans="2:8" x14ac:dyDescent="0.2">
      <c r="B192" s="1"/>
      <c r="C192" s="1"/>
      <c r="D192" s="1"/>
      <c r="E192" s="1"/>
      <c r="F192" s="1"/>
      <c r="G192" s="1"/>
      <c r="H192" s="1"/>
    </row>
    <row r="193" spans="2:8" x14ac:dyDescent="0.2">
      <c r="B193" s="1"/>
      <c r="C193" s="1"/>
      <c r="D193" s="1"/>
      <c r="E193" s="1"/>
      <c r="F193" s="1"/>
      <c r="G193" s="1"/>
      <c r="H193" s="1"/>
    </row>
    <row r="194" spans="2:8" x14ac:dyDescent="0.2">
      <c r="B194" s="1"/>
      <c r="C194" s="1"/>
      <c r="D194" s="1"/>
      <c r="E194" s="1"/>
      <c r="F194" s="1"/>
      <c r="G194" s="1"/>
      <c r="H194" s="1"/>
    </row>
    <row r="195" spans="2:8" x14ac:dyDescent="0.2">
      <c r="B195" s="1"/>
      <c r="C195" s="1"/>
      <c r="D195" s="1"/>
      <c r="E195" s="1"/>
      <c r="F195" s="1"/>
      <c r="G195" s="1"/>
      <c r="H195" s="1"/>
    </row>
    <row r="196" spans="2:8" x14ac:dyDescent="0.2">
      <c r="B196" s="1"/>
      <c r="C196" s="1"/>
      <c r="D196" s="1"/>
      <c r="E196" s="1"/>
      <c r="F196" s="1"/>
      <c r="G196" s="1"/>
      <c r="H196" s="1"/>
    </row>
    <row r="197" spans="2:8" x14ac:dyDescent="0.2">
      <c r="B197" s="1"/>
      <c r="C197" s="1"/>
      <c r="D197" s="1"/>
      <c r="E197" s="1"/>
      <c r="F197" s="1"/>
      <c r="G197" s="1"/>
      <c r="H197" s="1"/>
    </row>
    <row r="198" spans="2:8" x14ac:dyDescent="0.2">
      <c r="B198" s="1"/>
      <c r="C198" s="1"/>
      <c r="D198" s="1"/>
      <c r="E198" s="1"/>
      <c r="F198" s="1"/>
      <c r="G198" s="1"/>
      <c r="H198" s="1"/>
    </row>
    <row r="199" spans="2:8" x14ac:dyDescent="0.2">
      <c r="B199" s="1"/>
      <c r="C199" s="1"/>
      <c r="D199" s="1"/>
      <c r="E199" s="1"/>
      <c r="F199" s="1"/>
      <c r="G199" s="1"/>
      <c r="H199" s="1"/>
    </row>
    <row r="200" spans="2:8" x14ac:dyDescent="0.2">
      <c r="B200" s="1"/>
      <c r="C200" s="1"/>
      <c r="D200" s="1"/>
      <c r="E200" s="1"/>
      <c r="F200" s="1"/>
      <c r="G200" s="1"/>
      <c r="H200" s="1"/>
    </row>
    <row r="201" spans="2:8" x14ac:dyDescent="0.2">
      <c r="B201" s="1"/>
      <c r="C201" s="1"/>
      <c r="D201" s="1"/>
      <c r="E201" s="1"/>
      <c r="F201" s="1"/>
      <c r="G201" s="1"/>
      <c r="H201" s="1"/>
    </row>
    <row r="202" spans="2:8" x14ac:dyDescent="0.2">
      <c r="B202" s="1"/>
      <c r="C202" s="1"/>
      <c r="D202" s="1"/>
      <c r="E202" s="1"/>
      <c r="F202" s="1"/>
      <c r="G202" s="1"/>
      <c r="H202" s="1"/>
    </row>
    <row r="203" spans="2:8" x14ac:dyDescent="0.2">
      <c r="B203" s="1"/>
      <c r="C203" s="1"/>
      <c r="D203" s="1"/>
      <c r="E203" s="1"/>
      <c r="F203" s="1"/>
      <c r="G203" s="1"/>
      <c r="H203" s="1"/>
    </row>
    <row r="204" spans="2:8" x14ac:dyDescent="0.2">
      <c r="B204" s="1"/>
      <c r="C204" s="1"/>
      <c r="D204" s="1"/>
      <c r="E204" s="1"/>
      <c r="F204" s="1"/>
      <c r="G204" s="1"/>
      <c r="H204" s="1"/>
    </row>
    <row r="205" spans="2:8" x14ac:dyDescent="0.2">
      <c r="B205" s="1"/>
      <c r="C205" s="1"/>
      <c r="D205" s="1"/>
      <c r="E205" s="1"/>
      <c r="F205" s="1"/>
      <c r="G205" s="1"/>
      <c r="H205" s="1"/>
    </row>
    <row r="206" spans="2:8" x14ac:dyDescent="0.2">
      <c r="B206" s="1"/>
      <c r="C206" s="1"/>
      <c r="D206" s="1"/>
      <c r="E206" s="1"/>
      <c r="F206" s="1"/>
      <c r="G206" s="1"/>
      <c r="H206" s="1"/>
    </row>
    <row r="207" spans="2:8" x14ac:dyDescent="0.2">
      <c r="B207" s="1"/>
      <c r="C207" s="1"/>
      <c r="D207" s="1"/>
      <c r="E207" s="1"/>
      <c r="F207" s="1"/>
      <c r="G207" s="1"/>
      <c r="H207" s="1"/>
    </row>
    <row r="208" spans="2:8" x14ac:dyDescent="0.2">
      <c r="B208" s="1"/>
      <c r="C208" s="1"/>
      <c r="D208" s="1"/>
      <c r="E208" s="1"/>
      <c r="F208" s="1"/>
      <c r="G208" s="1"/>
      <c r="H208" s="1"/>
    </row>
    <row r="209" spans="2:8" x14ac:dyDescent="0.2">
      <c r="B209" s="1"/>
      <c r="C209" s="1"/>
      <c r="D209" s="1"/>
      <c r="E209" s="1"/>
      <c r="F209" s="1"/>
      <c r="G209" s="1"/>
      <c r="H209" s="1"/>
    </row>
    <row r="210" spans="2:8" x14ac:dyDescent="0.2">
      <c r="B210" s="1"/>
      <c r="C210" s="1"/>
      <c r="D210" s="1"/>
      <c r="E210" s="1"/>
      <c r="F210" s="1"/>
      <c r="G210" s="1"/>
      <c r="H210" s="1"/>
    </row>
    <row r="211" spans="2:8" x14ac:dyDescent="0.2">
      <c r="B211" s="1"/>
      <c r="C211" s="1"/>
      <c r="D211" s="1"/>
      <c r="E211" s="1"/>
      <c r="F211" s="1"/>
      <c r="G211" s="1"/>
      <c r="H211" s="1"/>
    </row>
    <row r="212" spans="2:8" x14ac:dyDescent="0.2">
      <c r="B212" s="1"/>
      <c r="C212" s="1"/>
      <c r="D212" s="1"/>
      <c r="E212" s="1"/>
      <c r="F212" s="1"/>
      <c r="G212" s="1"/>
      <c r="H212" s="1"/>
    </row>
    <row r="213" spans="2:8" x14ac:dyDescent="0.2">
      <c r="B213" s="1"/>
      <c r="C213" s="1"/>
      <c r="D213" s="1"/>
      <c r="E213" s="1"/>
      <c r="F213" s="1"/>
      <c r="G213" s="1"/>
      <c r="H213" s="1"/>
    </row>
    <row r="214" spans="2:8" x14ac:dyDescent="0.2">
      <c r="B214" s="1"/>
      <c r="C214" s="1"/>
      <c r="D214" s="1"/>
      <c r="E214" s="1"/>
      <c r="F214" s="1"/>
      <c r="G214" s="1"/>
      <c r="H214" s="1"/>
    </row>
    <row r="215" spans="2:8" x14ac:dyDescent="0.2">
      <c r="B215" s="1"/>
      <c r="C215" s="1"/>
      <c r="D215" s="1"/>
      <c r="E215" s="1"/>
      <c r="F215" s="1"/>
      <c r="G215" s="1"/>
      <c r="H215" s="1"/>
    </row>
    <row r="216" spans="2:8" x14ac:dyDescent="0.2">
      <c r="B216" s="1"/>
      <c r="C216" s="1"/>
      <c r="D216" s="1"/>
      <c r="E216" s="1"/>
      <c r="F216" s="1"/>
      <c r="G216" s="1"/>
      <c r="H216" s="1"/>
    </row>
    <row r="217" spans="2:8" x14ac:dyDescent="0.2">
      <c r="B217" s="1"/>
      <c r="C217" s="1"/>
      <c r="D217" s="1"/>
      <c r="E217" s="1"/>
      <c r="F217" s="1"/>
      <c r="G217" s="1"/>
      <c r="H217" s="1"/>
    </row>
    <row r="218" spans="2:8" x14ac:dyDescent="0.2">
      <c r="B218" s="1"/>
      <c r="C218" s="1"/>
      <c r="D218" s="1"/>
      <c r="E218" s="1"/>
      <c r="F218" s="1"/>
      <c r="G218" s="1"/>
      <c r="H218" s="1"/>
    </row>
    <row r="219" spans="2:8" x14ac:dyDescent="0.2">
      <c r="B219" s="1"/>
      <c r="C219" s="1"/>
      <c r="D219" s="1"/>
      <c r="E219" s="1"/>
      <c r="F219" s="1"/>
      <c r="G219" s="1"/>
      <c r="H219" s="1"/>
    </row>
    <row r="220" spans="2:8" x14ac:dyDescent="0.2">
      <c r="B220" s="1"/>
      <c r="C220" s="1"/>
      <c r="D220" s="1"/>
      <c r="E220" s="1"/>
      <c r="F220" s="1"/>
      <c r="G220" s="1"/>
      <c r="H220" s="1"/>
    </row>
    <row r="221" spans="2:8" x14ac:dyDescent="0.2">
      <c r="B221" s="1"/>
      <c r="C221" s="1"/>
      <c r="D221" s="1"/>
      <c r="E221" s="1"/>
      <c r="F221" s="1"/>
      <c r="G221" s="1"/>
      <c r="H221" s="1"/>
    </row>
    <row r="222" spans="2:8" x14ac:dyDescent="0.2">
      <c r="B222" s="1"/>
      <c r="C222" s="1"/>
      <c r="D222" s="1"/>
      <c r="E222" s="1"/>
      <c r="F222" s="1"/>
      <c r="G222" s="1"/>
      <c r="H222" s="1"/>
    </row>
    <row r="223" spans="2:8" x14ac:dyDescent="0.2">
      <c r="B223" s="1"/>
      <c r="C223" s="1"/>
      <c r="D223" s="1"/>
      <c r="E223" s="1"/>
      <c r="F223" s="1"/>
      <c r="G223" s="1"/>
      <c r="H223" s="1"/>
    </row>
    <row r="224" spans="2:8" x14ac:dyDescent="0.2">
      <c r="B224" s="1"/>
      <c r="C224" s="1"/>
      <c r="D224" s="1"/>
      <c r="E224" s="1"/>
      <c r="F224" s="1"/>
      <c r="G224" s="1"/>
      <c r="H224" s="1"/>
    </row>
    <row r="225" spans="2:8" x14ac:dyDescent="0.2">
      <c r="B225" s="1"/>
      <c r="C225" s="1"/>
      <c r="D225" s="1"/>
      <c r="E225" s="1"/>
      <c r="F225" s="1"/>
      <c r="G225" s="1"/>
      <c r="H225" s="1"/>
    </row>
    <row r="226" spans="2:8" x14ac:dyDescent="0.2">
      <c r="B226" s="1"/>
      <c r="C226" s="1"/>
      <c r="D226" s="1"/>
      <c r="E226" s="1"/>
      <c r="F226" s="1"/>
      <c r="G226" s="1"/>
      <c r="H226" s="1"/>
    </row>
    <row r="227" spans="2:8" x14ac:dyDescent="0.2">
      <c r="B227" s="1"/>
      <c r="C227" s="1"/>
      <c r="D227" s="1"/>
      <c r="E227" s="1"/>
      <c r="F227" s="1"/>
      <c r="G227" s="1"/>
      <c r="H227" s="1"/>
    </row>
    <row r="228" spans="2:8" x14ac:dyDescent="0.2">
      <c r="B228" s="1"/>
      <c r="C228" s="1"/>
      <c r="D228" s="1"/>
      <c r="E228" s="1"/>
      <c r="F228" s="1"/>
      <c r="G228" s="1"/>
      <c r="H228" s="1"/>
    </row>
    <row r="229" spans="2:8" x14ac:dyDescent="0.2">
      <c r="B229" s="1"/>
      <c r="C229" s="1"/>
      <c r="D229" s="1"/>
      <c r="E229" s="1"/>
      <c r="F229" s="1"/>
      <c r="G229" s="1"/>
      <c r="H229" s="1"/>
    </row>
    <row r="230" spans="2:8" x14ac:dyDescent="0.2">
      <c r="B230" s="1"/>
      <c r="C230" s="1"/>
      <c r="D230" s="1"/>
      <c r="E230" s="1"/>
      <c r="F230" s="1"/>
      <c r="G230" s="1"/>
      <c r="H230" s="1"/>
    </row>
    <row r="231" spans="2:8" x14ac:dyDescent="0.2">
      <c r="B231" s="1"/>
      <c r="C231" s="1"/>
      <c r="D231" s="1"/>
      <c r="E231" s="1"/>
      <c r="F231" s="1"/>
      <c r="G231" s="1"/>
      <c r="H231" s="1"/>
    </row>
    <row r="232" spans="2:8" x14ac:dyDescent="0.2">
      <c r="B232" s="1"/>
      <c r="C232" s="1"/>
      <c r="D232" s="1"/>
      <c r="E232" s="1"/>
      <c r="F232" s="1"/>
      <c r="G232" s="1"/>
      <c r="H232" s="1"/>
    </row>
    <row r="233" spans="2:8" x14ac:dyDescent="0.2">
      <c r="B233" s="1"/>
      <c r="C233" s="1"/>
      <c r="D233" s="1"/>
      <c r="E233" s="1"/>
      <c r="F233" s="1"/>
      <c r="G233" s="1"/>
      <c r="H233" s="1"/>
    </row>
    <row r="234" spans="2:8" x14ac:dyDescent="0.2">
      <c r="B234" s="1"/>
      <c r="C234" s="1"/>
      <c r="D234" s="1"/>
      <c r="E234" s="1"/>
      <c r="F234" s="1"/>
      <c r="G234" s="1"/>
      <c r="H234" s="1"/>
    </row>
    <row r="235" spans="2:8" x14ac:dyDescent="0.2">
      <c r="B235" s="1"/>
      <c r="C235" s="1"/>
      <c r="D235" s="1"/>
      <c r="E235" s="1"/>
      <c r="F235" s="1"/>
      <c r="G235" s="1"/>
      <c r="H235" s="1"/>
    </row>
    <row r="236" spans="2:8" x14ac:dyDescent="0.2">
      <c r="B236" s="1"/>
      <c r="C236" s="1"/>
      <c r="D236" s="1"/>
      <c r="E236" s="1"/>
      <c r="F236" s="1"/>
      <c r="G236" s="1"/>
      <c r="H236" s="1"/>
    </row>
    <row r="237" spans="2:8" x14ac:dyDescent="0.2">
      <c r="B237" s="1"/>
      <c r="C237" s="1"/>
      <c r="D237" s="1"/>
      <c r="E237" s="1"/>
      <c r="F237" s="1"/>
      <c r="G237" s="1"/>
      <c r="H237" s="1"/>
    </row>
    <row r="238" spans="2:8" x14ac:dyDescent="0.2">
      <c r="B238" s="1"/>
      <c r="C238" s="1"/>
      <c r="D238" s="1"/>
      <c r="E238" s="1"/>
      <c r="F238" s="1"/>
      <c r="G238" s="1"/>
      <c r="H238" s="1"/>
    </row>
    <row r="239" spans="2:8" x14ac:dyDescent="0.2">
      <c r="B239" s="1"/>
      <c r="C239" s="1"/>
      <c r="D239" s="1"/>
      <c r="E239" s="1"/>
      <c r="F239" s="1"/>
      <c r="G239" s="1"/>
      <c r="H239" s="1"/>
    </row>
    <row r="240" spans="2:8" x14ac:dyDescent="0.2">
      <c r="B240" s="1"/>
      <c r="C240" s="1"/>
      <c r="D240" s="1"/>
      <c r="E240" s="1"/>
      <c r="F240" s="1"/>
      <c r="G240" s="1"/>
      <c r="H240" s="1"/>
    </row>
    <row r="241" spans="2:8" x14ac:dyDescent="0.2">
      <c r="B241" s="1"/>
      <c r="C241" s="1"/>
      <c r="D241" s="1"/>
      <c r="E241" s="1"/>
      <c r="F241" s="1"/>
      <c r="G241" s="1"/>
      <c r="H241" s="1"/>
    </row>
    <row r="242" spans="2:8" x14ac:dyDescent="0.2">
      <c r="B242" s="1"/>
      <c r="C242" s="1"/>
      <c r="D242" s="1"/>
      <c r="E242" s="1"/>
      <c r="F242" s="1"/>
      <c r="G242" s="1"/>
      <c r="H242" s="1"/>
    </row>
    <row r="243" spans="2:8" x14ac:dyDescent="0.2">
      <c r="B243" s="1"/>
      <c r="C243" s="1"/>
      <c r="D243" s="1"/>
      <c r="E243" s="1"/>
      <c r="F243" s="1"/>
      <c r="G243" s="1"/>
      <c r="H243" s="1"/>
    </row>
    <row r="244" spans="2:8" x14ac:dyDescent="0.2">
      <c r="B244" s="1"/>
      <c r="C244" s="1"/>
      <c r="D244" s="1"/>
      <c r="E244" s="1"/>
      <c r="F244" s="1"/>
      <c r="G244" s="1"/>
      <c r="H244" s="1"/>
    </row>
    <row r="245" spans="2:8" x14ac:dyDescent="0.2">
      <c r="B245" s="1"/>
      <c r="C245" s="1"/>
      <c r="D245" s="1"/>
      <c r="E245" s="1"/>
      <c r="F245" s="1"/>
      <c r="G245" s="1"/>
      <c r="H245" s="1"/>
    </row>
    <row r="246" spans="2:8" x14ac:dyDescent="0.2">
      <c r="B246" s="1"/>
      <c r="C246" s="1"/>
      <c r="D246" s="1"/>
      <c r="E246" s="1"/>
      <c r="F246" s="1"/>
      <c r="G246" s="1"/>
      <c r="H246" s="1"/>
    </row>
    <row r="247" spans="2:8" x14ac:dyDescent="0.2">
      <c r="B247" s="1"/>
      <c r="C247" s="1"/>
      <c r="D247" s="1"/>
      <c r="E247" s="1"/>
      <c r="F247" s="1"/>
      <c r="G247" s="1"/>
      <c r="H247" s="1"/>
    </row>
    <row r="248" spans="2:8" x14ac:dyDescent="0.2">
      <c r="B248" s="1"/>
      <c r="C248" s="1"/>
      <c r="D248" s="1"/>
      <c r="E248" s="1"/>
      <c r="F248" s="1"/>
      <c r="G248" s="1"/>
      <c r="H248" s="1"/>
    </row>
    <row r="249" spans="2:8" x14ac:dyDescent="0.2">
      <c r="B249" s="1"/>
      <c r="C249" s="1"/>
      <c r="D249" s="1"/>
      <c r="E249" s="1"/>
      <c r="F249" s="1"/>
      <c r="G249" s="1"/>
      <c r="H249" s="1"/>
    </row>
    <row r="250" spans="2:8" x14ac:dyDescent="0.2">
      <c r="B250" s="1"/>
      <c r="C250" s="1"/>
      <c r="D250" s="1"/>
      <c r="E250" s="1"/>
      <c r="F250" s="1"/>
      <c r="G250" s="1"/>
      <c r="H250" s="1"/>
    </row>
    <row r="251" spans="2:8" x14ac:dyDescent="0.2">
      <c r="B251" s="1"/>
      <c r="C251" s="1"/>
      <c r="D251" s="1"/>
      <c r="E251" s="1"/>
      <c r="F251" s="1"/>
      <c r="G251" s="1"/>
      <c r="H251" s="1"/>
    </row>
    <row r="252" spans="2:8" x14ac:dyDescent="0.2">
      <c r="B252" s="1"/>
      <c r="C252" s="1"/>
      <c r="D252" s="1"/>
      <c r="E252" s="1"/>
      <c r="F252" s="1"/>
      <c r="G252" s="1"/>
      <c r="H252" s="1"/>
    </row>
    <row r="253" spans="2:8" x14ac:dyDescent="0.2">
      <c r="B253" s="1"/>
      <c r="C253" s="1"/>
      <c r="D253" s="1"/>
      <c r="E253" s="1"/>
      <c r="F253" s="1"/>
      <c r="G253" s="1"/>
      <c r="H253" s="1"/>
    </row>
    <row r="254" spans="2:8" x14ac:dyDescent="0.2">
      <c r="B254" s="1"/>
      <c r="C254" s="1"/>
      <c r="D254" s="1"/>
      <c r="E254" s="1"/>
      <c r="F254" s="1"/>
      <c r="G254" s="1"/>
      <c r="H254" s="1"/>
    </row>
    <row r="255" spans="2:8" x14ac:dyDescent="0.2">
      <c r="B255" s="1"/>
      <c r="C255" s="1"/>
      <c r="D255" s="1"/>
      <c r="E255" s="1"/>
      <c r="F255" s="1"/>
      <c r="G255" s="1"/>
      <c r="H255" s="1"/>
    </row>
    <row r="256" spans="2:8" x14ac:dyDescent="0.2">
      <c r="B256" s="1"/>
      <c r="C256" s="1"/>
      <c r="D256" s="1"/>
      <c r="E256" s="1"/>
      <c r="F256" s="1"/>
      <c r="G256" s="1"/>
      <c r="H256" s="1"/>
    </row>
    <row r="257" spans="2:8" x14ac:dyDescent="0.2">
      <c r="B257" s="1"/>
      <c r="C257" s="1"/>
      <c r="D257" s="1"/>
      <c r="E257" s="1"/>
      <c r="F257" s="1"/>
      <c r="G257" s="1"/>
      <c r="H257" s="1"/>
    </row>
    <row r="258" spans="2:8" x14ac:dyDescent="0.2">
      <c r="B258" s="1"/>
      <c r="C258" s="1"/>
      <c r="D258" s="1"/>
      <c r="E258" s="1"/>
      <c r="F258" s="1"/>
      <c r="G258" s="1"/>
      <c r="H258" s="1"/>
    </row>
    <row r="259" spans="2:8" x14ac:dyDescent="0.2">
      <c r="B259" s="1"/>
      <c r="C259" s="1"/>
      <c r="D259" s="1"/>
      <c r="E259" s="1"/>
      <c r="F259" s="1"/>
      <c r="G259" s="1"/>
      <c r="H259" s="1"/>
    </row>
    <row r="260" spans="2:8" x14ac:dyDescent="0.2">
      <c r="B260" s="1"/>
      <c r="C260" s="1"/>
      <c r="D260" s="1"/>
      <c r="E260" s="1"/>
      <c r="F260" s="1"/>
      <c r="G260" s="1"/>
      <c r="H260" s="1"/>
    </row>
    <row r="261" spans="2:8" x14ac:dyDescent="0.2">
      <c r="B261" s="1"/>
      <c r="C261" s="1"/>
      <c r="D261" s="1"/>
      <c r="E261" s="1"/>
      <c r="F261" s="1"/>
      <c r="G261" s="1"/>
      <c r="H261" s="1"/>
    </row>
    <row r="262" spans="2:8" x14ac:dyDescent="0.2">
      <c r="B262" s="1"/>
      <c r="C262" s="1"/>
      <c r="D262" s="1"/>
      <c r="E262" s="1"/>
      <c r="F262" s="1"/>
      <c r="G262" s="1"/>
      <c r="H262" s="1"/>
    </row>
    <row r="263" spans="2:8" x14ac:dyDescent="0.2">
      <c r="B263" s="1"/>
      <c r="C263" s="1"/>
      <c r="D263" s="1"/>
      <c r="E263" s="1"/>
      <c r="F263" s="1"/>
      <c r="G263" s="1"/>
      <c r="H263" s="1"/>
    </row>
    <row r="264" spans="2:8" x14ac:dyDescent="0.2">
      <c r="B264" s="1"/>
      <c r="C264" s="1"/>
      <c r="D264" s="1"/>
      <c r="E264" s="1"/>
      <c r="F264" s="1"/>
      <c r="G264" s="1"/>
      <c r="H264" s="1"/>
    </row>
    <row r="265" spans="2:8" x14ac:dyDescent="0.2">
      <c r="B265" s="1"/>
      <c r="C265" s="1"/>
      <c r="D265" s="1"/>
      <c r="E265" s="1"/>
      <c r="F265" s="1"/>
      <c r="G265" s="1"/>
      <c r="H265" s="1"/>
    </row>
    <row r="266" spans="2:8" x14ac:dyDescent="0.2">
      <c r="B266" s="1"/>
      <c r="C266" s="1"/>
      <c r="D266" s="1"/>
      <c r="E266" s="1"/>
      <c r="F266" s="1"/>
      <c r="G266" s="1"/>
      <c r="H266" s="1"/>
    </row>
    <row r="267" spans="2:8" x14ac:dyDescent="0.2">
      <c r="B267" s="1"/>
      <c r="C267" s="1"/>
      <c r="D267" s="1"/>
      <c r="E267" s="1"/>
      <c r="F267" s="1"/>
      <c r="G267" s="1"/>
      <c r="H267" s="1"/>
    </row>
    <row r="268" spans="2:8" x14ac:dyDescent="0.2">
      <c r="B268" s="1"/>
      <c r="C268" s="1"/>
      <c r="D268" s="1"/>
      <c r="E268" s="1"/>
      <c r="F268" s="1"/>
      <c r="G268" s="1"/>
      <c r="H268" s="1"/>
    </row>
    <row r="269" spans="2:8" x14ac:dyDescent="0.2">
      <c r="B269" s="1"/>
      <c r="C269" s="1"/>
      <c r="D269" s="1"/>
      <c r="E269" s="1"/>
      <c r="F269" s="1"/>
      <c r="G269" s="1"/>
      <c r="H269" s="1"/>
    </row>
    <row r="270" spans="2:8" x14ac:dyDescent="0.2">
      <c r="B270" s="1"/>
      <c r="C270" s="1"/>
      <c r="D270" s="1"/>
      <c r="E270" s="1"/>
      <c r="F270" s="1"/>
      <c r="G270" s="1"/>
      <c r="H270" s="1"/>
    </row>
    <row r="271" spans="2:8" x14ac:dyDescent="0.2">
      <c r="B271" s="1"/>
      <c r="C271" s="1"/>
      <c r="D271" s="1"/>
      <c r="E271" s="1"/>
      <c r="F271" s="1"/>
      <c r="G271" s="1"/>
      <c r="H271" s="1"/>
    </row>
    <row r="272" spans="2:8" x14ac:dyDescent="0.2">
      <c r="B272" s="1"/>
      <c r="C272" s="1"/>
      <c r="D272" s="1"/>
      <c r="E272" s="1"/>
      <c r="F272" s="1"/>
      <c r="G272" s="1"/>
      <c r="H272" s="1"/>
    </row>
    <row r="273" spans="2:8" x14ac:dyDescent="0.2">
      <c r="B273" s="1"/>
      <c r="C273" s="1"/>
      <c r="D273" s="1"/>
      <c r="E273" s="1"/>
      <c r="F273" s="1"/>
      <c r="G273" s="1"/>
      <c r="H273" s="1"/>
    </row>
    <row r="274" spans="2:8" x14ac:dyDescent="0.2">
      <c r="B274" s="1"/>
      <c r="C274" s="1"/>
      <c r="D274" s="1"/>
      <c r="E274" s="1"/>
      <c r="F274" s="1"/>
      <c r="G274" s="1"/>
      <c r="H274" s="1"/>
    </row>
    <row r="275" spans="2:8" x14ac:dyDescent="0.2">
      <c r="B275" s="1"/>
      <c r="C275" s="1"/>
      <c r="D275" s="1"/>
      <c r="E275" s="1"/>
      <c r="F275" s="1"/>
      <c r="G275" s="1"/>
      <c r="H275" s="1"/>
    </row>
    <row r="276" spans="2:8" x14ac:dyDescent="0.2">
      <c r="B276" s="1"/>
      <c r="C276" s="1"/>
      <c r="D276" s="1"/>
      <c r="E276" s="1"/>
      <c r="F276" s="1"/>
      <c r="G276" s="1"/>
      <c r="H276" s="1"/>
    </row>
    <row r="277" spans="2:8" x14ac:dyDescent="0.2">
      <c r="B277" s="1"/>
      <c r="C277" s="1"/>
      <c r="D277" s="1"/>
      <c r="E277" s="1"/>
      <c r="F277" s="1"/>
      <c r="G277" s="1"/>
      <c r="H277" s="1"/>
    </row>
    <row r="278" spans="2:8" x14ac:dyDescent="0.2">
      <c r="B278" s="1"/>
      <c r="C278" s="1"/>
      <c r="D278" s="1"/>
      <c r="E278" s="1"/>
      <c r="F278" s="1"/>
      <c r="G278" s="1"/>
      <c r="H278" s="1"/>
    </row>
    <row r="279" spans="2:8" x14ac:dyDescent="0.2">
      <c r="B279" s="1"/>
      <c r="C279" s="1"/>
      <c r="D279" s="1"/>
      <c r="E279" s="1"/>
      <c r="F279" s="1"/>
      <c r="G279" s="1"/>
      <c r="H279" s="1"/>
    </row>
    <row r="280" spans="2:8" x14ac:dyDescent="0.2">
      <c r="B280" s="1"/>
      <c r="C280" s="1"/>
      <c r="D280" s="1"/>
      <c r="E280" s="1"/>
      <c r="F280" s="1"/>
      <c r="G280" s="1"/>
      <c r="H280" s="1"/>
    </row>
    <row r="281" spans="2:8" x14ac:dyDescent="0.2">
      <c r="B281" s="1"/>
      <c r="C281" s="1"/>
      <c r="D281" s="1"/>
      <c r="E281" s="1"/>
      <c r="F281" s="1"/>
      <c r="G281" s="1"/>
      <c r="H281" s="1"/>
    </row>
    <row r="282" spans="2:8" x14ac:dyDescent="0.2">
      <c r="B282" s="1"/>
      <c r="C282" s="1"/>
      <c r="D282" s="1"/>
      <c r="E282" s="1"/>
      <c r="F282" s="1"/>
      <c r="G282" s="1"/>
      <c r="H282" s="1"/>
    </row>
    <row r="283" spans="2:8" x14ac:dyDescent="0.2">
      <c r="B283" s="1"/>
      <c r="C283" s="1"/>
      <c r="D283" s="1"/>
      <c r="E283" s="1"/>
      <c r="F283" s="1"/>
      <c r="G283" s="1"/>
      <c r="H283" s="1"/>
    </row>
    <row r="284" spans="2:8" x14ac:dyDescent="0.2">
      <c r="B284" s="1"/>
      <c r="C284" s="1"/>
      <c r="D284" s="1"/>
      <c r="E284" s="1"/>
      <c r="F284" s="1"/>
      <c r="G284" s="1"/>
      <c r="H284" s="1"/>
    </row>
    <row r="285" spans="2:8" x14ac:dyDescent="0.2">
      <c r="B285" s="1"/>
      <c r="C285" s="1"/>
      <c r="D285" s="1"/>
      <c r="E285" s="1"/>
      <c r="F285" s="1"/>
      <c r="G285" s="1"/>
      <c r="H285" s="1"/>
    </row>
    <row r="286" spans="2:8" x14ac:dyDescent="0.2">
      <c r="B286" s="1"/>
      <c r="C286" s="1"/>
      <c r="D286" s="1"/>
      <c r="E286" s="1"/>
      <c r="F286" s="1"/>
      <c r="G286" s="1"/>
      <c r="H286" s="1"/>
    </row>
    <row r="287" spans="2:8" x14ac:dyDescent="0.2">
      <c r="B287" s="1"/>
      <c r="C287" s="1"/>
      <c r="D287" s="1"/>
      <c r="E287" s="1"/>
      <c r="F287" s="1"/>
      <c r="G287" s="1"/>
      <c r="H287" s="1"/>
    </row>
    <row r="288" spans="2:8" x14ac:dyDescent="0.2">
      <c r="B288" s="1"/>
      <c r="C288" s="1"/>
      <c r="D288" s="1"/>
      <c r="E288" s="1"/>
      <c r="F288" s="1"/>
      <c r="G288" s="1"/>
      <c r="H288" s="1"/>
    </row>
    <row r="289" spans="2:8" x14ac:dyDescent="0.2">
      <c r="B289" s="1"/>
      <c r="C289" s="1"/>
      <c r="D289" s="1"/>
      <c r="E289" s="1"/>
      <c r="F289" s="1"/>
      <c r="G289" s="1"/>
      <c r="H289" s="1"/>
    </row>
    <row r="290" spans="2:8" x14ac:dyDescent="0.2">
      <c r="B290" s="1"/>
      <c r="C290" s="1"/>
      <c r="D290" s="1"/>
      <c r="E290" s="1"/>
      <c r="F290" s="1"/>
      <c r="G290" s="1"/>
      <c r="H290" s="1"/>
    </row>
    <row r="291" spans="2:8" x14ac:dyDescent="0.2">
      <c r="B291" s="1"/>
      <c r="C291" s="1"/>
      <c r="D291" s="1"/>
      <c r="E291" s="1"/>
      <c r="F291" s="1"/>
      <c r="G291" s="1"/>
      <c r="H291" s="1"/>
    </row>
    <row r="292" spans="2:8" x14ac:dyDescent="0.2">
      <c r="B292" s="1"/>
      <c r="C292" s="1"/>
      <c r="D292" s="1"/>
      <c r="E292" s="1"/>
      <c r="F292" s="1"/>
      <c r="G292" s="1"/>
      <c r="H292" s="1"/>
    </row>
    <row r="293" spans="2:8" x14ac:dyDescent="0.2">
      <c r="B293" s="1"/>
      <c r="C293" s="1"/>
      <c r="D293" s="1"/>
      <c r="E293" s="1"/>
      <c r="F293" s="1"/>
      <c r="G293" s="1"/>
      <c r="H293" s="1"/>
    </row>
    <row r="294" spans="2:8" x14ac:dyDescent="0.2">
      <c r="B294" s="1"/>
      <c r="C294" s="1"/>
      <c r="D294" s="1"/>
      <c r="E294" s="1"/>
      <c r="F294" s="1"/>
      <c r="G294" s="1"/>
      <c r="H294" s="1"/>
    </row>
    <row r="295" spans="2:8" x14ac:dyDescent="0.2">
      <c r="B295" s="1"/>
      <c r="C295" s="1"/>
      <c r="D295" s="1"/>
      <c r="E295" s="1"/>
      <c r="F295" s="1"/>
      <c r="G295" s="1"/>
      <c r="H295" s="1"/>
    </row>
    <row r="296" spans="2:8" x14ac:dyDescent="0.2">
      <c r="B296" s="1"/>
      <c r="C296" s="1"/>
      <c r="D296" s="1"/>
      <c r="E296" s="1"/>
      <c r="F296" s="1"/>
      <c r="G296" s="1"/>
      <c r="H296" s="1"/>
    </row>
    <row r="297" spans="2:8" x14ac:dyDescent="0.2">
      <c r="B297" s="1"/>
      <c r="C297" s="1"/>
      <c r="D297" s="1"/>
      <c r="E297" s="1"/>
      <c r="F297" s="1"/>
      <c r="G297" s="1"/>
      <c r="H297" s="1"/>
    </row>
    <row r="298" spans="2:8" x14ac:dyDescent="0.2">
      <c r="B298" s="1"/>
      <c r="C298" s="1"/>
      <c r="D298" s="1"/>
      <c r="E298" s="1"/>
      <c r="F298" s="1"/>
      <c r="G298" s="1"/>
      <c r="H298" s="1"/>
    </row>
    <row r="299" spans="2:8" x14ac:dyDescent="0.2">
      <c r="B299" s="1"/>
      <c r="C299" s="1"/>
      <c r="D299" s="1"/>
      <c r="E299" s="1"/>
      <c r="F299" s="1"/>
      <c r="G299" s="1"/>
      <c r="H299" s="1"/>
    </row>
    <row r="300" spans="2:8" x14ac:dyDescent="0.2">
      <c r="B300" s="1"/>
      <c r="C300" s="1"/>
      <c r="D300" s="1"/>
      <c r="E300" s="1"/>
      <c r="F300" s="1"/>
      <c r="G300" s="1"/>
      <c r="H300" s="1"/>
    </row>
    <row r="301" spans="2:8" x14ac:dyDescent="0.2">
      <c r="B301" s="1"/>
      <c r="C301" s="1"/>
      <c r="D301" s="1"/>
      <c r="E301" s="1"/>
      <c r="F301" s="1"/>
      <c r="G301" s="1"/>
      <c r="H301" s="1"/>
    </row>
    <row r="302" spans="2:8" x14ac:dyDescent="0.2">
      <c r="B302" s="1"/>
      <c r="C302" s="1"/>
      <c r="D302" s="1"/>
      <c r="E302" s="1"/>
      <c r="F302" s="1"/>
      <c r="G302" s="1"/>
      <c r="H302" s="1"/>
    </row>
    <row r="303" spans="2:8" x14ac:dyDescent="0.2">
      <c r="B303" s="1"/>
      <c r="C303" s="1"/>
      <c r="D303" s="1"/>
      <c r="E303" s="1"/>
      <c r="F303" s="1"/>
      <c r="G303" s="1"/>
      <c r="H303" s="1"/>
    </row>
    <row r="304" spans="2:8" x14ac:dyDescent="0.2">
      <c r="B304" s="1"/>
      <c r="C304" s="1"/>
      <c r="D304" s="1"/>
      <c r="E304" s="1"/>
      <c r="F304" s="1"/>
      <c r="G304" s="1"/>
      <c r="H304" s="1"/>
    </row>
    <row r="305" spans="2:8" x14ac:dyDescent="0.2">
      <c r="B305" s="1"/>
      <c r="C305" s="1"/>
      <c r="D305" s="1"/>
      <c r="E305" s="1"/>
      <c r="F305" s="1"/>
      <c r="G305" s="1"/>
      <c r="H305" s="1"/>
    </row>
    <row r="306" spans="2:8" x14ac:dyDescent="0.2">
      <c r="B306" s="1"/>
      <c r="C306" s="1"/>
      <c r="D306" s="1"/>
      <c r="E306" s="1"/>
      <c r="F306" s="1"/>
      <c r="G306" s="1"/>
      <c r="H306" s="1"/>
    </row>
    <row r="307" spans="2:8" x14ac:dyDescent="0.2">
      <c r="B307" s="1"/>
      <c r="C307" s="1"/>
      <c r="D307" s="1"/>
      <c r="E307" s="1"/>
      <c r="F307" s="1"/>
      <c r="G307" s="1"/>
      <c r="H307" s="1"/>
    </row>
    <row r="308" spans="2:8" x14ac:dyDescent="0.2">
      <c r="B308" s="1"/>
      <c r="C308" s="1"/>
      <c r="D308" s="1"/>
      <c r="E308" s="1"/>
      <c r="F308" s="1"/>
      <c r="G308" s="1"/>
      <c r="H308" s="1"/>
    </row>
    <row r="309" spans="2:8" x14ac:dyDescent="0.2">
      <c r="B309" s="1"/>
      <c r="C309" s="1"/>
      <c r="D309" s="1"/>
      <c r="E309" s="1"/>
      <c r="F309" s="1"/>
      <c r="G309" s="1"/>
      <c r="H309" s="1"/>
    </row>
    <row r="310" spans="2:8" x14ac:dyDescent="0.2">
      <c r="B310" s="1"/>
      <c r="C310" s="1"/>
      <c r="D310" s="1"/>
      <c r="E310" s="1"/>
      <c r="F310" s="1"/>
      <c r="G310" s="1"/>
      <c r="H310" s="1"/>
    </row>
    <row r="311" spans="2:8" x14ac:dyDescent="0.2">
      <c r="B311" s="1"/>
      <c r="C311" s="1"/>
      <c r="D311" s="1"/>
      <c r="E311" s="1"/>
      <c r="F311" s="1"/>
      <c r="G311" s="1"/>
      <c r="H311" s="1"/>
    </row>
    <row r="312" spans="2:8" x14ac:dyDescent="0.2">
      <c r="B312" s="1"/>
      <c r="C312" s="1"/>
      <c r="D312" s="1"/>
      <c r="E312" s="1"/>
      <c r="F312" s="1"/>
      <c r="G312" s="1"/>
      <c r="H312" s="1"/>
    </row>
    <row r="313" spans="2:8" x14ac:dyDescent="0.2">
      <c r="B313" s="1"/>
      <c r="C313" s="1"/>
      <c r="D313" s="1"/>
      <c r="E313" s="1"/>
      <c r="F313" s="1"/>
      <c r="G313" s="1"/>
      <c r="H313" s="1"/>
    </row>
    <row r="314" spans="2:8" x14ac:dyDescent="0.2">
      <c r="B314" s="1"/>
      <c r="C314" s="1"/>
      <c r="D314" s="1"/>
      <c r="E314" s="1"/>
      <c r="F314" s="1"/>
      <c r="G314" s="1"/>
      <c r="H314" s="1"/>
    </row>
    <row r="315" spans="2:8" x14ac:dyDescent="0.2">
      <c r="B315" s="1"/>
      <c r="C315" s="1"/>
      <c r="D315" s="1"/>
      <c r="E315" s="1"/>
      <c r="F315" s="1"/>
      <c r="G315" s="1"/>
      <c r="H315" s="1"/>
    </row>
    <row r="316" spans="2:8" x14ac:dyDescent="0.2">
      <c r="B316" s="1"/>
      <c r="C316" s="1"/>
      <c r="D316" s="1"/>
      <c r="E316" s="1"/>
      <c r="F316" s="1"/>
      <c r="G316" s="1"/>
      <c r="H316" s="1"/>
    </row>
    <row r="317" spans="2:8" x14ac:dyDescent="0.2">
      <c r="B317" s="1"/>
      <c r="C317" s="1"/>
      <c r="D317" s="1"/>
      <c r="E317" s="1"/>
      <c r="F317" s="1"/>
      <c r="G317" s="1"/>
      <c r="H317" s="1"/>
    </row>
    <row r="318" spans="2:8" x14ac:dyDescent="0.2">
      <c r="B318" s="1"/>
      <c r="C318" s="1"/>
      <c r="D318" s="1"/>
      <c r="E318" s="1"/>
      <c r="F318" s="1"/>
      <c r="G318" s="1"/>
      <c r="H318" s="1"/>
    </row>
    <row r="319" spans="2:8" x14ac:dyDescent="0.2">
      <c r="B319" s="1"/>
      <c r="C319" s="1"/>
      <c r="D319" s="1"/>
      <c r="E319" s="1"/>
      <c r="F319" s="1"/>
      <c r="G319" s="1"/>
      <c r="H319" s="1"/>
    </row>
    <row r="320" spans="2:8" x14ac:dyDescent="0.2">
      <c r="B320" s="1"/>
      <c r="C320" s="1"/>
      <c r="D320" s="1"/>
      <c r="E320" s="1"/>
      <c r="F320" s="1"/>
      <c r="G320" s="1"/>
      <c r="H320" s="1"/>
    </row>
    <row r="321" spans="2:8" x14ac:dyDescent="0.2">
      <c r="B321" s="1"/>
      <c r="C321" s="1"/>
      <c r="D321" s="1"/>
      <c r="E321" s="1"/>
      <c r="F321" s="1"/>
      <c r="G321" s="1"/>
      <c r="H321" s="1"/>
    </row>
    <row r="322" spans="2:8" x14ac:dyDescent="0.2">
      <c r="B322" s="1"/>
      <c r="C322" s="1"/>
      <c r="D322" s="1"/>
      <c r="E322" s="1"/>
      <c r="F322" s="1"/>
      <c r="G322" s="1"/>
      <c r="H322" s="1"/>
    </row>
    <row r="323" spans="2:8" x14ac:dyDescent="0.2">
      <c r="B323" s="1"/>
      <c r="C323" s="1"/>
      <c r="D323" s="1"/>
      <c r="E323" s="1"/>
      <c r="F323" s="1"/>
      <c r="G323" s="1"/>
      <c r="H323" s="1"/>
    </row>
    <row r="324" spans="2:8" x14ac:dyDescent="0.2">
      <c r="B324" s="1"/>
      <c r="C324" s="1"/>
      <c r="D324" s="1"/>
      <c r="E324" s="1"/>
      <c r="F324" s="1"/>
      <c r="G324" s="1"/>
      <c r="H324" s="1"/>
    </row>
    <row r="325" spans="2:8" x14ac:dyDescent="0.2">
      <c r="B325" s="1"/>
      <c r="C325" s="1"/>
      <c r="D325" s="1"/>
      <c r="E325" s="1"/>
      <c r="F325" s="1"/>
      <c r="G325" s="1"/>
      <c r="H325" s="1"/>
    </row>
    <row r="326" spans="2:8" x14ac:dyDescent="0.2">
      <c r="B326" s="1"/>
      <c r="C326" s="1"/>
      <c r="D326" s="1"/>
      <c r="E326" s="1"/>
      <c r="F326" s="1"/>
      <c r="G326" s="1"/>
      <c r="H326" s="1"/>
    </row>
    <row r="327" spans="2:8" x14ac:dyDescent="0.2">
      <c r="B327" s="1"/>
      <c r="C327" s="1"/>
      <c r="D327" s="1"/>
      <c r="E327" s="1"/>
      <c r="F327" s="1"/>
      <c r="G327" s="1"/>
      <c r="H327" s="1"/>
    </row>
    <row r="328" spans="2:8" x14ac:dyDescent="0.2">
      <c r="B328" s="1"/>
      <c r="C328" s="1"/>
      <c r="D328" s="1"/>
      <c r="E328" s="1"/>
      <c r="F328" s="1"/>
      <c r="G328" s="1"/>
      <c r="H328" s="1"/>
    </row>
    <row r="329" spans="2:8" x14ac:dyDescent="0.2">
      <c r="B329" s="1"/>
      <c r="C329" s="1"/>
      <c r="D329" s="1"/>
      <c r="E329" s="1"/>
      <c r="F329" s="1"/>
      <c r="G329" s="1"/>
      <c r="H329" s="1"/>
    </row>
    <row r="330" spans="2:8" x14ac:dyDescent="0.2">
      <c r="B330" s="1"/>
      <c r="C330" s="1"/>
      <c r="D330" s="1"/>
      <c r="E330" s="1"/>
      <c r="F330" s="1"/>
      <c r="G330" s="1"/>
      <c r="H330" s="1"/>
    </row>
    <row r="331" spans="2:8" x14ac:dyDescent="0.2">
      <c r="B331" s="1"/>
      <c r="C331" s="1"/>
      <c r="D331" s="1"/>
      <c r="E331" s="1"/>
      <c r="F331" s="1"/>
      <c r="G331" s="1"/>
      <c r="H331" s="1"/>
    </row>
    <row r="332" spans="2:8" x14ac:dyDescent="0.2">
      <c r="B332" s="1"/>
      <c r="C332" s="1"/>
      <c r="D332" s="1"/>
      <c r="E332" s="1"/>
      <c r="F332" s="1"/>
      <c r="G332" s="1"/>
      <c r="H332" s="1"/>
    </row>
    <row r="333" spans="2:8" x14ac:dyDescent="0.2">
      <c r="B333" s="1"/>
      <c r="C333" s="1"/>
      <c r="D333" s="1"/>
      <c r="E333" s="1"/>
      <c r="F333" s="1"/>
      <c r="G333" s="1"/>
      <c r="H333" s="1"/>
    </row>
    <row r="334" spans="2:8" x14ac:dyDescent="0.2">
      <c r="B334" s="1"/>
      <c r="C334" s="1"/>
      <c r="D334" s="1"/>
      <c r="E334" s="1"/>
      <c r="F334" s="1"/>
      <c r="G334" s="1"/>
      <c r="H334" s="1"/>
    </row>
    <row r="335" spans="2:8" x14ac:dyDescent="0.2">
      <c r="B335" s="1"/>
      <c r="C335" s="1"/>
      <c r="D335" s="1"/>
      <c r="E335" s="1"/>
      <c r="F335" s="1"/>
      <c r="G335" s="1"/>
      <c r="H335" s="1"/>
    </row>
    <row r="336" spans="2:8" x14ac:dyDescent="0.2">
      <c r="B336" s="1"/>
      <c r="C336" s="1"/>
      <c r="D336" s="1"/>
      <c r="E336" s="1"/>
      <c r="F336" s="1"/>
      <c r="G336" s="1"/>
      <c r="H336" s="1"/>
    </row>
    <row r="337" spans="2:8" x14ac:dyDescent="0.2">
      <c r="B337" s="1"/>
      <c r="C337" s="1"/>
      <c r="D337" s="1"/>
      <c r="E337" s="1"/>
      <c r="F337" s="1"/>
      <c r="G337" s="1"/>
      <c r="H337" s="1"/>
    </row>
    <row r="338" spans="2:8" x14ac:dyDescent="0.2">
      <c r="B338" s="1"/>
      <c r="C338" s="1"/>
      <c r="D338" s="1"/>
      <c r="E338" s="1"/>
      <c r="F338" s="1"/>
      <c r="G338" s="1"/>
      <c r="H338" s="1"/>
    </row>
    <row r="339" spans="2:8" x14ac:dyDescent="0.2">
      <c r="B339" s="1"/>
      <c r="C339" s="1"/>
      <c r="D339" s="1"/>
      <c r="E339" s="1"/>
      <c r="F339" s="1"/>
      <c r="G339" s="1"/>
      <c r="H339" s="1"/>
    </row>
    <row r="340" spans="2:8" x14ac:dyDescent="0.2">
      <c r="B340" s="1"/>
      <c r="C340" s="1"/>
      <c r="D340" s="1"/>
      <c r="E340" s="1"/>
      <c r="F340" s="1"/>
      <c r="G340" s="1"/>
      <c r="H340" s="1"/>
    </row>
    <row r="341" spans="2:8" x14ac:dyDescent="0.2">
      <c r="B341" s="1"/>
      <c r="C341" s="1"/>
      <c r="D341" s="1"/>
      <c r="E341" s="1"/>
      <c r="F341" s="1"/>
      <c r="G341" s="1"/>
      <c r="H341" s="1"/>
    </row>
    <row r="342" spans="2:8" x14ac:dyDescent="0.2">
      <c r="B342" s="1"/>
      <c r="C342" s="1"/>
      <c r="D342" s="1"/>
      <c r="E342" s="1"/>
      <c r="F342" s="1"/>
      <c r="G342" s="1"/>
      <c r="H342" s="1"/>
    </row>
    <row r="343" spans="2:8" x14ac:dyDescent="0.2">
      <c r="B343" s="1"/>
      <c r="C343" s="1"/>
      <c r="D343" s="1"/>
      <c r="E343" s="1"/>
      <c r="F343" s="1"/>
      <c r="G343" s="1"/>
      <c r="H343" s="1"/>
    </row>
    <row r="344" spans="2:8" x14ac:dyDescent="0.2">
      <c r="B344" s="1"/>
      <c r="C344" s="1"/>
      <c r="D344" s="1"/>
      <c r="E344" s="1"/>
      <c r="F344" s="1"/>
      <c r="G344" s="1"/>
      <c r="H344" s="1"/>
    </row>
    <row r="345" spans="2:8" x14ac:dyDescent="0.2">
      <c r="B345" s="1"/>
      <c r="C345" s="1"/>
      <c r="D345" s="1"/>
      <c r="E345" s="1"/>
      <c r="F345" s="1"/>
      <c r="G345" s="1"/>
      <c r="H345" s="1"/>
    </row>
    <row r="346" spans="2:8" x14ac:dyDescent="0.2">
      <c r="B346" s="1"/>
      <c r="C346" s="1"/>
      <c r="D346" s="1"/>
      <c r="E346" s="1"/>
      <c r="F346" s="1"/>
      <c r="G346" s="1"/>
      <c r="H346" s="1"/>
    </row>
    <row r="347" spans="2:8" x14ac:dyDescent="0.2">
      <c r="B347" s="1"/>
      <c r="C347" s="1"/>
      <c r="D347" s="1"/>
      <c r="E347" s="1"/>
      <c r="F347" s="1"/>
      <c r="G347" s="1"/>
      <c r="H347" s="1"/>
    </row>
    <row r="348" spans="2:8" x14ac:dyDescent="0.2">
      <c r="B348" s="1"/>
      <c r="C348" s="1"/>
      <c r="D348" s="1"/>
      <c r="E348" s="1"/>
      <c r="F348" s="1"/>
      <c r="G348" s="1"/>
      <c r="H348" s="1"/>
    </row>
    <row r="349" spans="2:8" x14ac:dyDescent="0.2">
      <c r="B349" s="1"/>
      <c r="C349" s="1"/>
      <c r="D349" s="1"/>
      <c r="E349" s="1"/>
      <c r="F349" s="1"/>
      <c r="G349" s="1"/>
      <c r="H349" s="1"/>
    </row>
    <row r="350" spans="2:8" x14ac:dyDescent="0.2">
      <c r="B350" s="1"/>
      <c r="C350" s="1"/>
      <c r="D350" s="1"/>
      <c r="E350" s="1"/>
      <c r="F350" s="1"/>
      <c r="G350" s="1"/>
      <c r="H350" s="1"/>
    </row>
    <row r="351" spans="2:8" x14ac:dyDescent="0.2">
      <c r="B351" s="1"/>
      <c r="C351" s="1"/>
      <c r="D351" s="1"/>
      <c r="E351" s="1"/>
      <c r="F351" s="1"/>
      <c r="G351" s="1"/>
      <c r="H351" s="1"/>
    </row>
    <row r="352" spans="2:8" x14ac:dyDescent="0.2">
      <c r="B352" s="1"/>
      <c r="C352" s="1"/>
      <c r="D352" s="1"/>
      <c r="E352" s="1"/>
      <c r="F352" s="1"/>
      <c r="G352" s="1"/>
      <c r="H352" s="1"/>
    </row>
    <row r="353" spans="2:8" x14ac:dyDescent="0.2">
      <c r="B353" s="1"/>
      <c r="C353" s="1"/>
      <c r="D353" s="1"/>
      <c r="E353" s="1"/>
      <c r="F353" s="1"/>
      <c r="G353" s="1"/>
      <c r="H353" s="1"/>
    </row>
    <row r="354" spans="2:8" x14ac:dyDescent="0.2">
      <c r="B354" s="1"/>
      <c r="C354" s="1"/>
      <c r="D354" s="1"/>
      <c r="E354" s="1"/>
      <c r="F354" s="1"/>
      <c r="G354" s="1"/>
      <c r="H354" s="1"/>
    </row>
    <row r="355" spans="2:8" x14ac:dyDescent="0.2">
      <c r="B355" s="1"/>
      <c r="C355" s="1"/>
      <c r="D355" s="1"/>
      <c r="E355" s="1"/>
      <c r="F355" s="1"/>
      <c r="G355" s="1"/>
      <c r="H355" s="1"/>
    </row>
    <row r="356" spans="2:8" x14ac:dyDescent="0.2">
      <c r="B356" s="1"/>
      <c r="C356" s="1"/>
      <c r="D356" s="1"/>
      <c r="E356" s="1"/>
      <c r="F356" s="1"/>
      <c r="G356" s="1"/>
      <c r="H356" s="1"/>
    </row>
    <row r="357" spans="2:8" x14ac:dyDescent="0.2">
      <c r="B357" s="1"/>
      <c r="C357" s="1"/>
      <c r="D357" s="1"/>
      <c r="E357" s="1"/>
      <c r="F357" s="1"/>
      <c r="G357" s="1"/>
      <c r="H357" s="1"/>
    </row>
    <row r="358" spans="2:8" x14ac:dyDescent="0.2">
      <c r="B358" s="1"/>
      <c r="C358" s="1"/>
      <c r="D358" s="1"/>
      <c r="E358" s="1"/>
      <c r="F358" s="1"/>
      <c r="G358" s="1"/>
      <c r="H358" s="1"/>
    </row>
    <row r="359" spans="2:8" x14ac:dyDescent="0.2">
      <c r="B359" s="1"/>
      <c r="C359" s="1"/>
      <c r="D359" s="1"/>
      <c r="E359" s="1"/>
      <c r="F359" s="1"/>
      <c r="G359" s="1"/>
      <c r="H359" s="1"/>
    </row>
    <row r="360" spans="2:8" x14ac:dyDescent="0.2">
      <c r="B360" s="1"/>
      <c r="C360" s="1"/>
      <c r="D360" s="1"/>
      <c r="E360" s="1"/>
      <c r="F360" s="1"/>
      <c r="G360" s="1"/>
      <c r="H360" s="1"/>
    </row>
    <row r="361" spans="2:8" x14ac:dyDescent="0.2">
      <c r="B361" s="1"/>
      <c r="C361" s="1"/>
      <c r="D361" s="1"/>
      <c r="E361" s="1"/>
      <c r="F361" s="1"/>
      <c r="G361" s="1"/>
      <c r="H361" s="1"/>
    </row>
    <row r="362" spans="2:8" x14ac:dyDescent="0.2">
      <c r="B362" s="1"/>
      <c r="C362" s="1"/>
      <c r="D362" s="1"/>
      <c r="E362" s="1"/>
      <c r="F362" s="1"/>
      <c r="G362" s="1"/>
      <c r="H362" s="1"/>
    </row>
    <row r="363" spans="2:8" x14ac:dyDescent="0.2">
      <c r="B363" s="1"/>
      <c r="C363" s="1"/>
      <c r="D363" s="1"/>
      <c r="E363" s="1"/>
      <c r="F363" s="1"/>
      <c r="G363" s="1"/>
      <c r="H363" s="1"/>
    </row>
    <row r="364" spans="2:8" x14ac:dyDescent="0.2">
      <c r="B364" s="1"/>
      <c r="C364" s="1"/>
      <c r="D364" s="1"/>
      <c r="E364" s="1"/>
      <c r="F364" s="1"/>
      <c r="G364" s="1"/>
      <c r="H364" s="1"/>
    </row>
    <row r="365" spans="2:8" x14ac:dyDescent="0.2">
      <c r="B365" s="1"/>
      <c r="C365" s="1"/>
      <c r="D365" s="1"/>
      <c r="E365" s="1"/>
      <c r="F365" s="1"/>
      <c r="G365" s="1"/>
      <c r="H365" s="1"/>
    </row>
    <row r="366" spans="2:8" x14ac:dyDescent="0.2">
      <c r="B366" s="1"/>
      <c r="C366" s="1"/>
      <c r="D366" s="1"/>
      <c r="E366" s="1"/>
      <c r="F366" s="1"/>
      <c r="G366" s="1"/>
      <c r="H366" s="1"/>
    </row>
    <row r="367" spans="2:8" x14ac:dyDescent="0.2">
      <c r="B367" s="1"/>
      <c r="C367" s="1"/>
      <c r="D367" s="1"/>
      <c r="E367" s="1"/>
      <c r="F367" s="1"/>
      <c r="G367" s="1"/>
      <c r="H367" s="1"/>
    </row>
    <row r="368" spans="2:8" x14ac:dyDescent="0.2">
      <c r="B368" s="1"/>
      <c r="C368" s="1"/>
      <c r="D368" s="1"/>
      <c r="E368" s="1"/>
      <c r="F368" s="1"/>
      <c r="G368" s="1"/>
      <c r="H368" s="1"/>
    </row>
    <row r="369" spans="2:8" x14ac:dyDescent="0.2">
      <c r="B369" s="1"/>
      <c r="C369" s="1"/>
      <c r="D369" s="1"/>
      <c r="E369" s="1"/>
      <c r="F369" s="1"/>
      <c r="G369" s="1"/>
      <c r="H369" s="1"/>
    </row>
    <row r="370" spans="2:8" x14ac:dyDescent="0.2">
      <c r="B370" s="1"/>
      <c r="C370" s="1"/>
      <c r="D370" s="1"/>
      <c r="E370" s="1"/>
      <c r="F370" s="1"/>
      <c r="G370" s="1"/>
      <c r="H370" s="1"/>
    </row>
    <row r="371" spans="2:8" x14ac:dyDescent="0.2">
      <c r="B371" s="1"/>
      <c r="C371" s="1"/>
      <c r="D371" s="1"/>
      <c r="E371" s="1"/>
      <c r="F371" s="1"/>
      <c r="G371" s="1"/>
      <c r="H371" s="1"/>
    </row>
    <row r="372" spans="2:8" x14ac:dyDescent="0.2">
      <c r="B372" s="1"/>
      <c r="C372" s="1"/>
      <c r="D372" s="1"/>
      <c r="E372" s="1"/>
      <c r="F372" s="1"/>
      <c r="G372" s="1"/>
      <c r="H372" s="1"/>
    </row>
    <row r="373" spans="2:8" x14ac:dyDescent="0.2">
      <c r="B373" s="1"/>
      <c r="C373" s="1"/>
      <c r="D373" s="1"/>
      <c r="E373" s="1"/>
      <c r="F373" s="1"/>
      <c r="G373" s="1"/>
      <c r="H373" s="1"/>
    </row>
    <row r="374" spans="2:8" x14ac:dyDescent="0.2">
      <c r="B374" s="1"/>
      <c r="C374" s="1"/>
      <c r="D374" s="1"/>
      <c r="E374" s="1"/>
      <c r="F374" s="1"/>
      <c r="G374" s="1"/>
      <c r="H374" s="1"/>
    </row>
    <row r="375" spans="2:8" x14ac:dyDescent="0.2">
      <c r="B375" s="1"/>
      <c r="C375" s="1"/>
      <c r="D375" s="1"/>
      <c r="E375" s="1"/>
      <c r="F375" s="1"/>
      <c r="G375" s="1"/>
      <c r="H375" s="1"/>
    </row>
    <row r="376" spans="2:8" x14ac:dyDescent="0.2">
      <c r="B376" s="1"/>
      <c r="C376" s="1"/>
      <c r="D376" s="1"/>
      <c r="E376" s="1"/>
      <c r="F376" s="1"/>
      <c r="G376" s="1"/>
      <c r="H376" s="1"/>
    </row>
    <row r="377" spans="2:8" x14ac:dyDescent="0.2">
      <c r="B377" s="1"/>
      <c r="C377" s="1"/>
      <c r="D377" s="1"/>
      <c r="E377" s="1"/>
      <c r="F377" s="1"/>
      <c r="G377" s="1"/>
      <c r="H377" s="1"/>
    </row>
    <row r="378" spans="2:8" x14ac:dyDescent="0.2">
      <c r="B378" s="1"/>
      <c r="C378" s="1"/>
      <c r="D378" s="1"/>
      <c r="E378" s="1"/>
      <c r="F378" s="1"/>
      <c r="G378" s="1"/>
      <c r="H378" s="1"/>
    </row>
    <row r="379" spans="2:8" x14ac:dyDescent="0.2">
      <c r="B379" s="1"/>
      <c r="C379" s="1"/>
      <c r="D379" s="1"/>
      <c r="E379" s="1"/>
      <c r="F379" s="1"/>
      <c r="G379" s="1"/>
      <c r="H379" s="1"/>
    </row>
    <row r="380" spans="2:8" x14ac:dyDescent="0.2">
      <c r="B380" s="1"/>
      <c r="C380" s="1"/>
      <c r="D380" s="1"/>
      <c r="E380" s="1"/>
      <c r="F380" s="1"/>
      <c r="G380" s="1"/>
      <c r="H380" s="1"/>
    </row>
    <row r="381" spans="2:8" x14ac:dyDescent="0.2">
      <c r="B381" s="1"/>
      <c r="C381" s="1"/>
      <c r="D381" s="1"/>
      <c r="E381" s="1"/>
      <c r="F381" s="1"/>
      <c r="G381" s="1"/>
      <c r="H381" s="1"/>
    </row>
    <row r="382" spans="2:8" x14ac:dyDescent="0.2">
      <c r="B382" s="1"/>
      <c r="C382" s="1"/>
      <c r="D382" s="1"/>
      <c r="E382" s="1"/>
      <c r="F382" s="1"/>
      <c r="G382" s="1"/>
      <c r="H382" s="1"/>
    </row>
    <row r="383" spans="2:8" x14ac:dyDescent="0.2">
      <c r="B383" s="1"/>
      <c r="C383" s="1"/>
      <c r="D383" s="1"/>
      <c r="E383" s="1"/>
      <c r="F383" s="1"/>
      <c r="G383" s="1"/>
      <c r="H383" s="1"/>
    </row>
    <row r="384" spans="2:8" x14ac:dyDescent="0.2">
      <c r="B384" s="1"/>
      <c r="C384" s="1"/>
      <c r="D384" s="1"/>
      <c r="E384" s="1"/>
      <c r="F384" s="1"/>
      <c r="G384" s="1"/>
      <c r="H384" s="1"/>
    </row>
    <row r="385" spans="2:8" x14ac:dyDescent="0.2">
      <c r="B385" s="1"/>
      <c r="C385" s="1"/>
      <c r="D385" s="1"/>
      <c r="E385" s="1"/>
      <c r="F385" s="1"/>
      <c r="G385" s="1"/>
      <c r="H385" s="1"/>
    </row>
    <row r="386" spans="2:8" x14ac:dyDescent="0.2">
      <c r="B386" s="1"/>
      <c r="C386" s="1"/>
      <c r="D386" s="1"/>
      <c r="E386" s="1"/>
      <c r="F386" s="1"/>
      <c r="G386" s="1"/>
      <c r="H386" s="1"/>
    </row>
    <row r="387" spans="2:8" x14ac:dyDescent="0.2">
      <c r="B387" s="1"/>
      <c r="C387" s="1"/>
      <c r="D387" s="1"/>
      <c r="E387" s="1"/>
      <c r="F387" s="1"/>
      <c r="G387" s="1"/>
      <c r="H387" s="1"/>
    </row>
    <row r="388" spans="2:8" x14ac:dyDescent="0.2">
      <c r="B388" s="1"/>
      <c r="C388" s="1"/>
      <c r="D388" s="1"/>
      <c r="E388" s="1"/>
      <c r="F388" s="1"/>
      <c r="G388" s="1"/>
      <c r="H388" s="1"/>
    </row>
    <row r="389" spans="2:8" x14ac:dyDescent="0.2">
      <c r="B389" s="1"/>
      <c r="C389" s="1"/>
      <c r="D389" s="1"/>
      <c r="E389" s="1"/>
      <c r="F389" s="1"/>
      <c r="G389" s="1"/>
      <c r="H389" s="1"/>
    </row>
    <row r="390" spans="2:8" x14ac:dyDescent="0.2">
      <c r="B390" s="1"/>
      <c r="C390" s="1"/>
      <c r="D390" s="1"/>
      <c r="E390" s="1"/>
      <c r="F390" s="1"/>
      <c r="G390" s="1"/>
      <c r="H390" s="1"/>
    </row>
    <row r="391" spans="2:8" x14ac:dyDescent="0.2">
      <c r="B391" s="1"/>
      <c r="C391" s="1"/>
      <c r="D391" s="1"/>
      <c r="E391" s="1"/>
      <c r="F391" s="1"/>
      <c r="G391" s="1"/>
      <c r="H391" s="1"/>
    </row>
    <row r="392" spans="2:8" x14ac:dyDescent="0.2">
      <c r="B392" s="1"/>
      <c r="C392" s="1"/>
      <c r="D392" s="1"/>
      <c r="E392" s="1"/>
      <c r="F392" s="1"/>
      <c r="G392" s="1"/>
      <c r="H392" s="1"/>
    </row>
    <row r="393" spans="2:8" x14ac:dyDescent="0.2">
      <c r="B393" s="1"/>
      <c r="C393" s="1"/>
      <c r="D393" s="1"/>
      <c r="E393" s="1"/>
      <c r="F393" s="1"/>
      <c r="G393" s="1"/>
      <c r="H393" s="1"/>
    </row>
    <row r="394" spans="2:8" x14ac:dyDescent="0.2">
      <c r="B394" s="1"/>
      <c r="C394" s="1"/>
      <c r="D394" s="1"/>
      <c r="E394" s="1"/>
      <c r="F394" s="1"/>
      <c r="G394" s="1"/>
      <c r="H394" s="1"/>
    </row>
    <row r="395" spans="2:8" x14ac:dyDescent="0.2">
      <c r="B395" s="1"/>
      <c r="C395" s="1"/>
      <c r="D395" s="1"/>
      <c r="E395" s="1"/>
      <c r="F395" s="1"/>
      <c r="G395" s="1"/>
      <c r="H395" s="1"/>
    </row>
    <row r="396" spans="2:8" x14ac:dyDescent="0.2">
      <c r="B396" s="1"/>
      <c r="C396" s="1"/>
      <c r="D396" s="1"/>
      <c r="E396" s="1"/>
      <c r="F396" s="1"/>
      <c r="G396" s="1"/>
      <c r="H396" s="1"/>
    </row>
    <row r="397" spans="2:8" x14ac:dyDescent="0.2">
      <c r="B397" s="1"/>
      <c r="C397" s="1"/>
      <c r="D397" s="1"/>
      <c r="E397" s="1"/>
      <c r="F397" s="1"/>
      <c r="G397" s="1"/>
      <c r="H397" s="1"/>
    </row>
    <row r="398" spans="2:8" x14ac:dyDescent="0.2">
      <c r="B398" s="1"/>
      <c r="C398" s="1"/>
      <c r="D398" s="1"/>
      <c r="E398" s="1"/>
      <c r="F398" s="1"/>
      <c r="G398" s="1"/>
      <c r="H398" s="1"/>
    </row>
    <row r="399" spans="2:8" x14ac:dyDescent="0.2">
      <c r="B399" s="1"/>
      <c r="C399" s="1"/>
      <c r="D399" s="1"/>
      <c r="E399" s="1"/>
      <c r="F399" s="1"/>
      <c r="G399" s="1"/>
      <c r="H399" s="1"/>
    </row>
    <row r="400" spans="2:8" x14ac:dyDescent="0.2">
      <c r="B400" s="1"/>
      <c r="C400" s="1"/>
      <c r="D400" s="1"/>
      <c r="E400" s="1"/>
      <c r="F400" s="1"/>
      <c r="G400" s="1"/>
      <c r="H400" s="1"/>
    </row>
    <row r="401" spans="2:8" x14ac:dyDescent="0.2">
      <c r="B401" s="1"/>
      <c r="C401" s="1"/>
      <c r="D401" s="1"/>
      <c r="E401" s="1"/>
      <c r="F401" s="1"/>
      <c r="G401" s="1"/>
      <c r="H401" s="1"/>
    </row>
    <row r="402" spans="2:8" x14ac:dyDescent="0.2">
      <c r="B402" s="1"/>
      <c r="C402" s="1"/>
      <c r="D402" s="1"/>
      <c r="E402" s="1"/>
      <c r="F402" s="1"/>
      <c r="G402" s="1"/>
      <c r="H402" s="1"/>
    </row>
    <row r="403" spans="2:8" x14ac:dyDescent="0.2">
      <c r="B403" s="1"/>
      <c r="C403" s="1"/>
      <c r="D403" s="1"/>
      <c r="E403" s="1"/>
      <c r="F403" s="1"/>
      <c r="G403" s="1"/>
      <c r="H403" s="1"/>
    </row>
    <row r="404" spans="2:8" x14ac:dyDescent="0.2">
      <c r="B404" s="1"/>
      <c r="C404" s="1"/>
      <c r="D404" s="1"/>
      <c r="E404" s="1"/>
      <c r="F404" s="1"/>
      <c r="G404" s="1"/>
      <c r="H404" s="1"/>
    </row>
    <row r="405" spans="2:8" x14ac:dyDescent="0.2">
      <c r="B405" s="1"/>
      <c r="C405" s="1"/>
      <c r="D405" s="1"/>
      <c r="E405" s="1"/>
      <c r="F405" s="1"/>
      <c r="G405" s="1"/>
      <c r="H405" s="1"/>
    </row>
    <row r="406" spans="2:8" x14ac:dyDescent="0.2">
      <c r="B406" s="1"/>
      <c r="C406" s="1"/>
      <c r="D406" s="1"/>
      <c r="E406" s="1"/>
      <c r="F406" s="1"/>
      <c r="G406" s="1"/>
      <c r="H406" s="1"/>
    </row>
    <row r="407" spans="2:8" x14ac:dyDescent="0.2">
      <c r="B407" s="1"/>
      <c r="C407" s="1"/>
      <c r="D407" s="1"/>
      <c r="E407" s="1"/>
      <c r="F407" s="1"/>
      <c r="G407" s="1"/>
      <c r="H407" s="1"/>
    </row>
    <row r="408" spans="2:8" x14ac:dyDescent="0.2">
      <c r="B408" s="1"/>
      <c r="C408" s="1"/>
      <c r="D408" s="1"/>
      <c r="E408" s="1"/>
      <c r="F408" s="1"/>
      <c r="G408" s="1"/>
      <c r="H408" s="1"/>
    </row>
    <row r="409" spans="2:8" x14ac:dyDescent="0.2">
      <c r="B409" s="1"/>
      <c r="C409" s="1"/>
      <c r="D409" s="1"/>
      <c r="E409" s="1"/>
      <c r="F409" s="1"/>
      <c r="G409" s="1"/>
      <c r="H409" s="1"/>
    </row>
    <row r="410" spans="2:8" x14ac:dyDescent="0.2">
      <c r="B410" s="1"/>
      <c r="C410" s="1"/>
      <c r="D410" s="1"/>
      <c r="E410" s="1"/>
      <c r="F410" s="1"/>
      <c r="G410" s="1"/>
      <c r="H410" s="1"/>
    </row>
    <row r="411" spans="2:8" x14ac:dyDescent="0.2">
      <c r="B411" s="1"/>
      <c r="C411" s="1"/>
      <c r="D411" s="1"/>
      <c r="E411" s="1"/>
      <c r="F411" s="1"/>
      <c r="G411" s="1"/>
      <c r="H411" s="1"/>
    </row>
    <row r="412" spans="2:8" x14ac:dyDescent="0.2">
      <c r="B412" s="1"/>
      <c r="C412" s="1"/>
      <c r="D412" s="1"/>
      <c r="E412" s="1"/>
      <c r="F412" s="1"/>
      <c r="G412" s="1"/>
      <c r="H412" s="1"/>
    </row>
    <row r="413" spans="2:8" x14ac:dyDescent="0.2">
      <c r="B413" s="1"/>
      <c r="C413" s="1"/>
      <c r="D413" s="1"/>
      <c r="E413" s="1"/>
      <c r="F413" s="1"/>
      <c r="G413" s="1"/>
      <c r="H413" s="1"/>
    </row>
    <row r="414" spans="2:8" x14ac:dyDescent="0.2">
      <c r="B414" s="1"/>
      <c r="C414" s="1"/>
      <c r="D414" s="1"/>
      <c r="E414" s="1"/>
      <c r="F414" s="1"/>
      <c r="G414" s="1"/>
      <c r="H414" s="1"/>
    </row>
    <row r="415" spans="2:8" x14ac:dyDescent="0.2">
      <c r="B415" s="1"/>
      <c r="C415" s="1"/>
      <c r="D415" s="1"/>
      <c r="E415" s="1"/>
      <c r="F415" s="1"/>
      <c r="G415" s="1"/>
      <c r="H415" s="1"/>
    </row>
    <row r="416" spans="2:8" x14ac:dyDescent="0.2">
      <c r="B416" s="1"/>
      <c r="C416" s="1"/>
      <c r="D416" s="1"/>
      <c r="E416" s="1"/>
      <c r="F416" s="1"/>
      <c r="G416" s="1"/>
      <c r="H416" s="1"/>
    </row>
    <row r="417" spans="2:8" x14ac:dyDescent="0.2">
      <c r="B417" s="1"/>
      <c r="C417" s="1"/>
      <c r="D417" s="1"/>
      <c r="E417" s="1"/>
      <c r="F417" s="1"/>
      <c r="G417" s="1"/>
      <c r="H417" s="1"/>
    </row>
    <row r="418" spans="2:8" x14ac:dyDescent="0.2">
      <c r="B418" s="1"/>
      <c r="C418" s="1"/>
      <c r="D418" s="1"/>
      <c r="E418" s="1"/>
      <c r="F418" s="1"/>
      <c r="G418" s="1"/>
      <c r="H418" s="1"/>
    </row>
    <row r="419" spans="2:8" x14ac:dyDescent="0.2">
      <c r="B419" s="1"/>
      <c r="C419" s="1"/>
      <c r="D419" s="1"/>
      <c r="E419" s="1"/>
      <c r="F419" s="1"/>
      <c r="G419" s="1"/>
      <c r="H419" s="1"/>
    </row>
    <row r="420" spans="2:8" x14ac:dyDescent="0.2">
      <c r="B420" s="1"/>
      <c r="C420" s="1"/>
      <c r="D420" s="1"/>
      <c r="E420" s="1"/>
      <c r="F420" s="1"/>
      <c r="G420" s="1"/>
      <c r="H420" s="1"/>
    </row>
    <row r="421" spans="2:8" x14ac:dyDescent="0.2">
      <c r="B421" s="1"/>
      <c r="C421" s="1"/>
      <c r="D421" s="1"/>
      <c r="E421" s="1"/>
      <c r="F421" s="1"/>
      <c r="G421" s="1"/>
      <c r="H421" s="1"/>
    </row>
    <row r="422" spans="2:8" x14ac:dyDescent="0.2">
      <c r="B422" s="1"/>
      <c r="C422" s="1"/>
      <c r="D422" s="1"/>
      <c r="E422" s="1"/>
      <c r="F422" s="1"/>
      <c r="G422" s="1"/>
      <c r="H422" s="1"/>
    </row>
    <row r="423" spans="2:8" x14ac:dyDescent="0.2">
      <c r="B423" s="1"/>
      <c r="C423" s="1"/>
      <c r="D423" s="1"/>
      <c r="E423" s="1"/>
      <c r="F423" s="1"/>
      <c r="G423" s="1"/>
      <c r="H423" s="1"/>
    </row>
    <row r="424" spans="2:8" x14ac:dyDescent="0.2">
      <c r="B424" s="1"/>
      <c r="C424" s="1"/>
      <c r="D424" s="1"/>
      <c r="E424" s="1"/>
      <c r="F424" s="1"/>
      <c r="G424" s="1"/>
      <c r="H424" s="1"/>
    </row>
    <row r="425" spans="2:8" x14ac:dyDescent="0.2">
      <c r="B425" s="1"/>
      <c r="C425" s="1"/>
      <c r="D425" s="1"/>
      <c r="E425" s="1"/>
      <c r="F425" s="1"/>
      <c r="G425" s="1"/>
      <c r="H425" s="1"/>
    </row>
    <row r="426" spans="2:8" x14ac:dyDescent="0.2">
      <c r="B426" s="1"/>
      <c r="C426" s="1"/>
      <c r="D426" s="1"/>
      <c r="E426" s="1"/>
      <c r="F426" s="1"/>
      <c r="G426" s="1"/>
      <c r="H426" s="1"/>
    </row>
    <row r="427" spans="2:8" x14ac:dyDescent="0.2">
      <c r="B427" s="1"/>
      <c r="C427" s="1"/>
      <c r="D427" s="1"/>
      <c r="E427" s="1"/>
      <c r="F427" s="1"/>
      <c r="G427" s="1"/>
      <c r="H427" s="1"/>
    </row>
    <row r="428" spans="2:8" x14ac:dyDescent="0.2">
      <c r="B428" s="1"/>
      <c r="C428" s="1"/>
      <c r="D428" s="1"/>
      <c r="E428" s="1"/>
      <c r="F428" s="1"/>
      <c r="G428" s="1"/>
      <c r="H428" s="1"/>
    </row>
    <row r="429" spans="2:8" x14ac:dyDescent="0.2">
      <c r="B429" s="1"/>
      <c r="C429" s="1"/>
      <c r="D429" s="1"/>
      <c r="E429" s="1"/>
      <c r="F429" s="1"/>
      <c r="G429" s="1"/>
      <c r="H429" s="1"/>
    </row>
    <row r="430" spans="2:8" x14ac:dyDescent="0.2">
      <c r="B430" s="1"/>
      <c r="C430" s="1"/>
      <c r="D430" s="1"/>
      <c r="E430" s="1"/>
      <c r="F430" s="1"/>
      <c r="G430" s="1"/>
      <c r="H430" s="1"/>
    </row>
    <row r="431" spans="2:8" x14ac:dyDescent="0.2">
      <c r="B431" s="1"/>
      <c r="C431" s="1"/>
      <c r="D431" s="1"/>
      <c r="E431" s="1"/>
      <c r="F431" s="1"/>
      <c r="G431" s="1"/>
      <c r="H431" s="1"/>
    </row>
    <row r="432" spans="2:8" x14ac:dyDescent="0.2">
      <c r="B432" s="1"/>
      <c r="C432" s="1"/>
      <c r="D432" s="1"/>
      <c r="E432" s="1"/>
      <c r="F432" s="1"/>
      <c r="G432" s="1"/>
      <c r="H432" s="1"/>
    </row>
    <row r="433" spans="2:8" x14ac:dyDescent="0.2">
      <c r="B433" s="1"/>
      <c r="C433" s="1"/>
      <c r="D433" s="1"/>
      <c r="E433" s="1"/>
      <c r="F433" s="1"/>
      <c r="G433" s="1"/>
      <c r="H433" s="1"/>
    </row>
    <row r="434" spans="2:8" x14ac:dyDescent="0.2">
      <c r="B434" s="1"/>
      <c r="C434" s="1"/>
      <c r="D434" s="1"/>
      <c r="E434" s="1"/>
      <c r="F434" s="1"/>
      <c r="G434" s="1"/>
      <c r="H434" s="1"/>
    </row>
    <row r="435" spans="2:8" x14ac:dyDescent="0.2">
      <c r="B435" s="1"/>
      <c r="C435" s="1"/>
      <c r="D435" s="1"/>
      <c r="E435" s="1"/>
      <c r="F435" s="1"/>
      <c r="G435" s="1"/>
      <c r="H435" s="1"/>
    </row>
    <row r="436" spans="2:8" x14ac:dyDescent="0.2">
      <c r="B436" s="1"/>
      <c r="C436" s="1"/>
      <c r="D436" s="1"/>
      <c r="E436" s="1"/>
      <c r="F436" s="1"/>
      <c r="G436" s="1"/>
      <c r="H436" s="1"/>
    </row>
    <row r="437" spans="2:8" x14ac:dyDescent="0.2">
      <c r="B437" s="1"/>
      <c r="C437" s="1"/>
      <c r="D437" s="1"/>
      <c r="E437" s="1"/>
      <c r="F437" s="1"/>
      <c r="G437" s="1"/>
      <c r="H437" s="1"/>
    </row>
    <row r="438" spans="2:8" x14ac:dyDescent="0.2">
      <c r="B438" s="1"/>
      <c r="C438" s="1"/>
      <c r="D438" s="1"/>
      <c r="E438" s="1"/>
      <c r="F438" s="1"/>
      <c r="G438" s="1"/>
      <c r="H438" s="1"/>
    </row>
    <row r="439" spans="2:8" x14ac:dyDescent="0.2">
      <c r="B439" s="1"/>
      <c r="C439" s="1"/>
      <c r="D439" s="1"/>
      <c r="E439" s="1"/>
      <c r="F439" s="1"/>
      <c r="G439" s="1"/>
      <c r="H439" s="1"/>
    </row>
    <row r="440" spans="2:8" x14ac:dyDescent="0.2">
      <c r="B440" s="1"/>
      <c r="C440" s="1"/>
      <c r="D440" s="1"/>
      <c r="E440" s="1"/>
      <c r="F440" s="1"/>
      <c r="G440" s="1"/>
      <c r="H440" s="1"/>
    </row>
    <row r="441" spans="2:8" x14ac:dyDescent="0.2">
      <c r="B441" s="1"/>
      <c r="C441" s="1"/>
      <c r="D441" s="1"/>
      <c r="E441" s="1"/>
      <c r="F441" s="1"/>
      <c r="G441" s="1"/>
      <c r="H441" s="1"/>
    </row>
    <row r="442" spans="2:8" x14ac:dyDescent="0.2">
      <c r="B442" s="1"/>
      <c r="C442" s="1"/>
      <c r="D442" s="1"/>
      <c r="E442" s="1"/>
      <c r="F442" s="1"/>
      <c r="G442" s="1"/>
      <c r="H442" s="1"/>
    </row>
    <row r="443" spans="2:8" x14ac:dyDescent="0.2">
      <c r="B443" s="1"/>
      <c r="C443" s="1"/>
      <c r="D443" s="1"/>
      <c r="E443" s="1"/>
      <c r="F443" s="1"/>
      <c r="G443" s="1"/>
      <c r="H443" s="1"/>
    </row>
    <row r="444" spans="2:8" x14ac:dyDescent="0.2">
      <c r="B444" s="1"/>
      <c r="C444" s="1"/>
      <c r="D444" s="1"/>
      <c r="E444" s="1"/>
      <c r="F444" s="1"/>
      <c r="G444" s="1"/>
      <c r="H444" s="1"/>
    </row>
    <row r="445" spans="2:8" x14ac:dyDescent="0.2">
      <c r="B445" s="1"/>
      <c r="C445" s="1"/>
      <c r="D445" s="1"/>
      <c r="E445" s="1"/>
      <c r="F445" s="1"/>
      <c r="G445" s="1"/>
      <c r="H445" s="1"/>
    </row>
    <row r="446" spans="2:8" x14ac:dyDescent="0.2">
      <c r="B446" s="1"/>
      <c r="C446" s="1"/>
      <c r="D446" s="1"/>
      <c r="E446" s="1"/>
      <c r="F446" s="1"/>
      <c r="G446" s="1"/>
      <c r="H446" s="1"/>
    </row>
    <row r="447" spans="2:8" x14ac:dyDescent="0.2">
      <c r="B447" s="1"/>
      <c r="C447" s="1"/>
      <c r="D447" s="1"/>
      <c r="E447" s="1"/>
      <c r="F447" s="1"/>
      <c r="G447" s="1"/>
      <c r="H447" s="1"/>
    </row>
    <row r="448" spans="2:8" x14ac:dyDescent="0.2">
      <c r="B448" s="1"/>
      <c r="C448" s="1"/>
      <c r="D448" s="1"/>
      <c r="E448" s="1"/>
      <c r="F448" s="1"/>
      <c r="G448" s="1"/>
      <c r="H448" s="1"/>
    </row>
    <row r="449" spans="2:8" x14ac:dyDescent="0.2">
      <c r="B449" s="1"/>
      <c r="C449" s="1"/>
      <c r="D449" s="1"/>
      <c r="E449" s="1"/>
      <c r="F449" s="1"/>
      <c r="G449" s="1"/>
      <c r="H449" s="1"/>
    </row>
    <row r="450" spans="2:8" x14ac:dyDescent="0.2">
      <c r="B450" s="1"/>
      <c r="C450" s="1"/>
      <c r="D450" s="1"/>
      <c r="E450" s="1"/>
      <c r="F450" s="1"/>
      <c r="G450" s="1"/>
      <c r="H450" s="1"/>
    </row>
    <row r="451" spans="2:8" x14ac:dyDescent="0.2">
      <c r="B451" s="1"/>
      <c r="C451" s="1"/>
      <c r="D451" s="1"/>
      <c r="E451" s="1"/>
      <c r="F451" s="1"/>
      <c r="G451" s="1"/>
      <c r="H451" s="1"/>
    </row>
    <row r="452" spans="2:8" x14ac:dyDescent="0.2">
      <c r="B452" s="1"/>
      <c r="C452" s="1"/>
      <c r="D452" s="1"/>
      <c r="E452" s="1"/>
      <c r="F452" s="1"/>
      <c r="G452" s="1"/>
      <c r="H452" s="1"/>
    </row>
    <row r="453" spans="2:8" x14ac:dyDescent="0.2">
      <c r="B453" s="1"/>
      <c r="C453" s="1"/>
      <c r="D453" s="1"/>
      <c r="E453" s="1"/>
      <c r="F453" s="1"/>
      <c r="G453" s="1"/>
      <c r="H453" s="1"/>
    </row>
    <row r="454" spans="2:8" x14ac:dyDescent="0.2">
      <c r="B454" s="1"/>
      <c r="C454" s="1"/>
      <c r="D454" s="1"/>
      <c r="E454" s="1"/>
      <c r="F454" s="1"/>
      <c r="G454" s="1"/>
      <c r="H454" s="1"/>
    </row>
    <row r="455" spans="2:8" x14ac:dyDescent="0.2">
      <c r="B455" s="1"/>
      <c r="C455" s="1"/>
      <c r="D455" s="1"/>
      <c r="E455" s="1"/>
      <c r="F455" s="1"/>
      <c r="G455" s="1"/>
      <c r="H455" s="1"/>
    </row>
    <row r="456" spans="2:8" x14ac:dyDescent="0.2">
      <c r="B456" s="1"/>
      <c r="C456" s="1"/>
      <c r="D456" s="1"/>
      <c r="E456" s="1"/>
      <c r="F456" s="1"/>
      <c r="G456" s="1"/>
      <c r="H456" s="1"/>
    </row>
    <row r="457" spans="2:8" x14ac:dyDescent="0.2">
      <c r="B457" s="1"/>
      <c r="C457" s="1"/>
      <c r="D457" s="1"/>
      <c r="E457" s="1"/>
      <c r="F457" s="1"/>
      <c r="G457" s="1"/>
      <c r="H457" s="1"/>
    </row>
    <row r="458" spans="2:8" x14ac:dyDescent="0.2">
      <c r="B458" s="1"/>
      <c r="C458" s="1"/>
      <c r="D458" s="1"/>
      <c r="E458" s="1"/>
      <c r="F458" s="1"/>
      <c r="G458" s="1"/>
      <c r="H458" s="1"/>
    </row>
    <row r="459" spans="2:8" x14ac:dyDescent="0.2">
      <c r="B459" s="1"/>
      <c r="C459" s="1"/>
      <c r="D459" s="1"/>
      <c r="E459" s="1"/>
      <c r="F459" s="1"/>
      <c r="G459" s="1"/>
      <c r="H459" s="1"/>
    </row>
    <row r="460" spans="2:8" x14ac:dyDescent="0.2">
      <c r="B460" s="1"/>
      <c r="C460" s="1"/>
      <c r="D460" s="1"/>
      <c r="E460" s="1"/>
      <c r="F460" s="1"/>
      <c r="G460" s="1"/>
      <c r="H460" s="1"/>
    </row>
    <row r="461" spans="2:8" x14ac:dyDescent="0.2">
      <c r="B461" s="1"/>
      <c r="C461" s="1"/>
      <c r="D461" s="1"/>
      <c r="E461" s="1"/>
      <c r="F461" s="1"/>
      <c r="G461" s="1"/>
      <c r="H461" s="1"/>
    </row>
    <row r="462" spans="2:8" x14ac:dyDescent="0.2">
      <c r="B462" s="1"/>
      <c r="C462" s="1"/>
      <c r="D462" s="1"/>
      <c r="E462" s="1"/>
      <c r="F462" s="1"/>
      <c r="G462" s="1"/>
      <c r="H462" s="1"/>
    </row>
    <row r="463" spans="2:8" x14ac:dyDescent="0.2">
      <c r="B463" s="1"/>
      <c r="C463" s="1"/>
      <c r="D463" s="1"/>
      <c r="E463" s="1"/>
      <c r="F463" s="1"/>
      <c r="G463" s="1"/>
      <c r="H463" s="1"/>
    </row>
    <row r="464" spans="2:8" x14ac:dyDescent="0.2">
      <c r="B464" s="1"/>
      <c r="C464" s="1"/>
      <c r="D464" s="1"/>
      <c r="E464" s="1"/>
      <c r="F464" s="1"/>
      <c r="G464" s="1"/>
      <c r="H464" s="1"/>
    </row>
    <row r="465" spans="2:8" x14ac:dyDescent="0.2">
      <c r="B465" s="1"/>
      <c r="C465" s="1"/>
      <c r="D465" s="1"/>
      <c r="E465" s="1"/>
      <c r="F465" s="1"/>
      <c r="G465" s="1"/>
      <c r="H465" s="1"/>
    </row>
    <row r="466" spans="2:8" x14ac:dyDescent="0.2">
      <c r="B466" s="1"/>
      <c r="C466" s="1"/>
      <c r="D466" s="1"/>
      <c r="E466" s="1"/>
      <c r="F466" s="1"/>
      <c r="G466" s="1"/>
      <c r="H466" s="1"/>
    </row>
    <row r="467" spans="2:8" x14ac:dyDescent="0.2">
      <c r="B467" s="1"/>
      <c r="C467" s="1"/>
      <c r="D467" s="1"/>
      <c r="E467" s="1"/>
      <c r="F467" s="1"/>
      <c r="G467" s="1"/>
      <c r="H467" s="1"/>
    </row>
    <row r="468" spans="2:8" x14ac:dyDescent="0.2">
      <c r="B468" s="1"/>
      <c r="C468" s="1"/>
      <c r="D468" s="1"/>
      <c r="E468" s="1"/>
      <c r="F468" s="1"/>
      <c r="G468" s="1"/>
      <c r="H468" s="1"/>
    </row>
    <row r="469" spans="2:8" x14ac:dyDescent="0.2">
      <c r="B469" s="1"/>
      <c r="C469" s="1"/>
      <c r="D469" s="1"/>
      <c r="E469" s="1"/>
      <c r="F469" s="1"/>
      <c r="G469" s="1"/>
      <c r="H469" s="1"/>
    </row>
    <row r="470" spans="2:8" x14ac:dyDescent="0.2">
      <c r="B470" s="1"/>
      <c r="C470" s="1"/>
      <c r="D470" s="1"/>
      <c r="E470" s="1"/>
      <c r="F470" s="1"/>
      <c r="G470" s="1"/>
      <c r="H470" s="1"/>
    </row>
    <row r="471" spans="2:8" x14ac:dyDescent="0.2">
      <c r="B471" s="1"/>
      <c r="C471" s="1"/>
      <c r="D471" s="1"/>
      <c r="E471" s="1"/>
      <c r="F471" s="1"/>
      <c r="G471" s="1"/>
      <c r="H471" s="1"/>
    </row>
    <row r="472" spans="2:8" x14ac:dyDescent="0.2">
      <c r="B472" s="1"/>
      <c r="C472" s="1"/>
      <c r="D472" s="1"/>
      <c r="E472" s="1"/>
      <c r="F472" s="1"/>
      <c r="G472" s="1"/>
      <c r="H472" s="1"/>
    </row>
    <row r="473" spans="2:8" x14ac:dyDescent="0.2">
      <c r="B473" s="1"/>
      <c r="C473" s="1"/>
      <c r="D473" s="1"/>
      <c r="E473" s="1"/>
      <c r="F473" s="1"/>
      <c r="G473" s="1"/>
      <c r="H473" s="1"/>
    </row>
    <row r="474" spans="2:8" x14ac:dyDescent="0.2">
      <c r="B474" s="1"/>
      <c r="C474" s="1"/>
      <c r="D474" s="1"/>
      <c r="E474" s="1"/>
      <c r="F474" s="1"/>
      <c r="G474" s="1"/>
      <c r="H474" s="1"/>
    </row>
    <row r="475" spans="2:8" x14ac:dyDescent="0.2">
      <c r="B475" s="1"/>
      <c r="C475" s="1"/>
      <c r="D475" s="1"/>
      <c r="E475" s="1"/>
      <c r="F475" s="1"/>
      <c r="G475" s="1"/>
      <c r="H475" s="1"/>
    </row>
    <row r="476" spans="2:8" x14ac:dyDescent="0.2">
      <c r="B476" s="1"/>
      <c r="C476" s="1"/>
      <c r="D476" s="1"/>
      <c r="E476" s="1"/>
      <c r="F476" s="1"/>
      <c r="G476" s="1"/>
      <c r="H476" s="1"/>
    </row>
    <row r="477" spans="2:8" x14ac:dyDescent="0.2">
      <c r="B477" s="1"/>
      <c r="C477" s="1"/>
      <c r="D477" s="1"/>
      <c r="E477" s="1"/>
      <c r="F477" s="1"/>
      <c r="G477" s="1"/>
      <c r="H477" s="1"/>
    </row>
    <row r="478" spans="2:8" x14ac:dyDescent="0.2">
      <c r="B478" s="1"/>
      <c r="C478" s="1"/>
      <c r="D478" s="1"/>
      <c r="E478" s="1"/>
      <c r="F478" s="1"/>
      <c r="G478" s="1"/>
      <c r="H478" s="1"/>
    </row>
    <row r="479" spans="2:8" x14ac:dyDescent="0.2">
      <c r="B479" s="1"/>
      <c r="C479" s="1"/>
      <c r="D479" s="1"/>
      <c r="E479" s="1"/>
      <c r="F479" s="1"/>
      <c r="G479" s="1"/>
      <c r="H479" s="1"/>
    </row>
    <row r="480" spans="2:8" x14ac:dyDescent="0.2">
      <c r="B480" s="1"/>
      <c r="C480" s="1"/>
      <c r="D480" s="1"/>
      <c r="E480" s="1"/>
      <c r="F480" s="1"/>
      <c r="G480" s="1"/>
      <c r="H480" s="1"/>
    </row>
    <row r="481" spans="2:8" x14ac:dyDescent="0.2">
      <c r="B481" s="1"/>
      <c r="C481" s="1"/>
      <c r="D481" s="1"/>
      <c r="E481" s="1"/>
      <c r="F481" s="1"/>
      <c r="G481" s="1"/>
      <c r="H481" s="1"/>
    </row>
    <row r="482" spans="2:8" x14ac:dyDescent="0.2">
      <c r="B482" s="1"/>
      <c r="C482" s="1"/>
      <c r="D482" s="1"/>
      <c r="E482" s="1"/>
      <c r="F482" s="1"/>
      <c r="G482" s="1"/>
      <c r="H482" s="1"/>
    </row>
    <row r="483" spans="2:8" x14ac:dyDescent="0.2">
      <c r="B483" s="1"/>
      <c r="C483" s="1"/>
      <c r="D483" s="1"/>
      <c r="E483" s="1"/>
      <c r="F483" s="1"/>
      <c r="G483" s="1"/>
      <c r="H483" s="1"/>
    </row>
    <row r="484" spans="2:8" x14ac:dyDescent="0.2">
      <c r="B484" s="1"/>
      <c r="C484" s="1"/>
      <c r="D484" s="1"/>
      <c r="E484" s="1"/>
      <c r="F484" s="1"/>
      <c r="G484" s="1"/>
      <c r="H484" s="1"/>
    </row>
    <row r="485" spans="2:8" x14ac:dyDescent="0.2">
      <c r="B485" s="1"/>
      <c r="C485" s="1"/>
      <c r="D485" s="1"/>
      <c r="E485" s="1"/>
      <c r="F485" s="1"/>
      <c r="G485" s="1"/>
      <c r="H485" s="1"/>
    </row>
    <row r="486" spans="2:8" x14ac:dyDescent="0.2">
      <c r="B486" s="1"/>
      <c r="C486" s="1"/>
      <c r="D486" s="1"/>
      <c r="E486" s="1"/>
      <c r="F486" s="1"/>
      <c r="G486" s="1"/>
      <c r="H486" s="1"/>
    </row>
    <row r="487" spans="2:8" x14ac:dyDescent="0.2">
      <c r="B487" s="1"/>
      <c r="C487" s="1"/>
      <c r="D487" s="1"/>
      <c r="E487" s="1"/>
      <c r="F487" s="1"/>
      <c r="G487" s="1"/>
      <c r="H487" s="1"/>
    </row>
    <row r="488" spans="2:8" x14ac:dyDescent="0.2">
      <c r="B488" s="1"/>
      <c r="C488" s="1"/>
      <c r="D488" s="1"/>
      <c r="E488" s="1"/>
      <c r="F488" s="1"/>
      <c r="G488" s="1"/>
      <c r="H488" s="1"/>
    </row>
    <row r="489" spans="2:8" x14ac:dyDescent="0.2">
      <c r="B489" s="1"/>
      <c r="C489" s="1"/>
      <c r="D489" s="1"/>
      <c r="E489" s="1"/>
      <c r="F489" s="1"/>
      <c r="G489" s="1"/>
      <c r="H489" s="1"/>
    </row>
    <row r="490" spans="2:8" x14ac:dyDescent="0.2">
      <c r="B490" s="1"/>
      <c r="C490" s="1"/>
      <c r="D490" s="1"/>
      <c r="E490" s="1"/>
      <c r="F490" s="1"/>
      <c r="G490" s="1"/>
      <c r="H490" s="1"/>
    </row>
    <row r="491" spans="2:8" x14ac:dyDescent="0.2">
      <c r="B491" s="1"/>
      <c r="C491" s="1"/>
      <c r="D491" s="1"/>
      <c r="E491" s="1"/>
      <c r="F491" s="1"/>
      <c r="G491" s="1"/>
      <c r="H491" s="1"/>
    </row>
    <row r="492" spans="2:8" x14ac:dyDescent="0.2">
      <c r="B492" s="1"/>
      <c r="C492" s="1"/>
      <c r="D492" s="1"/>
      <c r="E492" s="1"/>
      <c r="F492" s="1"/>
      <c r="G492" s="1"/>
      <c r="H492" s="1"/>
    </row>
    <row r="493" spans="2:8" x14ac:dyDescent="0.2">
      <c r="B493" s="1"/>
      <c r="C493" s="1"/>
      <c r="D493" s="1"/>
      <c r="E493" s="1"/>
      <c r="F493" s="1"/>
      <c r="G493" s="1"/>
      <c r="H493" s="1"/>
    </row>
    <row r="494" spans="2:8" x14ac:dyDescent="0.2">
      <c r="B494" s="1"/>
      <c r="C494" s="1"/>
      <c r="D494" s="1"/>
      <c r="E494" s="1"/>
      <c r="F494" s="1"/>
      <c r="G494" s="1"/>
      <c r="H494" s="1"/>
    </row>
    <row r="495" spans="2:8" x14ac:dyDescent="0.2">
      <c r="B495" s="1"/>
      <c r="C495" s="1"/>
      <c r="D495" s="1"/>
      <c r="E495" s="1"/>
      <c r="F495" s="1"/>
      <c r="G495" s="1"/>
      <c r="H495" s="1"/>
    </row>
    <row r="496" spans="2:8" x14ac:dyDescent="0.2">
      <c r="B496" s="1"/>
      <c r="C496" s="1"/>
      <c r="D496" s="1"/>
      <c r="E496" s="1"/>
      <c r="F496" s="1"/>
      <c r="G496" s="1"/>
      <c r="H496" s="1"/>
    </row>
    <row r="497" spans="2:8" x14ac:dyDescent="0.2">
      <c r="B497" s="1"/>
      <c r="C497" s="1"/>
      <c r="D497" s="1"/>
      <c r="E497" s="1"/>
      <c r="F497" s="1"/>
      <c r="G497" s="1"/>
      <c r="H497" s="1"/>
    </row>
    <row r="498" spans="2:8" x14ac:dyDescent="0.2">
      <c r="B498" s="1"/>
      <c r="C498" s="1"/>
      <c r="D498" s="1"/>
      <c r="E498" s="1"/>
      <c r="F498" s="1"/>
      <c r="G498" s="1"/>
      <c r="H498" s="1"/>
    </row>
    <row r="499" spans="2:8" x14ac:dyDescent="0.2">
      <c r="B499" s="1"/>
      <c r="C499" s="1"/>
      <c r="D499" s="1"/>
      <c r="E499" s="1"/>
      <c r="F499" s="1"/>
      <c r="G499" s="1"/>
      <c r="H499" s="1"/>
    </row>
    <row r="500" spans="2:8" x14ac:dyDescent="0.2">
      <c r="B500" s="1"/>
      <c r="C500" s="1"/>
      <c r="D500" s="1"/>
      <c r="E500" s="1"/>
      <c r="F500" s="1"/>
      <c r="G500" s="1"/>
      <c r="H500" s="1"/>
    </row>
    <row r="501" spans="2:8" x14ac:dyDescent="0.2">
      <c r="B501" s="1"/>
      <c r="C501" s="1"/>
      <c r="D501" s="1"/>
      <c r="E501" s="1"/>
      <c r="F501" s="1"/>
      <c r="G501" s="1"/>
      <c r="H501" s="1"/>
    </row>
    <row r="502" spans="2:8" x14ac:dyDescent="0.2">
      <c r="B502" s="1"/>
      <c r="C502" s="1"/>
      <c r="D502" s="1"/>
      <c r="E502" s="1"/>
      <c r="F502" s="1"/>
      <c r="G502" s="1"/>
      <c r="H502" s="1"/>
    </row>
    <row r="503" spans="2:8" x14ac:dyDescent="0.2">
      <c r="B503" s="1"/>
      <c r="C503" s="1"/>
      <c r="D503" s="1"/>
      <c r="E503" s="1"/>
      <c r="F503" s="1"/>
      <c r="G503" s="1"/>
      <c r="H503" s="1"/>
    </row>
    <row r="504" spans="2:8" x14ac:dyDescent="0.2">
      <c r="B504" s="1"/>
      <c r="C504" s="1"/>
      <c r="D504" s="1"/>
      <c r="E504" s="1"/>
      <c r="F504" s="1"/>
      <c r="G504" s="1"/>
      <c r="H504" s="1"/>
    </row>
    <row r="505" spans="2:8" x14ac:dyDescent="0.2">
      <c r="B505" s="1"/>
      <c r="C505" s="1"/>
      <c r="D505" s="1"/>
      <c r="E505" s="1"/>
      <c r="F505" s="1"/>
      <c r="G505" s="1"/>
      <c r="H505" s="1"/>
    </row>
    <row r="506" spans="2:8" x14ac:dyDescent="0.2">
      <c r="B506" s="1"/>
      <c r="C506" s="1"/>
      <c r="D506" s="1"/>
      <c r="E506" s="1"/>
      <c r="F506" s="1"/>
      <c r="G506" s="1"/>
      <c r="H506" s="1"/>
    </row>
    <row r="507" spans="2:8" x14ac:dyDescent="0.2">
      <c r="B507" s="1"/>
      <c r="C507" s="1"/>
      <c r="D507" s="1"/>
      <c r="E507" s="1"/>
      <c r="F507" s="1"/>
      <c r="G507" s="1"/>
      <c r="H507" s="1"/>
    </row>
    <row r="508" spans="2:8" x14ac:dyDescent="0.2">
      <c r="B508" s="1"/>
      <c r="C508" s="1"/>
      <c r="D508" s="1"/>
      <c r="E508" s="1"/>
      <c r="F508" s="1"/>
      <c r="G508" s="1"/>
      <c r="H508" s="1"/>
    </row>
    <row r="509" spans="2:8" x14ac:dyDescent="0.2">
      <c r="B509" s="1"/>
      <c r="C509" s="1"/>
      <c r="D509" s="1"/>
      <c r="E509" s="1"/>
      <c r="F509" s="1"/>
      <c r="G509" s="1"/>
      <c r="H509" s="1"/>
    </row>
    <row r="510" spans="2:8" x14ac:dyDescent="0.2">
      <c r="B510" s="1"/>
      <c r="C510" s="1"/>
      <c r="D510" s="1"/>
      <c r="E510" s="1"/>
      <c r="F510" s="1"/>
      <c r="G510" s="1"/>
      <c r="H510" s="1"/>
    </row>
    <row r="511" spans="2:8" x14ac:dyDescent="0.2">
      <c r="B511" s="1"/>
      <c r="C511" s="1"/>
      <c r="D511" s="1"/>
      <c r="E511" s="1"/>
      <c r="F511" s="1"/>
      <c r="G511" s="1"/>
      <c r="H511" s="1"/>
    </row>
    <row r="512" spans="2:8" x14ac:dyDescent="0.2">
      <c r="B512" s="1"/>
      <c r="C512" s="1"/>
      <c r="D512" s="1"/>
      <c r="E512" s="1"/>
      <c r="F512" s="1"/>
      <c r="G512" s="1"/>
      <c r="H512" s="1"/>
    </row>
    <row r="513" spans="2:8" x14ac:dyDescent="0.2">
      <c r="B513" s="1"/>
      <c r="C513" s="1"/>
      <c r="D513" s="1"/>
      <c r="E513" s="1"/>
      <c r="F513" s="1"/>
      <c r="G513" s="1"/>
      <c r="H513" s="1"/>
    </row>
    <row r="514" spans="2:8" x14ac:dyDescent="0.2">
      <c r="B514" s="1"/>
      <c r="C514" s="1"/>
      <c r="D514" s="1"/>
      <c r="E514" s="1"/>
      <c r="F514" s="1"/>
      <c r="G514" s="1"/>
      <c r="H514" s="1"/>
    </row>
    <row r="515" spans="2:8" x14ac:dyDescent="0.2">
      <c r="B515" s="1"/>
      <c r="C515" s="1"/>
      <c r="D515" s="1"/>
      <c r="E515" s="1"/>
      <c r="F515" s="1"/>
      <c r="G515" s="1"/>
      <c r="H515" s="1"/>
    </row>
    <row r="516" spans="2:8" x14ac:dyDescent="0.2">
      <c r="B516" s="1"/>
      <c r="C516" s="1"/>
      <c r="D516" s="1"/>
      <c r="E516" s="1"/>
      <c r="F516" s="1"/>
      <c r="G516" s="1"/>
      <c r="H516" s="1"/>
    </row>
    <row r="517" spans="2:8" x14ac:dyDescent="0.2">
      <c r="B517" s="1"/>
      <c r="C517" s="1"/>
      <c r="D517" s="1"/>
      <c r="E517" s="1"/>
      <c r="F517" s="1"/>
      <c r="G517" s="1"/>
      <c r="H517" s="1"/>
    </row>
    <row r="518" spans="2:8" x14ac:dyDescent="0.2">
      <c r="B518" s="1"/>
      <c r="C518" s="1"/>
      <c r="D518" s="1"/>
      <c r="E518" s="1"/>
      <c r="F518" s="1"/>
      <c r="G518" s="1"/>
      <c r="H518" s="1"/>
    </row>
    <row r="519" spans="2:8" x14ac:dyDescent="0.2">
      <c r="B519" s="1"/>
      <c r="C519" s="1"/>
      <c r="D519" s="1"/>
      <c r="E519" s="1"/>
      <c r="F519" s="1"/>
      <c r="G519" s="1"/>
      <c r="H519" s="1"/>
    </row>
    <row r="520" spans="2:8" x14ac:dyDescent="0.2">
      <c r="B520" s="1"/>
      <c r="C520" s="1"/>
      <c r="D520" s="1"/>
      <c r="E520" s="1"/>
      <c r="F520" s="1"/>
      <c r="G520" s="1"/>
      <c r="H520" s="1"/>
    </row>
    <row r="521" spans="2:8" x14ac:dyDescent="0.2">
      <c r="B521" s="1"/>
      <c r="C521" s="1"/>
      <c r="D521" s="1"/>
      <c r="E521" s="1"/>
      <c r="F521" s="1"/>
      <c r="G521" s="1"/>
      <c r="H521" s="1"/>
    </row>
    <row r="522" spans="2:8" x14ac:dyDescent="0.2">
      <c r="B522" s="1"/>
      <c r="C522" s="1"/>
      <c r="D522" s="1"/>
      <c r="E522" s="1"/>
      <c r="F522" s="1"/>
      <c r="G522" s="1"/>
      <c r="H522" s="1"/>
    </row>
    <row r="523" spans="2:8" x14ac:dyDescent="0.2">
      <c r="B523" s="1"/>
      <c r="C523" s="1"/>
      <c r="D523" s="1"/>
      <c r="E523" s="1"/>
      <c r="F523" s="1"/>
      <c r="G523" s="1"/>
      <c r="H523" s="1"/>
    </row>
    <row r="524" spans="2:8" x14ac:dyDescent="0.2">
      <c r="B524" s="1"/>
      <c r="C524" s="1"/>
      <c r="D524" s="1"/>
      <c r="E524" s="1"/>
      <c r="F524" s="1"/>
      <c r="G524" s="1"/>
      <c r="H524" s="1"/>
    </row>
    <row r="525" spans="2:8" x14ac:dyDescent="0.2">
      <c r="B525" s="1"/>
      <c r="C525" s="1"/>
      <c r="D525" s="1"/>
      <c r="E525" s="1"/>
      <c r="F525" s="1"/>
      <c r="G525" s="1"/>
      <c r="H525" s="1"/>
    </row>
    <row r="526" spans="2:8" x14ac:dyDescent="0.2">
      <c r="B526" s="1"/>
      <c r="C526" s="1"/>
      <c r="D526" s="1"/>
      <c r="E526" s="1"/>
      <c r="F526" s="1"/>
      <c r="G526" s="1"/>
      <c r="H526" s="1"/>
    </row>
    <row r="527" spans="2:8" x14ac:dyDescent="0.2">
      <c r="B527" s="1"/>
      <c r="C527" s="1"/>
      <c r="D527" s="1"/>
      <c r="E527" s="1"/>
      <c r="F527" s="1"/>
      <c r="G527" s="1"/>
      <c r="H527" s="1"/>
    </row>
    <row r="528" spans="2:8" x14ac:dyDescent="0.2">
      <c r="B528" s="1"/>
      <c r="C528" s="1"/>
      <c r="D528" s="1"/>
      <c r="E528" s="1"/>
      <c r="F528" s="1"/>
      <c r="G528" s="1"/>
      <c r="H528" s="1"/>
    </row>
    <row r="529" spans="2:8" x14ac:dyDescent="0.2">
      <c r="B529" s="1"/>
      <c r="C529" s="1"/>
      <c r="D529" s="1"/>
      <c r="E529" s="1"/>
      <c r="F529" s="1"/>
      <c r="G529" s="1"/>
      <c r="H529" s="1"/>
    </row>
    <row r="530" spans="2:8" x14ac:dyDescent="0.2">
      <c r="B530" s="1"/>
      <c r="C530" s="1"/>
      <c r="D530" s="1"/>
      <c r="E530" s="1"/>
      <c r="F530" s="1"/>
      <c r="G530" s="1"/>
      <c r="H530" s="1"/>
    </row>
    <row r="531" spans="2:8" x14ac:dyDescent="0.2">
      <c r="B531" s="1"/>
      <c r="C531" s="1"/>
      <c r="D531" s="1"/>
      <c r="E531" s="1"/>
      <c r="F531" s="1"/>
      <c r="G531" s="1"/>
      <c r="H531" s="1"/>
    </row>
    <row r="532" spans="2:8" x14ac:dyDescent="0.2">
      <c r="B532" s="1"/>
      <c r="C532" s="1"/>
      <c r="D532" s="1"/>
      <c r="E532" s="1"/>
      <c r="F532" s="1"/>
      <c r="G532" s="1"/>
      <c r="H532" s="1"/>
    </row>
    <row r="533" spans="2:8" x14ac:dyDescent="0.2">
      <c r="B533" s="1"/>
      <c r="C533" s="1"/>
      <c r="D533" s="1"/>
      <c r="E533" s="1"/>
      <c r="F533" s="1"/>
      <c r="G533" s="1"/>
      <c r="H533" s="1"/>
    </row>
    <row r="534" spans="2:8" x14ac:dyDescent="0.2">
      <c r="B534" s="1"/>
      <c r="C534" s="1"/>
      <c r="D534" s="1"/>
      <c r="E534" s="1"/>
      <c r="F534" s="1"/>
      <c r="G534" s="1"/>
      <c r="H534" s="1"/>
    </row>
    <row r="535" spans="2:8" x14ac:dyDescent="0.2">
      <c r="B535" s="1"/>
      <c r="C535" s="1"/>
      <c r="D535" s="1"/>
      <c r="E535" s="1"/>
      <c r="F535" s="1"/>
      <c r="G535" s="1"/>
      <c r="H535" s="1"/>
    </row>
    <row r="536" spans="2:8" x14ac:dyDescent="0.2">
      <c r="B536" s="1"/>
      <c r="C536" s="1"/>
      <c r="D536" s="1"/>
      <c r="E536" s="1"/>
      <c r="F536" s="1"/>
      <c r="G536" s="1"/>
      <c r="H536" s="1"/>
    </row>
    <row r="537" spans="2:8" x14ac:dyDescent="0.2">
      <c r="B537" s="1"/>
      <c r="C537" s="1"/>
      <c r="D537" s="1"/>
      <c r="E537" s="1"/>
      <c r="F537" s="1"/>
      <c r="G537" s="1"/>
      <c r="H537" s="1"/>
    </row>
    <row r="538" spans="2:8" x14ac:dyDescent="0.2">
      <c r="B538" s="1"/>
      <c r="C538" s="1"/>
      <c r="D538" s="1"/>
      <c r="E538" s="1"/>
      <c r="F538" s="1"/>
      <c r="G538" s="1"/>
      <c r="H538" s="1"/>
    </row>
    <row r="539" spans="2:8" x14ac:dyDescent="0.2">
      <c r="B539" s="1"/>
      <c r="C539" s="1"/>
      <c r="D539" s="1"/>
      <c r="E539" s="1"/>
      <c r="F539" s="1"/>
      <c r="G539" s="1"/>
      <c r="H539" s="1"/>
    </row>
    <row r="540" spans="2:8" x14ac:dyDescent="0.2">
      <c r="B540" s="1"/>
      <c r="C540" s="1"/>
      <c r="D540" s="1"/>
      <c r="E540" s="1"/>
      <c r="F540" s="1"/>
      <c r="G540" s="1"/>
      <c r="H540" s="1"/>
    </row>
    <row r="541" spans="2:8" x14ac:dyDescent="0.2">
      <c r="B541" s="1"/>
      <c r="C541" s="1"/>
      <c r="D541" s="1"/>
      <c r="E541" s="1"/>
      <c r="F541" s="1"/>
      <c r="G541" s="1"/>
      <c r="H541" s="1"/>
    </row>
    <row r="542" spans="2:8" x14ac:dyDescent="0.2">
      <c r="B542" s="1"/>
      <c r="C542" s="1"/>
      <c r="D542" s="1"/>
      <c r="E542" s="1"/>
      <c r="F542" s="1"/>
      <c r="G542" s="1"/>
      <c r="H542" s="1"/>
    </row>
    <row r="543" spans="2:8" x14ac:dyDescent="0.2">
      <c r="B543" s="1"/>
      <c r="C543" s="1"/>
      <c r="D543" s="1"/>
      <c r="E543" s="1"/>
      <c r="F543" s="1"/>
      <c r="G543" s="1"/>
      <c r="H543" s="1"/>
    </row>
    <row r="544" spans="2:8" x14ac:dyDescent="0.2">
      <c r="B544" s="1"/>
      <c r="C544" s="1"/>
      <c r="D544" s="1"/>
      <c r="E544" s="1"/>
      <c r="F544" s="1"/>
      <c r="G544" s="1"/>
      <c r="H544" s="1"/>
    </row>
    <row r="545" spans="2:8" x14ac:dyDescent="0.2">
      <c r="B545" s="1"/>
      <c r="C545" s="1"/>
      <c r="D545" s="1"/>
      <c r="E545" s="1"/>
      <c r="F545" s="1"/>
      <c r="G545" s="1"/>
      <c r="H545" s="1"/>
    </row>
    <row r="546" spans="2:8" x14ac:dyDescent="0.2">
      <c r="B546" s="1"/>
      <c r="C546" s="1"/>
      <c r="D546" s="1"/>
      <c r="E546" s="1"/>
      <c r="F546" s="1"/>
      <c r="G546" s="1"/>
      <c r="H546" s="1"/>
    </row>
    <row r="547" spans="2:8" x14ac:dyDescent="0.2">
      <c r="B547" s="1"/>
      <c r="C547" s="1"/>
      <c r="D547" s="1"/>
      <c r="E547" s="1"/>
      <c r="F547" s="1"/>
      <c r="G547" s="1"/>
      <c r="H547" s="1"/>
    </row>
    <row r="548" spans="2:8" x14ac:dyDescent="0.2">
      <c r="B548" s="1"/>
      <c r="C548" s="1"/>
      <c r="D548" s="1"/>
      <c r="E548" s="1"/>
      <c r="F548" s="1"/>
      <c r="G548" s="1"/>
      <c r="H548" s="1"/>
    </row>
    <row r="549" spans="2:8" x14ac:dyDescent="0.2">
      <c r="B549" s="1"/>
      <c r="C549" s="1"/>
      <c r="D549" s="1"/>
      <c r="E549" s="1"/>
      <c r="F549" s="1"/>
      <c r="G549" s="1"/>
      <c r="H549" s="1"/>
    </row>
    <row r="550" spans="2:8" x14ac:dyDescent="0.2">
      <c r="B550" s="1"/>
      <c r="C550" s="1"/>
      <c r="D550" s="1"/>
      <c r="E550" s="1"/>
      <c r="F550" s="1"/>
      <c r="G550" s="1"/>
      <c r="H550" s="1"/>
    </row>
    <row r="551" spans="2:8" x14ac:dyDescent="0.2">
      <c r="B551" s="1"/>
      <c r="C551" s="1"/>
      <c r="D551" s="1"/>
      <c r="E551" s="1"/>
      <c r="F551" s="1"/>
      <c r="G551" s="1"/>
      <c r="H551" s="1"/>
    </row>
    <row r="552" spans="2:8" x14ac:dyDescent="0.2">
      <c r="B552" s="1"/>
      <c r="C552" s="1"/>
      <c r="D552" s="1"/>
      <c r="E552" s="1"/>
      <c r="F552" s="1"/>
      <c r="G552" s="1"/>
      <c r="H552" s="1"/>
    </row>
    <row r="553" spans="2:8" x14ac:dyDescent="0.2">
      <c r="B553" s="1"/>
      <c r="C553" s="1"/>
      <c r="D553" s="1"/>
      <c r="E553" s="1"/>
      <c r="F553" s="1"/>
      <c r="G553" s="1"/>
      <c r="H553" s="1"/>
    </row>
    <row r="554" spans="2:8" x14ac:dyDescent="0.2">
      <c r="B554" s="1"/>
      <c r="C554" s="1"/>
      <c r="D554" s="1"/>
      <c r="E554" s="1"/>
      <c r="F554" s="1"/>
      <c r="G554" s="1"/>
      <c r="H554" s="1"/>
    </row>
    <row r="555" spans="2:8" x14ac:dyDescent="0.2">
      <c r="B555" s="1"/>
      <c r="C555" s="1"/>
      <c r="D555" s="1"/>
      <c r="E555" s="1"/>
      <c r="F555" s="1"/>
      <c r="G555" s="1"/>
      <c r="H555" s="1"/>
    </row>
    <row r="556" spans="2:8" x14ac:dyDescent="0.2">
      <c r="B556" s="1"/>
      <c r="C556" s="1"/>
      <c r="D556" s="1"/>
      <c r="E556" s="1"/>
      <c r="F556" s="1"/>
      <c r="G556" s="1"/>
      <c r="H556" s="1"/>
    </row>
    <row r="557" spans="2:8" x14ac:dyDescent="0.2">
      <c r="B557" s="1"/>
      <c r="C557" s="1"/>
      <c r="D557" s="1"/>
      <c r="E557" s="1"/>
      <c r="F557" s="1"/>
      <c r="G557" s="1"/>
      <c r="H557" s="1"/>
    </row>
    <row r="558" spans="2:8" x14ac:dyDescent="0.2">
      <c r="B558" s="1"/>
      <c r="C558" s="1"/>
      <c r="D558" s="1"/>
      <c r="E558" s="1"/>
      <c r="F558" s="1"/>
      <c r="G558" s="1"/>
      <c r="H558" s="1"/>
    </row>
    <row r="559" spans="2:8" x14ac:dyDescent="0.2">
      <c r="B559" s="1"/>
      <c r="C559" s="1"/>
      <c r="D559" s="1"/>
      <c r="E559" s="1"/>
      <c r="F559" s="1"/>
      <c r="G559" s="1"/>
      <c r="H559" s="1"/>
    </row>
    <row r="560" spans="2:8" x14ac:dyDescent="0.2">
      <c r="B560" s="1"/>
      <c r="C560" s="1"/>
      <c r="D560" s="1"/>
      <c r="E560" s="1"/>
      <c r="F560" s="1"/>
      <c r="G560" s="1"/>
      <c r="H560" s="1"/>
    </row>
    <row r="561" spans="2:8" x14ac:dyDescent="0.2">
      <c r="B561" s="1"/>
      <c r="C561" s="1"/>
      <c r="D561" s="1"/>
      <c r="E561" s="1"/>
      <c r="F561" s="1"/>
      <c r="G561" s="1"/>
      <c r="H561" s="1"/>
    </row>
    <row r="562" spans="2:8" x14ac:dyDescent="0.2">
      <c r="B562" s="1"/>
      <c r="C562" s="1"/>
      <c r="D562" s="1"/>
      <c r="E562" s="1"/>
      <c r="F562" s="1"/>
      <c r="G562" s="1"/>
      <c r="H562" s="1"/>
    </row>
    <row r="563" spans="2:8" x14ac:dyDescent="0.2">
      <c r="B563" s="1"/>
      <c r="C563" s="1"/>
      <c r="D563" s="1"/>
      <c r="E563" s="1"/>
      <c r="F563" s="1"/>
      <c r="G563" s="1"/>
      <c r="H563" s="1"/>
    </row>
    <row r="564" spans="2:8" x14ac:dyDescent="0.2">
      <c r="B564" s="1"/>
      <c r="C564" s="1"/>
      <c r="D564" s="1"/>
      <c r="E564" s="1"/>
      <c r="F564" s="1"/>
      <c r="G564" s="1"/>
      <c r="H564" s="1"/>
    </row>
    <row r="565" spans="2:8" x14ac:dyDescent="0.2">
      <c r="B565" s="1"/>
      <c r="C565" s="1"/>
      <c r="D565" s="1"/>
      <c r="E565" s="1"/>
      <c r="F565" s="1"/>
      <c r="G565" s="1"/>
      <c r="H565" s="1"/>
    </row>
    <row r="566" spans="2:8" x14ac:dyDescent="0.2">
      <c r="B566" s="1"/>
      <c r="C566" s="1"/>
      <c r="D566" s="1"/>
      <c r="E566" s="1"/>
      <c r="F566" s="1"/>
      <c r="G566" s="1"/>
      <c r="H566" s="1"/>
    </row>
    <row r="567" spans="2:8" x14ac:dyDescent="0.2">
      <c r="B567" s="1"/>
      <c r="C567" s="1"/>
      <c r="D567" s="1"/>
      <c r="E567" s="1"/>
      <c r="F567" s="1"/>
      <c r="G567" s="1"/>
      <c r="H567" s="1"/>
    </row>
    <row r="568" spans="2:8" x14ac:dyDescent="0.2">
      <c r="B568" s="1"/>
      <c r="C568" s="1"/>
      <c r="D568" s="1"/>
      <c r="E568" s="1"/>
      <c r="F568" s="1"/>
      <c r="G568" s="1"/>
      <c r="H568" s="1"/>
    </row>
    <row r="569" spans="2:8" x14ac:dyDescent="0.2">
      <c r="B569" s="1"/>
      <c r="C569" s="1"/>
      <c r="D569" s="1"/>
      <c r="E569" s="1"/>
      <c r="F569" s="1"/>
      <c r="G569" s="1"/>
      <c r="H569" s="1"/>
    </row>
    <row r="570" spans="2:8" x14ac:dyDescent="0.2">
      <c r="B570" s="1"/>
      <c r="C570" s="1"/>
      <c r="D570" s="1"/>
      <c r="E570" s="1"/>
      <c r="F570" s="1"/>
      <c r="G570" s="1"/>
      <c r="H570" s="1"/>
    </row>
    <row r="571" spans="2:8" x14ac:dyDescent="0.2">
      <c r="B571" s="1"/>
      <c r="C571" s="1"/>
      <c r="D571" s="1"/>
      <c r="E571" s="1"/>
      <c r="F571" s="1"/>
      <c r="G571" s="1"/>
      <c r="H571" s="1"/>
    </row>
    <row r="572" spans="2:8" x14ac:dyDescent="0.2">
      <c r="B572" s="1"/>
      <c r="C572" s="1"/>
      <c r="D572" s="1"/>
      <c r="E572" s="1"/>
      <c r="F572" s="1"/>
      <c r="G572" s="1"/>
      <c r="H572" s="1"/>
    </row>
    <row r="573" spans="2:8" x14ac:dyDescent="0.2">
      <c r="B573" s="1"/>
      <c r="C573" s="1"/>
      <c r="D573" s="1"/>
      <c r="E573" s="1"/>
      <c r="F573" s="1"/>
      <c r="G573" s="1"/>
      <c r="H573" s="1"/>
    </row>
    <row r="574" spans="2:8" x14ac:dyDescent="0.2">
      <c r="B574" s="1"/>
      <c r="C574" s="1"/>
      <c r="D574" s="1"/>
      <c r="E574" s="1"/>
      <c r="F574" s="1"/>
      <c r="G574" s="1"/>
      <c r="H574" s="1"/>
    </row>
    <row r="575" spans="2:8" x14ac:dyDescent="0.2">
      <c r="B575" s="1"/>
      <c r="C575" s="1"/>
      <c r="D575" s="1"/>
      <c r="E575" s="1"/>
      <c r="F575" s="1"/>
      <c r="G575" s="1"/>
      <c r="H575" s="1"/>
    </row>
    <row r="576" spans="2:8" x14ac:dyDescent="0.2">
      <c r="B576" s="1"/>
      <c r="C576" s="1"/>
      <c r="D576" s="1"/>
      <c r="E576" s="1"/>
      <c r="F576" s="1"/>
      <c r="G576" s="1"/>
      <c r="H576" s="1"/>
    </row>
    <row r="577" spans="2:8" x14ac:dyDescent="0.2">
      <c r="B577" s="1"/>
      <c r="C577" s="1"/>
      <c r="D577" s="1"/>
      <c r="E577" s="1"/>
      <c r="F577" s="1"/>
      <c r="G577" s="1"/>
      <c r="H577" s="1"/>
    </row>
    <row r="578" spans="2:8" x14ac:dyDescent="0.2">
      <c r="B578" s="1"/>
      <c r="C578" s="1"/>
      <c r="D578" s="1"/>
      <c r="E578" s="1"/>
      <c r="F578" s="1"/>
      <c r="G578" s="1"/>
      <c r="H578" s="1"/>
    </row>
    <row r="579" spans="2:8" x14ac:dyDescent="0.2">
      <c r="B579" s="1"/>
      <c r="C579" s="1"/>
      <c r="D579" s="1"/>
      <c r="E579" s="1"/>
      <c r="F579" s="1"/>
      <c r="G579" s="1"/>
      <c r="H579" s="1"/>
    </row>
    <row r="580" spans="2:8" x14ac:dyDescent="0.2">
      <c r="B580" s="1"/>
      <c r="C580" s="1"/>
      <c r="D580" s="1"/>
      <c r="E580" s="1"/>
      <c r="F580" s="1"/>
      <c r="G580" s="1"/>
      <c r="H580" s="1"/>
    </row>
    <row r="581" spans="2:8" x14ac:dyDescent="0.2">
      <c r="B581" s="1"/>
      <c r="C581" s="1"/>
      <c r="D581" s="1"/>
      <c r="E581" s="1"/>
      <c r="F581" s="1"/>
      <c r="G581" s="1"/>
      <c r="H581" s="1"/>
    </row>
    <row r="582" spans="2:8" x14ac:dyDescent="0.2">
      <c r="B582" s="1"/>
      <c r="C582" s="1"/>
      <c r="D582" s="1"/>
      <c r="E582" s="1"/>
      <c r="F582" s="1"/>
      <c r="G582" s="1"/>
      <c r="H582" s="1"/>
    </row>
    <row r="583" spans="2:8" x14ac:dyDescent="0.2">
      <c r="B583" s="1"/>
      <c r="C583" s="1"/>
      <c r="D583" s="1"/>
      <c r="E583" s="1"/>
      <c r="F583" s="1"/>
      <c r="G583" s="1"/>
      <c r="H583" s="1"/>
    </row>
    <row r="584" spans="2:8" x14ac:dyDescent="0.2">
      <c r="B584" s="1"/>
      <c r="C584" s="1"/>
      <c r="D584" s="1"/>
      <c r="E584" s="1"/>
      <c r="F584" s="1"/>
      <c r="G584" s="1"/>
      <c r="H584" s="1"/>
    </row>
    <row r="585" spans="2:8" x14ac:dyDescent="0.2">
      <c r="B585" s="1"/>
      <c r="C585" s="1"/>
      <c r="D585" s="1"/>
      <c r="E585" s="1"/>
      <c r="F585" s="1"/>
      <c r="G585" s="1"/>
      <c r="H585" s="1"/>
    </row>
    <row r="586" spans="2:8" x14ac:dyDescent="0.2">
      <c r="B586" s="1"/>
      <c r="C586" s="1"/>
      <c r="D586" s="1"/>
      <c r="E586" s="1"/>
      <c r="F586" s="1"/>
      <c r="G586" s="1"/>
      <c r="H586" s="1"/>
    </row>
    <row r="587" spans="2:8" x14ac:dyDescent="0.2">
      <c r="B587" s="1"/>
      <c r="C587" s="1"/>
      <c r="D587" s="1"/>
      <c r="E587" s="1"/>
      <c r="F587" s="1"/>
      <c r="G587" s="1"/>
      <c r="H587" s="1"/>
    </row>
    <row r="588" spans="2:8" x14ac:dyDescent="0.2">
      <c r="B588" s="1"/>
      <c r="C588" s="1"/>
      <c r="D588" s="1"/>
      <c r="E588" s="1"/>
      <c r="F588" s="1"/>
      <c r="G588" s="1"/>
      <c r="H588" s="1"/>
    </row>
    <row r="589" spans="2:8" x14ac:dyDescent="0.2">
      <c r="B589" s="1"/>
      <c r="C589" s="1"/>
      <c r="D589" s="1"/>
      <c r="E589" s="1"/>
      <c r="F589" s="1"/>
      <c r="G589" s="1"/>
      <c r="H589" s="1"/>
    </row>
    <row r="590" spans="2:8" x14ac:dyDescent="0.2">
      <c r="B590" s="1"/>
      <c r="C590" s="1"/>
      <c r="D590" s="1"/>
      <c r="E590" s="1"/>
      <c r="F590" s="1"/>
      <c r="G590" s="1"/>
      <c r="H590" s="1"/>
    </row>
    <row r="591" spans="2:8" x14ac:dyDescent="0.2">
      <c r="B591" s="1"/>
      <c r="C591" s="1"/>
      <c r="D591" s="1"/>
      <c r="E591" s="1"/>
      <c r="F591" s="1"/>
      <c r="G591" s="1"/>
      <c r="H591" s="1"/>
    </row>
    <row r="592" spans="2:8" x14ac:dyDescent="0.2">
      <c r="B592" s="1"/>
      <c r="C592" s="1"/>
      <c r="D592" s="1"/>
      <c r="E592" s="1"/>
      <c r="F592" s="1"/>
      <c r="G592" s="1"/>
      <c r="H592" s="1"/>
    </row>
    <row r="593" spans="2:8" x14ac:dyDescent="0.2">
      <c r="B593" s="1"/>
      <c r="C593" s="1"/>
      <c r="D593" s="1"/>
      <c r="E593" s="1"/>
      <c r="F593" s="1"/>
      <c r="G593" s="1"/>
      <c r="H593" s="1"/>
    </row>
    <row r="594" spans="2:8" x14ac:dyDescent="0.2">
      <c r="B594" s="1"/>
      <c r="C594" s="1"/>
      <c r="D594" s="1"/>
      <c r="E594" s="1"/>
      <c r="F594" s="1"/>
      <c r="G594" s="1"/>
      <c r="H594" s="1"/>
    </row>
    <row r="595" spans="2:8" x14ac:dyDescent="0.2">
      <c r="B595" s="1"/>
      <c r="C595" s="1"/>
      <c r="D595" s="1"/>
      <c r="E595" s="1"/>
      <c r="F595" s="1"/>
      <c r="G595" s="1"/>
      <c r="H595" s="1"/>
    </row>
    <row r="596" spans="2:8" x14ac:dyDescent="0.2">
      <c r="B596" s="1"/>
      <c r="C596" s="1"/>
      <c r="D596" s="1"/>
      <c r="E596" s="1"/>
      <c r="F596" s="1"/>
      <c r="G596" s="1"/>
      <c r="H596" s="1"/>
    </row>
    <row r="597" spans="2:8" x14ac:dyDescent="0.2">
      <c r="B597" s="1"/>
      <c r="C597" s="1"/>
      <c r="D597" s="1"/>
      <c r="E597" s="1"/>
      <c r="F597" s="1"/>
      <c r="G597" s="1"/>
      <c r="H597" s="1"/>
    </row>
    <row r="598" spans="2:8" x14ac:dyDescent="0.2">
      <c r="B598" s="1"/>
      <c r="C598" s="1"/>
      <c r="D598" s="1"/>
      <c r="E598" s="1"/>
      <c r="F598" s="1"/>
      <c r="G598" s="1"/>
      <c r="H598" s="1"/>
    </row>
    <row r="599" spans="2:8" x14ac:dyDescent="0.2">
      <c r="B599" s="1"/>
      <c r="C599" s="1"/>
      <c r="D599" s="1"/>
      <c r="E599" s="1"/>
      <c r="F599" s="1"/>
      <c r="G599" s="1"/>
      <c r="H599" s="1"/>
    </row>
    <row r="600" spans="2:8" x14ac:dyDescent="0.2">
      <c r="B600" s="1"/>
      <c r="C600" s="1"/>
      <c r="D600" s="1"/>
      <c r="E600" s="1"/>
      <c r="F600" s="1"/>
      <c r="G600" s="1"/>
      <c r="H600" s="1"/>
    </row>
    <row r="601" spans="2:8" x14ac:dyDescent="0.2">
      <c r="B601" s="1"/>
      <c r="C601" s="1"/>
      <c r="D601" s="1"/>
      <c r="E601" s="1"/>
      <c r="F601" s="1"/>
      <c r="G601" s="1"/>
      <c r="H601" s="1"/>
    </row>
    <row r="602" spans="2:8" x14ac:dyDescent="0.2">
      <c r="B602" s="1"/>
      <c r="C602" s="1"/>
      <c r="D602" s="1"/>
      <c r="E602" s="1"/>
      <c r="F602" s="1"/>
      <c r="G602" s="1"/>
      <c r="H602" s="1"/>
    </row>
    <row r="603" spans="2:8" x14ac:dyDescent="0.2">
      <c r="B603" s="1"/>
      <c r="C603" s="1"/>
      <c r="D603" s="1"/>
      <c r="E603" s="1"/>
      <c r="F603" s="1"/>
      <c r="G603" s="1"/>
      <c r="H603" s="1"/>
    </row>
    <row r="604" spans="2:8" x14ac:dyDescent="0.2">
      <c r="B604" s="1"/>
      <c r="C604" s="1"/>
      <c r="D604" s="1"/>
      <c r="E604" s="1"/>
      <c r="F604" s="1"/>
      <c r="G604" s="1"/>
      <c r="H604" s="1"/>
    </row>
    <row r="605" spans="2:8" x14ac:dyDescent="0.2">
      <c r="B605" s="1"/>
      <c r="C605" s="1"/>
      <c r="D605" s="1"/>
      <c r="E605" s="1"/>
      <c r="F605" s="1"/>
      <c r="G605" s="1"/>
      <c r="H605" s="1"/>
    </row>
    <row r="606" spans="2:8" x14ac:dyDescent="0.2">
      <c r="B606" s="1"/>
      <c r="C606" s="1"/>
      <c r="D606" s="1"/>
      <c r="E606" s="1"/>
      <c r="F606" s="1"/>
      <c r="G606" s="1"/>
      <c r="H606" s="1"/>
    </row>
    <row r="607" spans="2:8" x14ac:dyDescent="0.2">
      <c r="B607" s="1"/>
      <c r="C607" s="1"/>
      <c r="D607" s="1"/>
      <c r="E607" s="1"/>
      <c r="F607" s="1"/>
      <c r="G607" s="1"/>
      <c r="H607" s="1"/>
    </row>
    <row r="608" spans="2:8" x14ac:dyDescent="0.2">
      <c r="B608" s="1"/>
      <c r="C608" s="1"/>
      <c r="D608" s="1"/>
      <c r="E608" s="1"/>
      <c r="F608" s="1"/>
      <c r="G608" s="1"/>
      <c r="H608" s="1"/>
    </row>
    <row r="609" spans="2:8" x14ac:dyDescent="0.2">
      <c r="B609" s="1"/>
      <c r="C609" s="1"/>
      <c r="D609" s="1"/>
      <c r="E609" s="1"/>
      <c r="F609" s="1"/>
      <c r="G609" s="1"/>
      <c r="H609" s="1"/>
    </row>
    <row r="610" spans="2:8" x14ac:dyDescent="0.2">
      <c r="B610" s="1"/>
      <c r="C610" s="1"/>
      <c r="D610" s="1"/>
      <c r="E610" s="1"/>
      <c r="F610" s="1"/>
      <c r="G610" s="1"/>
      <c r="H610" s="1"/>
    </row>
    <row r="611" spans="2:8" x14ac:dyDescent="0.2">
      <c r="B611" s="1"/>
      <c r="C611" s="1"/>
      <c r="D611" s="1"/>
      <c r="E611" s="1"/>
      <c r="F611" s="1"/>
      <c r="G611" s="1"/>
      <c r="H611" s="1"/>
    </row>
    <row r="612" spans="2:8" x14ac:dyDescent="0.2">
      <c r="B612" s="1"/>
      <c r="C612" s="1"/>
      <c r="D612" s="1"/>
      <c r="E612" s="1"/>
      <c r="F612" s="1"/>
      <c r="G612" s="1"/>
      <c r="H612" s="1"/>
    </row>
    <row r="613" spans="2:8" x14ac:dyDescent="0.2">
      <c r="B613" s="1"/>
      <c r="C613" s="1"/>
      <c r="D613" s="1"/>
      <c r="E613" s="1"/>
      <c r="F613" s="1"/>
      <c r="G613" s="1"/>
      <c r="H613" s="1"/>
    </row>
    <row r="614" spans="2:8" x14ac:dyDescent="0.2">
      <c r="B614" s="1"/>
      <c r="C614" s="1"/>
      <c r="D614" s="1"/>
      <c r="E614" s="1"/>
      <c r="F614" s="1"/>
      <c r="G614" s="1"/>
      <c r="H614" s="1"/>
    </row>
    <row r="615" spans="2:8" x14ac:dyDescent="0.2">
      <c r="B615" s="1"/>
      <c r="C615" s="1"/>
      <c r="D615" s="1"/>
      <c r="E615" s="1"/>
      <c r="F615" s="1"/>
      <c r="G615" s="1"/>
      <c r="H615" s="1"/>
    </row>
    <row r="616" spans="2:8" x14ac:dyDescent="0.2">
      <c r="B616" s="1"/>
      <c r="C616" s="1"/>
      <c r="D616" s="1"/>
      <c r="E616" s="1"/>
      <c r="F616" s="1"/>
      <c r="G616" s="1"/>
      <c r="H616" s="1"/>
    </row>
    <row r="617" spans="2:8" x14ac:dyDescent="0.2">
      <c r="B617" s="1"/>
      <c r="C617" s="1"/>
      <c r="D617" s="1"/>
      <c r="E617" s="1"/>
      <c r="F617" s="1"/>
      <c r="G617" s="1"/>
      <c r="H617" s="1"/>
    </row>
    <row r="618" spans="2:8" x14ac:dyDescent="0.2">
      <c r="B618" s="1"/>
      <c r="C618" s="1"/>
      <c r="D618" s="1"/>
      <c r="E618" s="1"/>
      <c r="F618" s="1"/>
      <c r="G618" s="1"/>
      <c r="H618" s="1"/>
    </row>
    <row r="619" spans="2:8" x14ac:dyDescent="0.2">
      <c r="B619" s="1"/>
      <c r="C619" s="1"/>
      <c r="D619" s="1"/>
      <c r="E619" s="1"/>
      <c r="F619" s="1"/>
      <c r="G619" s="1"/>
      <c r="H619" s="1"/>
    </row>
    <row r="620" spans="2:8" x14ac:dyDescent="0.2">
      <c r="B620" s="1"/>
      <c r="C620" s="1"/>
      <c r="D620" s="1"/>
      <c r="E620" s="1"/>
      <c r="F620" s="1"/>
      <c r="G620" s="1"/>
      <c r="H620" s="1"/>
    </row>
    <row r="621" spans="2:8" x14ac:dyDescent="0.2">
      <c r="B621" s="1"/>
      <c r="C621" s="1"/>
      <c r="D621" s="1"/>
      <c r="E621" s="1"/>
      <c r="F621" s="1"/>
      <c r="G621" s="1"/>
      <c r="H621" s="1"/>
    </row>
    <row r="622" spans="2:8" x14ac:dyDescent="0.2">
      <c r="B622" s="1"/>
      <c r="C622" s="1"/>
      <c r="D622" s="1"/>
      <c r="E622" s="1"/>
      <c r="F622" s="1"/>
      <c r="G622" s="1"/>
      <c r="H622" s="1"/>
    </row>
    <row r="623" spans="2:8" x14ac:dyDescent="0.2">
      <c r="B623" s="1"/>
      <c r="C623" s="1"/>
      <c r="D623" s="1"/>
      <c r="E623" s="1"/>
      <c r="F623" s="1"/>
      <c r="G623" s="1"/>
      <c r="H623" s="1"/>
    </row>
    <row r="624" spans="2:8" x14ac:dyDescent="0.2">
      <c r="B624" s="1"/>
      <c r="C624" s="1"/>
      <c r="D624" s="1"/>
      <c r="E624" s="1"/>
      <c r="F624" s="1"/>
      <c r="G624" s="1"/>
      <c r="H624" s="1"/>
    </row>
    <row r="625" spans="2:8" x14ac:dyDescent="0.2">
      <c r="B625" s="1"/>
      <c r="C625" s="1"/>
      <c r="D625" s="1"/>
      <c r="E625" s="1"/>
      <c r="F625" s="1"/>
      <c r="G625" s="1"/>
      <c r="H625" s="1"/>
    </row>
    <row r="626" spans="2:8" x14ac:dyDescent="0.2">
      <c r="B626" s="1"/>
      <c r="C626" s="1"/>
      <c r="D626" s="1"/>
      <c r="E626" s="1"/>
      <c r="F626" s="1"/>
      <c r="G626" s="1"/>
      <c r="H626" s="1"/>
    </row>
    <row r="627" spans="2:8" x14ac:dyDescent="0.2">
      <c r="B627" s="1"/>
      <c r="C627" s="1"/>
      <c r="D627" s="1"/>
      <c r="E627" s="1"/>
      <c r="F627" s="1"/>
      <c r="G627" s="1"/>
      <c r="H627" s="1"/>
    </row>
    <row r="628" spans="2:8" x14ac:dyDescent="0.2">
      <c r="B628" s="1"/>
      <c r="C628" s="1"/>
      <c r="D628" s="1"/>
      <c r="E628" s="1"/>
      <c r="F628" s="1"/>
      <c r="G628" s="1"/>
      <c r="H628" s="1"/>
    </row>
    <row r="629" spans="2:8" x14ac:dyDescent="0.2">
      <c r="B629" s="1"/>
      <c r="C629" s="1"/>
      <c r="D629" s="1"/>
      <c r="E629" s="1"/>
      <c r="F629" s="1"/>
      <c r="G629" s="1"/>
      <c r="H629" s="1"/>
    </row>
    <row r="630" spans="2:8" x14ac:dyDescent="0.2">
      <c r="B630" s="1"/>
      <c r="C630" s="1"/>
      <c r="D630" s="1"/>
      <c r="E630" s="1"/>
      <c r="F630" s="1"/>
      <c r="G630" s="1"/>
      <c r="H630" s="1"/>
    </row>
    <row r="631" spans="2:8" x14ac:dyDescent="0.2">
      <c r="B631" s="1"/>
      <c r="C631" s="1"/>
      <c r="D631" s="1"/>
      <c r="E631" s="1"/>
      <c r="F631" s="1"/>
      <c r="G631" s="1"/>
      <c r="H631" s="1"/>
    </row>
    <row r="632" spans="2:8" x14ac:dyDescent="0.2">
      <c r="B632" s="1"/>
      <c r="C632" s="1"/>
      <c r="D632" s="1"/>
      <c r="E632" s="1"/>
      <c r="F632" s="1"/>
      <c r="G632" s="1"/>
      <c r="H632" s="1"/>
    </row>
    <row r="633" spans="2:8" x14ac:dyDescent="0.2">
      <c r="B633" s="1"/>
      <c r="C633" s="1"/>
      <c r="D633" s="1"/>
      <c r="E633" s="1"/>
      <c r="F633" s="1"/>
      <c r="G633" s="1"/>
      <c r="H633" s="1"/>
    </row>
    <row r="634" spans="2:8" x14ac:dyDescent="0.2">
      <c r="B634" s="1"/>
      <c r="C634" s="1"/>
      <c r="D634" s="1"/>
      <c r="E634" s="1"/>
      <c r="F634" s="1"/>
      <c r="G634" s="1"/>
      <c r="H634" s="1"/>
    </row>
    <row r="635" spans="2:8" x14ac:dyDescent="0.2">
      <c r="B635" s="1"/>
      <c r="C635" s="1"/>
      <c r="D635" s="1"/>
      <c r="E635" s="1"/>
      <c r="F635" s="1"/>
      <c r="G635" s="1"/>
      <c r="H635" s="1"/>
    </row>
    <row r="636" spans="2:8" x14ac:dyDescent="0.2">
      <c r="B636" s="1"/>
      <c r="C636" s="1"/>
      <c r="D636" s="1"/>
      <c r="E636" s="1"/>
      <c r="F636" s="1"/>
      <c r="G636" s="1"/>
      <c r="H636" s="1"/>
    </row>
    <row r="637" spans="2:8" x14ac:dyDescent="0.2">
      <c r="B637" s="1"/>
      <c r="C637" s="1"/>
      <c r="D637" s="1"/>
      <c r="E637" s="1"/>
      <c r="F637" s="1"/>
      <c r="G637" s="1"/>
      <c r="H637" s="1"/>
    </row>
    <row r="638" spans="2:8" x14ac:dyDescent="0.2">
      <c r="B638" s="1"/>
      <c r="C638" s="1"/>
      <c r="D638" s="1"/>
      <c r="E638" s="1"/>
      <c r="F638" s="1"/>
      <c r="G638" s="1"/>
      <c r="H638" s="1"/>
    </row>
    <row r="639" spans="2:8" x14ac:dyDescent="0.2">
      <c r="B639" s="1"/>
      <c r="C639" s="1"/>
      <c r="D639" s="1"/>
      <c r="E639" s="1"/>
      <c r="F639" s="1"/>
      <c r="G639" s="1"/>
      <c r="H639" s="1"/>
    </row>
    <row r="640" spans="2:8" x14ac:dyDescent="0.2">
      <c r="B640" s="1"/>
      <c r="C640" s="1"/>
      <c r="D640" s="1"/>
      <c r="E640" s="1"/>
      <c r="F640" s="1"/>
      <c r="G640" s="1"/>
      <c r="H640" s="1"/>
    </row>
    <row r="641" spans="2:8" x14ac:dyDescent="0.2">
      <c r="B641" s="1"/>
      <c r="C641" s="1"/>
      <c r="D641" s="1"/>
      <c r="E641" s="1"/>
      <c r="F641" s="1"/>
      <c r="G641" s="1"/>
      <c r="H641" s="1"/>
    </row>
    <row r="642" spans="2:8" x14ac:dyDescent="0.2">
      <c r="B642" s="1"/>
      <c r="C642" s="1"/>
      <c r="D642" s="1"/>
      <c r="E642" s="1"/>
      <c r="F642" s="1"/>
      <c r="G642" s="1"/>
      <c r="H642" s="1"/>
    </row>
    <row r="643" spans="2:8" x14ac:dyDescent="0.2">
      <c r="B643" s="1"/>
      <c r="C643" s="1"/>
      <c r="D643" s="1"/>
      <c r="E643" s="1"/>
      <c r="F643" s="1"/>
      <c r="G643" s="1"/>
      <c r="H643" s="1"/>
    </row>
    <row r="644" spans="2:8" x14ac:dyDescent="0.2">
      <c r="B644" s="1"/>
      <c r="C644" s="1"/>
      <c r="D644" s="1"/>
      <c r="E644" s="1"/>
      <c r="F644" s="1"/>
      <c r="G644" s="1"/>
      <c r="H644" s="1"/>
    </row>
    <row r="645" spans="2:8" x14ac:dyDescent="0.2">
      <c r="B645" s="1"/>
      <c r="C645" s="1"/>
      <c r="D645" s="1"/>
      <c r="E645" s="1"/>
      <c r="F645" s="1"/>
      <c r="G645" s="1"/>
      <c r="H645" s="1"/>
    </row>
    <row r="646" spans="2:8" x14ac:dyDescent="0.2">
      <c r="B646" s="1"/>
      <c r="C646" s="1"/>
      <c r="D646" s="1"/>
      <c r="E646" s="1"/>
      <c r="F646" s="1"/>
      <c r="G646" s="1"/>
      <c r="H646" s="1"/>
    </row>
    <row r="647" spans="2:8" x14ac:dyDescent="0.2">
      <c r="B647" s="1"/>
      <c r="C647" s="1"/>
      <c r="D647" s="1"/>
      <c r="E647" s="1"/>
      <c r="F647" s="1"/>
      <c r="G647" s="1"/>
      <c r="H647" s="1"/>
    </row>
    <row r="648" spans="2:8" x14ac:dyDescent="0.2">
      <c r="B648" s="1"/>
      <c r="C648" s="1"/>
      <c r="D648" s="1"/>
      <c r="E648" s="1"/>
      <c r="F648" s="1"/>
      <c r="G648" s="1"/>
      <c r="H648" s="1"/>
    </row>
    <row r="649" spans="2:8" x14ac:dyDescent="0.2">
      <c r="B649" s="1"/>
      <c r="C649" s="1"/>
      <c r="D649" s="1"/>
      <c r="E649" s="1"/>
      <c r="F649" s="1"/>
      <c r="G649" s="1"/>
      <c r="H649" s="1"/>
    </row>
    <row r="650" spans="2:8" x14ac:dyDescent="0.2">
      <c r="B650" s="1"/>
      <c r="C650" s="1"/>
      <c r="D650" s="1"/>
      <c r="E650" s="1"/>
      <c r="F650" s="1"/>
      <c r="G650" s="1"/>
      <c r="H650" s="1"/>
    </row>
    <row r="651" spans="2:8" x14ac:dyDescent="0.2">
      <c r="B651" s="1"/>
      <c r="C651" s="1"/>
      <c r="D651" s="1"/>
      <c r="E651" s="1"/>
      <c r="F651" s="1"/>
      <c r="G651" s="1"/>
      <c r="H651" s="1"/>
    </row>
    <row r="652" spans="2:8" x14ac:dyDescent="0.2">
      <c r="B652" s="1"/>
      <c r="C652" s="1"/>
      <c r="D652" s="1"/>
      <c r="E652" s="1"/>
      <c r="F652" s="1"/>
      <c r="G652" s="1"/>
      <c r="H652" s="1"/>
    </row>
    <row r="653" spans="2:8" x14ac:dyDescent="0.2">
      <c r="B653" s="1"/>
      <c r="C653" s="1"/>
      <c r="D653" s="1"/>
      <c r="E653" s="1"/>
      <c r="F653" s="1"/>
      <c r="G653" s="1"/>
      <c r="H653" s="1"/>
    </row>
    <row r="654" spans="2:8" x14ac:dyDescent="0.2">
      <c r="B654" s="1"/>
      <c r="C654" s="1"/>
      <c r="D654" s="1"/>
      <c r="E654" s="1"/>
      <c r="F654" s="1"/>
      <c r="G654" s="1"/>
      <c r="H654" s="1"/>
    </row>
    <row r="655" spans="2:8" x14ac:dyDescent="0.2">
      <c r="B655" s="1"/>
      <c r="C655" s="1"/>
      <c r="D655" s="1"/>
      <c r="E655" s="1"/>
      <c r="F655" s="1"/>
      <c r="G655" s="1"/>
      <c r="H655" s="1"/>
    </row>
    <row r="656" spans="2:8" x14ac:dyDescent="0.2">
      <c r="B656" s="1"/>
      <c r="C656" s="1"/>
      <c r="D656" s="1"/>
      <c r="E656" s="1"/>
      <c r="F656" s="1"/>
      <c r="G656" s="1"/>
      <c r="H656" s="1"/>
    </row>
    <row r="657" spans="2:8" x14ac:dyDescent="0.2">
      <c r="B657" s="1"/>
      <c r="C657" s="1"/>
      <c r="D657" s="1"/>
      <c r="E657" s="1"/>
      <c r="F657" s="1"/>
      <c r="G657" s="1"/>
      <c r="H657" s="1"/>
    </row>
    <row r="658" spans="2:8" x14ac:dyDescent="0.2">
      <c r="B658" s="1"/>
      <c r="C658" s="1"/>
      <c r="D658" s="1"/>
      <c r="E658" s="1"/>
      <c r="F658" s="1"/>
      <c r="G658" s="1"/>
      <c r="H658" s="1"/>
    </row>
    <row r="659" spans="2:8" x14ac:dyDescent="0.2">
      <c r="B659" s="1"/>
      <c r="C659" s="1"/>
      <c r="D659" s="1"/>
      <c r="E659" s="1"/>
      <c r="F659" s="1"/>
      <c r="G659" s="1"/>
      <c r="H659" s="1"/>
    </row>
    <row r="660" spans="2:8" x14ac:dyDescent="0.2">
      <c r="B660" s="1"/>
      <c r="C660" s="1"/>
      <c r="D660" s="1"/>
      <c r="E660" s="1"/>
      <c r="F660" s="1"/>
      <c r="G660" s="1"/>
      <c r="H660" s="1"/>
    </row>
    <row r="661" spans="2:8" x14ac:dyDescent="0.2">
      <c r="B661" s="1"/>
      <c r="C661" s="1"/>
      <c r="D661" s="1"/>
      <c r="E661" s="1"/>
      <c r="F661" s="1"/>
      <c r="G661" s="1"/>
      <c r="H661" s="1"/>
    </row>
    <row r="662" spans="2:8" x14ac:dyDescent="0.2">
      <c r="B662" s="1"/>
      <c r="C662" s="1"/>
      <c r="D662" s="1"/>
      <c r="E662" s="1"/>
      <c r="F662" s="1"/>
      <c r="G662" s="1"/>
      <c r="H662" s="1"/>
    </row>
    <row r="663" spans="2:8" x14ac:dyDescent="0.2">
      <c r="B663" s="1"/>
      <c r="C663" s="1"/>
      <c r="D663" s="1"/>
      <c r="E663" s="1"/>
      <c r="F663" s="1"/>
      <c r="G663" s="1"/>
      <c r="H663" s="1"/>
    </row>
    <row r="664" spans="2:8" x14ac:dyDescent="0.2">
      <c r="B664" s="1"/>
      <c r="C664" s="1"/>
      <c r="D664" s="1"/>
      <c r="E664" s="1"/>
      <c r="F664" s="1"/>
      <c r="G664" s="1"/>
      <c r="H664" s="1"/>
    </row>
    <row r="665" spans="2:8" x14ac:dyDescent="0.2">
      <c r="B665" s="1"/>
      <c r="C665" s="1"/>
      <c r="D665" s="1"/>
      <c r="E665" s="1"/>
      <c r="F665" s="1"/>
      <c r="G665" s="1"/>
      <c r="H665" s="1"/>
    </row>
    <row r="666" spans="2:8" x14ac:dyDescent="0.2">
      <c r="B666" s="1"/>
      <c r="C666" s="1"/>
      <c r="D666" s="1"/>
      <c r="E666" s="1"/>
      <c r="F666" s="1"/>
      <c r="G666" s="1"/>
      <c r="H666" s="1"/>
    </row>
    <row r="667" spans="2:8" x14ac:dyDescent="0.2">
      <c r="B667" s="1"/>
      <c r="C667" s="1"/>
      <c r="D667" s="1"/>
      <c r="E667" s="1"/>
      <c r="F667" s="1"/>
      <c r="G667" s="1"/>
      <c r="H667" s="1"/>
    </row>
    <row r="668" spans="2:8" x14ac:dyDescent="0.2">
      <c r="B668" s="1"/>
      <c r="C668" s="1"/>
      <c r="D668" s="1"/>
      <c r="E668" s="1"/>
      <c r="F668" s="1"/>
      <c r="G668" s="1"/>
      <c r="H668" s="1"/>
    </row>
    <row r="669" spans="2:8" x14ac:dyDescent="0.2">
      <c r="B669" s="1"/>
      <c r="C669" s="1"/>
      <c r="D669" s="1"/>
      <c r="E669" s="1"/>
      <c r="F669" s="1"/>
      <c r="G669" s="1"/>
      <c r="H669" s="1"/>
    </row>
    <row r="670" spans="2:8" x14ac:dyDescent="0.2">
      <c r="B670" s="1"/>
      <c r="C670" s="1"/>
      <c r="D670" s="1"/>
      <c r="E670" s="1"/>
      <c r="F670" s="1"/>
      <c r="G670" s="1"/>
      <c r="H670" s="1"/>
    </row>
    <row r="671" spans="2:8" x14ac:dyDescent="0.2">
      <c r="B671" s="1"/>
      <c r="C671" s="1"/>
      <c r="D671" s="1"/>
      <c r="E671" s="1"/>
      <c r="F671" s="1"/>
      <c r="G671" s="1"/>
      <c r="H671" s="1"/>
    </row>
    <row r="672" spans="2:8" x14ac:dyDescent="0.2">
      <c r="B672" s="1"/>
      <c r="C672" s="1"/>
      <c r="D672" s="1"/>
      <c r="E672" s="1"/>
      <c r="F672" s="1"/>
      <c r="G672" s="1"/>
      <c r="H672" s="1"/>
    </row>
    <row r="673" spans="2:8" x14ac:dyDescent="0.2">
      <c r="B673" s="1"/>
      <c r="C673" s="1"/>
      <c r="D673" s="1"/>
      <c r="E673" s="1"/>
      <c r="F673" s="1"/>
      <c r="G673" s="1"/>
      <c r="H673" s="1"/>
    </row>
    <row r="674" spans="2:8" x14ac:dyDescent="0.2">
      <c r="B674" s="1"/>
      <c r="C674" s="1"/>
      <c r="D674" s="1"/>
      <c r="E674" s="1"/>
      <c r="F674" s="1"/>
      <c r="G674" s="1"/>
      <c r="H674" s="1"/>
    </row>
    <row r="675" spans="2:8" x14ac:dyDescent="0.2">
      <c r="B675" s="1"/>
      <c r="C675" s="1"/>
      <c r="D675" s="1"/>
      <c r="E675" s="1"/>
      <c r="F675" s="1"/>
      <c r="G675" s="1"/>
      <c r="H675" s="1"/>
    </row>
    <row r="676" spans="2:8" x14ac:dyDescent="0.2">
      <c r="B676" s="1"/>
      <c r="C676" s="1"/>
      <c r="D676" s="1"/>
      <c r="E676" s="1"/>
      <c r="F676" s="1"/>
      <c r="G676" s="1"/>
      <c r="H676" s="1"/>
    </row>
    <row r="677" spans="2:8" x14ac:dyDescent="0.2">
      <c r="B677" s="1"/>
      <c r="C677" s="1"/>
      <c r="D677" s="1"/>
      <c r="E677" s="1"/>
      <c r="F677" s="1"/>
      <c r="G677" s="1"/>
      <c r="H677" s="1"/>
    </row>
    <row r="678" spans="2:8" x14ac:dyDescent="0.2">
      <c r="B678" s="1"/>
      <c r="C678" s="1"/>
      <c r="D678" s="1"/>
      <c r="E678" s="1"/>
      <c r="F678" s="1"/>
      <c r="G678" s="1"/>
      <c r="H678" s="1"/>
    </row>
    <row r="679" spans="2:8" x14ac:dyDescent="0.2">
      <c r="B679" s="1"/>
      <c r="C679" s="1"/>
      <c r="D679" s="1"/>
      <c r="E679" s="1"/>
      <c r="F679" s="1"/>
      <c r="G679" s="1"/>
      <c r="H679" s="1"/>
    </row>
    <row r="680" spans="2:8" x14ac:dyDescent="0.2">
      <c r="B680" s="1"/>
      <c r="C680" s="1"/>
      <c r="D680" s="1"/>
      <c r="E680" s="1"/>
      <c r="F680" s="1"/>
      <c r="G680" s="1"/>
      <c r="H680" s="1"/>
    </row>
    <row r="681" spans="2:8" x14ac:dyDescent="0.2">
      <c r="B681" s="1"/>
      <c r="C681" s="1"/>
      <c r="D681" s="1"/>
      <c r="E681" s="1"/>
      <c r="F681" s="1"/>
      <c r="G681" s="1"/>
      <c r="H681" s="1"/>
    </row>
    <row r="682" spans="2:8" x14ac:dyDescent="0.2">
      <c r="B682" s="1"/>
      <c r="C682" s="1"/>
      <c r="D682" s="1"/>
      <c r="E682" s="1"/>
      <c r="F682" s="1"/>
      <c r="G682" s="1"/>
      <c r="H682" s="1"/>
    </row>
    <row r="683" spans="2:8" x14ac:dyDescent="0.2">
      <c r="B683" s="1"/>
      <c r="C683" s="1"/>
      <c r="D683" s="1"/>
      <c r="E683" s="1"/>
      <c r="F683" s="1"/>
      <c r="G683" s="1"/>
      <c r="H683" s="1"/>
    </row>
    <row r="684" spans="2:8" x14ac:dyDescent="0.2">
      <c r="B684" s="1"/>
      <c r="C684" s="1"/>
      <c r="D684" s="1"/>
      <c r="E684" s="1"/>
      <c r="F684" s="1"/>
      <c r="G684" s="1"/>
      <c r="H684" s="1"/>
    </row>
    <row r="685" spans="2:8" x14ac:dyDescent="0.2">
      <c r="B685" s="1"/>
      <c r="C685" s="1"/>
      <c r="D685" s="1"/>
      <c r="E685" s="1"/>
      <c r="F685" s="1"/>
      <c r="G685" s="1"/>
      <c r="H685" s="1"/>
    </row>
    <row r="686" spans="2:8" x14ac:dyDescent="0.2">
      <c r="B686" s="1"/>
      <c r="C686" s="1"/>
      <c r="D686" s="1"/>
      <c r="E686" s="1"/>
      <c r="F686" s="1"/>
      <c r="G686" s="1"/>
      <c r="H686" s="1"/>
    </row>
    <row r="687" spans="2:8" x14ac:dyDescent="0.2">
      <c r="B687" s="1"/>
      <c r="C687" s="1"/>
      <c r="D687" s="1"/>
      <c r="E687" s="1"/>
      <c r="F687" s="1"/>
      <c r="G687" s="1"/>
      <c r="H687" s="1"/>
    </row>
    <row r="688" spans="2:8" x14ac:dyDescent="0.2">
      <c r="B688" s="1"/>
      <c r="C688" s="1"/>
      <c r="D688" s="1"/>
      <c r="E688" s="1"/>
      <c r="F688" s="1"/>
      <c r="G688" s="1"/>
      <c r="H688" s="1"/>
    </row>
    <row r="689" spans="2:8" x14ac:dyDescent="0.2">
      <c r="B689" s="1"/>
      <c r="C689" s="1"/>
      <c r="D689" s="1"/>
      <c r="E689" s="1"/>
      <c r="F689" s="1"/>
      <c r="G689" s="1"/>
      <c r="H689" s="1"/>
    </row>
    <row r="690" spans="2:8" x14ac:dyDescent="0.2">
      <c r="B690" s="1"/>
      <c r="C690" s="1"/>
      <c r="D690" s="1"/>
      <c r="E690" s="1"/>
      <c r="F690" s="1"/>
      <c r="G690" s="1"/>
      <c r="H690" s="1"/>
    </row>
    <row r="691" spans="2:8" x14ac:dyDescent="0.2">
      <c r="B691" s="1"/>
      <c r="C691" s="1"/>
      <c r="D691" s="1"/>
      <c r="E691" s="1"/>
      <c r="F691" s="1"/>
      <c r="G691" s="1"/>
      <c r="H691" s="1"/>
    </row>
    <row r="692" spans="2:8" x14ac:dyDescent="0.2">
      <c r="B692" s="1"/>
      <c r="C692" s="1"/>
      <c r="D692" s="1"/>
      <c r="E692" s="1"/>
      <c r="F692" s="1"/>
      <c r="G692" s="1"/>
      <c r="H692" s="1"/>
    </row>
    <row r="693" spans="2:8" x14ac:dyDescent="0.2">
      <c r="B693" s="1"/>
      <c r="C693" s="1"/>
      <c r="D693" s="1"/>
      <c r="E693" s="1"/>
      <c r="F693" s="1"/>
      <c r="G693" s="1"/>
      <c r="H693" s="1"/>
    </row>
    <row r="694" spans="2:8" x14ac:dyDescent="0.2">
      <c r="B694" s="1"/>
      <c r="C694" s="1"/>
      <c r="D694" s="1"/>
      <c r="E694" s="1"/>
      <c r="F694" s="1"/>
      <c r="G694" s="1"/>
      <c r="H694" s="1"/>
    </row>
    <row r="695" spans="2:8" x14ac:dyDescent="0.2">
      <c r="B695" s="1"/>
      <c r="C695" s="1"/>
      <c r="D695" s="1"/>
      <c r="E695" s="1"/>
      <c r="F695" s="1"/>
      <c r="G695" s="1"/>
      <c r="H695" s="1"/>
    </row>
    <row r="696" spans="2:8" x14ac:dyDescent="0.2">
      <c r="B696" s="1"/>
      <c r="C696" s="1"/>
      <c r="D696" s="1"/>
      <c r="E696" s="1"/>
      <c r="F696" s="1"/>
      <c r="G696" s="1"/>
      <c r="H696" s="1"/>
    </row>
    <row r="697" spans="2:8" x14ac:dyDescent="0.2">
      <c r="B697" s="1"/>
      <c r="C697" s="1"/>
      <c r="D697" s="1"/>
      <c r="E697" s="1"/>
      <c r="F697" s="1"/>
      <c r="G697" s="1"/>
      <c r="H697" s="1"/>
    </row>
    <row r="698" spans="2:8" x14ac:dyDescent="0.2">
      <c r="B698" s="1"/>
      <c r="C698" s="1"/>
      <c r="D698" s="1"/>
      <c r="E698" s="1"/>
      <c r="F698" s="1"/>
      <c r="G698" s="1"/>
      <c r="H698" s="1"/>
    </row>
    <row r="699" spans="2:8" x14ac:dyDescent="0.2">
      <c r="B699" s="1"/>
      <c r="C699" s="1"/>
      <c r="D699" s="1"/>
      <c r="E699" s="1"/>
      <c r="F699" s="1"/>
      <c r="G699" s="1"/>
      <c r="H699" s="1"/>
    </row>
    <row r="700" spans="2:8" x14ac:dyDescent="0.2">
      <c r="B700" s="1"/>
      <c r="C700" s="1"/>
      <c r="D700" s="1"/>
      <c r="E700" s="1"/>
      <c r="F700" s="1"/>
      <c r="G700" s="1"/>
      <c r="H700" s="1"/>
    </row>
    <row r="701" spans="2:8" x14ac:dyDescent="0.2">
      <c r="B701" s="1"/>
      <c r="C701" s="1"/>
      <c r="D701" s="1"/>
      <c r="E701" s="1"/>
      <c r="F701" s="1"/>
      <c r="G701" s="1"/>
      <c r="H701" s="1"/>
    </row>
    <row r="702" spans="2:8" x14ac:dyDescent="0.2">
      <c r="B702" s="1"/>
      <c r="C702" s="1"/>
      <c r="D702" s="1"/>
      <c r="E702" s="1"/>
      <c r="F702" s="1"/>
      <c r="G702" s="1"/>
      <c r="H702" s="1"/>
    </row>
    <row r="703" spans="2:8" x14ac:dyDescent="0.2">
      <c r="B703" s="1"/>
      <c r="C703" s="1"/>
      <c r="D703" s="1"/>
      <c r="E703" s="1"/>
      <c r="F703" s="1"/>
      <c r="G703" s="1"/>
      <c r="H703" s="1"/>
    </row>
    <row r="704" spans="2:8" x14ac:dyDescent="0.2">
      <c r="B704" s="1"/>
      <c r="C704" s="1"/>
      <c r="D704" s="1"/>
      <c r="E704" s="1"/>
      <c r="F704" s="1"/>
      <c r="G704" s="1"/>
      <c r="H704" s="1"/>
    </row>
    <row r="705" spans="2:8" x14ac:dyDescent="0.2">
      <c r="B705" s="1"/>
      <c r="C705" s="1"/>
      <c r="D705" s="1"/>
      <c r="E705" s="1"/>
      <c r="F705" s="1"/>
      <c r="G705" s="1"/>
      <c r="H705" s="1"/>
    </row>
    <row r="706" spans="2:8" x14ac:dyDescent="0.2">
      <c r="B706" s="1"/>
      <c r="C706" s="1"/>
      <c r="D706" s="1"/>
      <c r="E706" s="1"/>
      <c r="F706" s="1"/>
      <c r="G706" s="1"/>
      <c r="H706" s="1"/>
    </row>
    <row r="707" spans="2:8" x14ac:dyDescent="0.2">
      <c r="B707" s="1"/>
      <c r="C707" s="1"/>
      <c r="D707" s="1"/>
      <c r="E707" s="1"/>
      <c r="F707" s="1"/>
      <c r="G707" s="1"/>
      <c r="H707" s="1"/>
    </row>
    <row r="708" spans="2:8" x14ac:dyDescent="0.2">
      <c r="B708" s="1"/>
      <c r="C708" s="1"/>
      <c r="D708" s="1"/>
      <c r="E708" s="1"/>
      <c r="F708" s="1"/>
      <c r="G708" s="1"/>
      <c r="H708" s="1"/>
    </row>
    <row r="709" spans="2:8" x14ac:dyDescent="0.2">
      <c r="B709" s="1"/>
      <c r="C709" s="1"/>
      <c r="D709" s="1"/>
      <c r="E709" s="1"/>
      <c r="F709" s="1"/>
      <c r="G709" s="1"/>
      <c r="H709" s="1"/>
    </row>
    <row r="710" spans="2:8" x14ac:dyDescent="0.2">
      <c r="B710" s="1"/>
      <c r="C710" s="1"/>
      <c r="D710" s="1"/>
      <c r="E710" s="1"/>
      <c r="F710" s="1"/>
      <c r="G710" s="1"/>
      <c r="H710" s="1"/>
    </row>
    <row r="711" spans="2:8" x14ac:dyDescent="0.2">
      <c r="B711" s="1"/>
      <c r="C711" s="1"/>
      <c r="D711" s="1"/>
      <c r="E711" s="1"/>
      <c r="F711" s="1"/>
      <c r="G711" s="1"/>
      <c r="H711" s="1"/>
    </row>
    <row r="712" spans="2:8" x14ac:dyDescent="0.2">
      <c r="B712" s="1"/>
      <c r="C712" s="1"/>
      <c r="D712" s="1"/>
      <c r="E712" s="1"/>
      <c r="F712" s="1"/>
      <c r="G712" s="1"/>
      <c r="H712" s="1"/>
    </row>
    <row r="713" spans="2:8" x14ac:dyDescent="0.2">
      <c r="B713" s="1"/>
      <c r="C713" s="1"/>
      <c r="D713" s="1"/>
      <c r="E713" s="1"/>
      <c r="F713" s="1"/>
      <c r="G713" s="1"/>
      <c r="H713" s="1"/>
    </row>
    <row r="714" spans="2:8" x14ac:dyDescent="0.2">
      <c r="B714" s="1"/>
      <c r="C714" s="1"/>
      <c r="D714" s="1"/>
      <c r="E714" s="1"/>
      <c r="F714" s="1"/>
      <c r="G714" s="1"/>
      <c r="H714" s="1"/>
    </row>
    <row r="715" spans="2:8" x14ac:dyDescent="0.2">
      <c r="B715" s="1"/>
      <c r="C715" s="1"/>
      <c r="D715" s="1"/>
      <c r="E715" s="1"/>
      <c r="F715" s="1"/>
      <c r="G715" s="1"/>
      <c r="H715" s="1"/>
    </row>
    <row r="716" spans="2:8" x14ac:dyDescent="0.2">
      <c r="B716" s="1"/>
      <c r="C716" s="1"/>
      <c r="D716" s="1"/>
      <c r="E716" s="1"/>
      <c r="F716" s="1"/>
      <c r="G716" s="1"/>
      <c r="H716" s="1"/>
    </row>
    <row r="717" spans="2:8" x14ac:dyDescent="0.2">
      <c r="B717" s="1"/>
      <c r="C717" s="1"/>
      <c r="D717" s="1"/>
      <c r="E717" s="1"/>
      <c r="F717" s="1"/>
      <c r="G717" s="1"/>
      <c r="H717" s="1"/>
    </row>
    <row r="718" spans="2:8" x14ac:dyDescent="0.2">
      <c r="B718" s="1"/>
      <c r="C718" s="1"/>
      <c r="D718" s="1"/>
      <c r="E718" s="1"/>
      <c r="F718" s="1"/>
      <c r="G718" s="1"/>
      <c r="H718" s="1"/>
    </row>
    <row r="719" spans="2:8" x14ac:dyDescent="0.2">
      <c r="B719" s="1"/>
      <c r="C719" s="1"/>
      <c r="D719" s="1"/>
      <c r="E719" s="1"/>
      <c r="F719" s="1"/>
      <c r="G719" s="1"/>
      <c r="H719" s="1"/>
    </row>
    <row r="720" spans="2:8" x14ac:dyDescent="0.2">
      <c r="B720" s="1"/>
      <c r="C720" s="1"/>
      <c r="D720" s="1"/>
      <c r="E720" s="1"/>
      <c r="F720" s="1"/>
      <c r="G720" s="1"/>
      <c r="H720" s="1"/>
    </row>
    <row r="721" spans="2:8" x14ac:dyDescent="0.2">
      <c r="B721" s="1"/>
      <c r="C721" s="1"/>
      <c r="D721" s="1"/>
      <c r="E721" s="1"/>
      <c r="F721" s="1"/>
      <c r="G721" s="1"/>
      <c r="H721" s="1"/>
    </row>
    <row r="722" spans="2:8" x14ac:dyDescent="0.2">
      <c r="B722" s="1"/>
      <c r="C722" s="1"/>
      <c r="D722" s="1"/>
      <c r="E722" s="1"/>
      <c r="F722" s="1"/>
      <c r="G722" s="1"/>
      <c r="H722" s="1"/>
    </row>
    <row r="723" spans="2:8" x14ac:dyDescent="0.2">
      <c r="B723" s="1"/>
      <c r="C723" s="1"/>
      <c r="D723" s="1"/>
      <c r="E723" s="1"/>
      <c r="F723" s="1"/>
      <c r="G723" s="1"/>
      <c r="H723" s="1"/>
    </row>
    <row r="724" spans="2:8" x14ac:dyDescent="0.2">
      <c r="B724" s="1"/>
      <c r="C724" s="1"/>
      <c r="D724" s="1"/>
      <c r="E724" s="1"/>
      <c r="F724" s="1"/>
      <c r="G724" s="1"/>
      <c r="H724" s="1"/>
    </row>
    <row r="725" spans="2:8" x14ac:dyDescent="0.2">
      <c r="B725" s="1"/>
      <c r="C725" s="1"/>
      <c r="D725" s="1"/>
      <c r="E725" s="1"/>
      <c r="F725" s="1"/>
      <c r="G725" s="1"/>
      <c r="H725" s="1"/>
    </row>
    <row r="726" spans="2:8" x14ac:dyDescent="0.2">
      <c r="B726" s="1"/>
      <c r="C726" s="1"/>
      <c r="D726" s="1"/>
      <c r="E726" s="1"/>
      <c r="F726" s="1"/>
      <c r="G726" s="1"/>
      <c r="H726" s="1"/>
    </row>
    <row r="727" spans="2:8" x14ac:dyDescent="0.2">
      <c r="B727" s="1"/>
      <c r="C727" s="1"/>
      <c r="D727" s="1"/>
      <c r="E727" s="1"/>
      <c r="F727" s="1"/>
      <c r="G727" s="1"/>
      <c r="H727" s="1"/>
    </row>
    <row r="728" spans="2:8" x14ac:dyDescent="0.2">
      <c r="B728" s="1"/>
      <c r="C728" s="1"/>
      <c r="D728" s="1"/>
      <c r="E728" s="1"/>
      <c r="F728" s="1"/>
      <c r="G728" s="1"/>
      <c r="H728" s="1"/>
    </row>
    <row r="729" spans="2:8" x14ac:dyDescent="0.2">
      <c r="B729" s="1"/>
      <c r="C729" s="1"/>
      <c r="D729" s="1"/>
      <c r="E729" s="1"/>
      <c r="F729" s="1"/>
      <c r="G729" s="1"/>
      <c r="H729" s="1"/>
    </row>
    <row r="730" spans="2:8" x14ac:dyDescent="0.2">
      <c r="B730" s="1"/>
      <c r="C730" s="1"/>
      <c r="D730" s="1"/>
      <c r="E730" s="1"/>
      <c r="F730" s="1"/>
      <c r="G730" s="1"/>
      <c r="H730" s="1"/>
    </row>
    <row r="731" spans="2:8" x14ac:dyDescent="0.2">
      <c r="B731" s="1"/>
      <c r="C731" s="1"/>
      <c r="D731" s="1"/>
      <c r="E731" s="1"/>
      <c r="F731" s="1"/>
      <c r="G731" s="1"/>
      <c r="H731" s="1"/>
    </row>
    <row r="732" spans="2:8" x14ac:dyDescent="0.2">
      <c r="B732" s="1"/>
      <c r="C732" s="1"/>
      <c r="D732" s="1"/>
      <c r="E732" s="1"/>
      <c r="F732" s="1"/>
      <c r="G732" s="1"/>
      <c r="H732" s="1"/>
    </row>
    <row r="733" spans="2:8" x14ac:dyDescent="0.2">
      <c r="B733" s="1"/>
      <c r="C733" s="1"/>
      <c r="D733" s="1"/>
      <c r="E733" s="1"/>
      <c r="F733" s="1"/>
      <c r="G733" s="1"/>
      <c r="H733" s="1"/>
    </row>
    <row r="734" spans="2:8" x14ac:dyDescent="0.2">
      <c r="B734" s="1"/>
      <c r="C734" s="1"/>
      <c r="D734" s="1"/>
      <c r="E734" s="1"/>
      <c r="F734" s="1"/>
      <c r="G734" s="1"/>
      <c r="H734" s="1"/>
    </row>
    <row r="735" spans="2:8" x14ac:dyDescent="0.2">
      <c r="B735" s="1"/>
      <c r="C735" s="1"/>
      <c r="D735" s="1"/>
      <c r="E735" s="1"/>
      <c r="F735" s="1"/>
      <c r="G735" s="1"/>
      <c r="H735" s="1"/>
    </row>
    <row r="736" spans="2:8" x14ac:dyDescent="0.2">
      <c r="B736" s="1"/>
      <c r="C736" s="1"/>
      <c r="D736" s="1"/>
      <c r="E736" s="1"/>
      <c r="F736" s="1"/>
      <c r="G736" s="1"/>
      <c r="H736" s="1"/>
    </row>
    <row r="737" spans="2:8" x14ac:dyDescent="0.2">
      <c r="B737" s="1"/>
      <c r="C737" s="1"/>
      <c r="D737" s="1"/>
      <c r="E737" s="1"/>
      <c r="F737" s="1"/>
      <c r="G737" s="1"/>
      <c r="H737" s="1"/>
    </row>
    <row r="738" spans="2:8" x14ac:dyDescent="0.2">
      <c r="B738" s="1"/>
      <c r="C738" s="1"/>
      <c r="D738" s="1"/>
      <c r="E738" s="1"/>
      <c r="F738" s="1"/>
      <c r="G738" s="1"/>
      <c r="H738" s="1"/>
    </row>
    <row r="739" spans="2:8" x14ac:dyDescent="0.2">
      <c r="B739" s="1"/>
      <c r="C739" s="1"/>
      <c r="D739" s="1"/>
      <c r="E739" s="1"/>
      <c r="F739" s="1"/>
      <c r="G739" s="1"/>
      <c r="H739" s="1"/>
    </row>
    <row r="740" spans="2:8" x14ac:dyDescent="0.2">
      <c r="B740" s="1"/>
      <c r="C740" s="1"/>
      <c r="D740" s="1"/>
      <c r="E740" s="1"/>
      <c r="F740" s="1"/>
      <c r="G740" s="1"/>
      <c r="H740" s="1"/>
    </row>
    <row r="741" spans="2:8" x14ac:dyDescent="0.2">
      <c r="B741" s="1"/>
      <c r="C741" s="1"/>
      <c r="D741" s="1"/>
      <c r="E741" s="1"/>
      <c r="F741" s="1"/>
      <c r="G741" s="1"/>
      <c r="H741" s="1"/>
    </row>
    <row r="742" spans="2:8" x14ac:dyDescent="0.2">
      <c r="B742" s="1"/>
      <c r="C742" s="1"/>
      <c r="D742" s="1"/>
      <c r="E742" s="1"/>
      <c r="F742" s="1"/>
      <c r="G742" s="1"/>
      <c r="H742" s="1"/>
    </row>
    <row r="743" spans="2:8" x14ac:dyDescent="0.2">
      <c r="B743" s="1"/>
      <c r="C743" s="1"/>
      <c r="D743" s="1"/>
      <c r="E743" s="1"/>
      <c r="F743" s="1"/>
      <c r="G743" s="1"/>
      <c r="H743" s="1"/>
    </row>
    <row r="744" spans="2:8" x14ac:dyDescent="0.2">
      <c r="B744" s="1"/>
      <c r="C744" s="1"/>
      <c r="D744" s="1"/>
      <c r="E744" s="1"/>
      <c r="F744" s="1"/>
      <c r="G744" s="1"/>
      <c r="H744" s="1"/>
    </row>
    <row r="745" spans="2:8" x14ac:dyDescent="0.2">
      <c r="B745" s="1"/>
      <c r="C745" s="1"/>
      <c r="D745" s="1"/>
      <c r="E745" s="1"/>
      <c r="F745" s="1"/>
      <c r="G745" s="1"/>
      <c r="H745" s="1"/>
    </row>
    <row r="746" spans="2:8" x14ac:dyDescent="0.2">
      <c r="B746" s="1"/>
      <c r="C746" s="1"/>
      <c r="D746" s="1"/>
      <c r="E746" s="1"/>
      <c r="F746" s="1"/>
      <c r="G746" s="1"/>
      <c r="H746" s="1"/>
    </row>
    <row r="747" spans="2:8" x14ac:dyDescent="0.2">
      <c r="B747" s="1"/>
      <c r="C747" s="1"/>
      <c r="D747" s="1"/>
      <c r="E747" s="1"/>
      <c r="F747" s="1"/>
      <c r="G747" s="1"/>
      <c r="H747" s="1"/>
    </row>
    <row r="748" spans="2:8" x14ac:dyDescent="0.2">
      <c r="B748" s="1"/>
      <c r="C748" s="1"/>
      <c r="D748" s="1"/>
      <c r="E748" s="1"/>
      <c r="F748" s="1"/>
      <c r="G748" s="1"/>
      <c r="H748" s="1"/>
    </row>
    <row r="749" spans="2:8" x14ac:dyDescent="0.2">
      <c r="B749" s="1"/>
      <c r="C749" s="1"/>
      <c r="D749" s="1"/>
      <c r="E749" s="1"/>
      <c r="F749" s="1"/>
      <c r="G749" s="1"/>
      <c r="H749" s="1"/>
    </row>
    <row r="750" spans="2:8" x14ac:dyDescent="0.2">
      <c r="B750" s="1"/>
      <c r="C750" s="1"/>
      <c r="D750" s="1"/>
      <c r="E750" s="1"/>
      <c r="F750" s="1"/>
      <c r="G750" s="1"/>
      <c r="H750" s="1"/>
    </row>
    <row r="751" spans="2:8" x14ac:dyDescent="0.2">
      <c r="B751" s="1"/>
      <c r="C751" s="1"/>
      <c r="D751" s="1"/>
      <c r="E751" s="1"/>
      <c r="F751" s="1"/>
      <c r="G751" s="1"/>
      <c r="H751" s="1"/>
    </row>
    <row r="752" spans="2:8" x14ac:dyDescent="0.2">
      <c r="B752" s="1"/>
      <c r="C752" s="1"/>
      <c r="D752" s="1"/>
      <c r="E752" s="1"/>
      <c r="F752" s="1"/>
      <c r="G752" s="1"/>
      <c r="H752" s="1"/>
    </row>
    <row r="753" spans="2:8" x14ac:dyDescent="0.2">
      <c r="B753" s="1"/>
      <c r="C753" s="1"/>
      <c r="D753" s="1"/>
      <c r="E753" s="1"/>
      <c r="F753" s="1"/>
      <c r="G753" s="1"/>
      <c r="H753" s="1"/>
    </row>
    <row r="754" spans="2:8" x14ac:dyDescent="0.2">
      <c r="B754" s="1"/>
      <c r="C754" s="1"/>
      <c r="D754" s="1"/>
      <c r="E754" s="1"/>
      <c r="F754" s="1"/>
      <c r="G754" s="1"/>
      <c r="H754" s="1"/>
    </row>
    <row r="755" spans="2:8" x14ac:dyDescent="0.2">
      <c r="B755" s="1"/>
      <c r="C755" s="1"/>
      <c r="D755" s="1"/>
      <c r="E755" s="1"/>
      <c r="F755" s="1"/>
      <c r="G755" s="1"/>
      <c r="H755" s="1"/>
    </row>
    <row r="756" spans="2:8" x14ac:dyDescent="0.2">
      <c r="B756" s="1"/>
      <c r="C756" s="1"/>
      <c r="D756" s="1"/>
      <c r="E756" s="1"/>
      <c r="F756" s="1"/>
      <c r="G756" s="1"/>
      <c r="H756" s="1"/>
    </row>
    <row r="757" spans="2:8" x14ac:dyDescent="0.2">
      <c r="B757" s="1"/>
      <c r="C757" s="1"/>
      <c r="D757" s="1"/>
      <c r="E757" s="1"/>
      <c r="F757" s="1"/>
      <c r="G757" s="1"/>
      <c r="H757" s="1"/>
    </row>
    <row r="758" spans="2:8" x14ac:dyDescent="0.2">
      <c r="B758" s="1"/>
      <c r="C758" s="1"/>
      <c r="D758" s="1"/>
      <c r="E758" s="1"/>
      <c r="F758" s="1"/>
      <c r="G758" s="1"/>
      <c r="H758" s="1"/>
    </row>
    <row r="759" spans="2:8" x14ac:dyDescent="0.2">
      <c r="B759" s="1"/>
      <c r="C759" s="1"/>
      <c r="D759" s="1"/>
      <c r="E759" s="1"/>
      <c r="F759" s="1"/>
      <c r="G759" s="1"/>
      <c r="H759" s="1"/>
    </row>
    <row r="760" spans="2:8" x14ac:dyDescent="0.2">
      <c r="B760" s="1"/>
      <c r="C760" s="1"/>
      <c r="D760" s="1"/>
      <c r="E760" s="1"/>
      <c r="F760" s="1"/>
      <c r="G760" s="1"/>
      <c r="H760" s="1"/>
    </row>
    <row r="761" spans="2:8" x14ac:dyDescent="0.2">
      <c r="B761" s="1"/>
      <c r="C761" s="1"/>
      <c r="D761" s="1"/>
      <c r="E761" s="1"/>
      <c r="F761" s="1"/>
      <c r="G761" s="1"/>
      <c r="H761" s="1"/>
    </row>
    <row r="762" spans="2:8" x14ac:dyDescent="0.2">
      <c r="B762" s="1"/>
      <c r="C762" s="1"/>
      <c r="D762" s="1"/>
      <c r="E762" s="1"/>
      <c r="F762" s="1"/>
      <c r="G762" s="1"/>
      <c r="H762" s="1"/>
    </row>
    <row r="763" spans="2:8" x14ac:dyDescent="0.2">
      <c r="B763" s="1"/>
      <c r="C763" s="1"/>
      <c r="D763" s="1"/>
      <c r="E763" s="1"/>
      <c r="F763" s="1"/>
      <c r="G763" s="1"/>
      <c r="H763" s="1"/>
    </row>
    <row r="764" spans="2:8" x14ac:dyDescent="0.2">
      <c r="B764" s="1"/>
      <c r="C764" s="1"/>
      <c r="D764" s="1"/>
      <c r="E764" s="1"/>
      <c r="F764" s="1"/>
      <c r="G764" s="1"/>
      <c r="H764" s="1"/>
    </row>
    <row r="765" spans="2:8" x14ac:dyDescent="0.2">
      <c r="B765" s="1"/>
      <c r="C765" s="1"/>
      <c r="D765" s="1"/>
      <c r="E765" s="1"/>
      <c r="F765" s="1"/>
      <c r="G765" s="1"/>
      <c r="H765" s="1"/>
    </row>
    <row r="766" spans="2:8" x14ac:dyDescent="0.2">
      <c r="B766" s="1"/>
      <c r="C766" s="1"/>
      <c r="D766" s="1"/>
      <c r="E766" s="1"/>
      <c r="F766" s="1"/>
      <c r="G766" s="1"/>
      <c r="H766" s="1"/>
    </row>
    <row r="767" spans="2:8" x14ac:dyDescent="0.2">
      <c r="B767" s="1"/>
      <c r="C767" s="1"/>
      <c r="D767" s="1"/>
      <c r="E767" s="1"/>
      <c r="F767" s="1"/>
      <c r="G767" s="1"/>
      <c r="H767" s="1"/>
    </row>
    <row r="768" spans="2:8" x14ac:dyDescent="0.2">
      <c r="B768" s="1"/>
      <c r="C768" s="1"/>
      <c r="D768" s="1"/>
      <c r="E768" s="1"/>
      <c r="F768" s="1"/>
      <c r="G768" s="1"/>
      <c r="H768" s="1"/>
    </row>
    <row r="769" spans="2:8" x14ac:dyDescent="0.2">
      <c r="B769" s="1"/>
      <c r="C769" s="1"/>
      <c r="D769" s="1"/>
      <c r="E769" s="1"/>
      <c r="F769" s="1"/>
      <c r="G769" s="1"/>
      <c r="H769" s="1"/>
    </row>
    <row r="770" spans="2:8" x14ac:dyDescent="0.2">
      <c r="B770" s="1"/>
      <c r="C770" s="1"/>
      <c r="D770" s="1"/>
      <c r="E770" s="1"/>
      <c r="F770" s="1"/>
      <c r="G770" s="1"/>
      <c r="H770" s="1"/>
    </row>
    <row r="771" spans="2:8" x14ac:dyDescent="0.2">
      <c r="B771" s="1"/>
      <c r="C771" s="1"/>
      <c r="D771" s="1"/>
      <c r="E771" s="1"/>
      <c r="F771" s="1"/>
      <c r="G771" s="1"/>
      <c r="H771" s="1"/>
    </row>
    <row r="772" spans="2:8" x14ac:dyDescent="0.2">
      <c r="B772" s="1"/>
      <c r="C772" s="1"/>
      <c r="D772" s="1"/>
      <c r="E772" s="1"/>
      <c r="F772" s="1"/>
      <c r="G772" s="1"/>
      <c r="H772" s="1"/>
    </row>
    <row r="773" spans="2:8" x14ac:dyDescent="0.2">
      <c r="B773" s="1"/>
      <c r="C773" s="1"/>
      <c r="D773" s="1"/>
      <c r="E773" s="1"/>
      <c r="F773" s="1"/>
      <c r="G773" s="1"/>
      <c r="H773" s="1"/>
    </row>
    <row r="774" spans="2:8" x14ac:dyDescent="0.2">
      <c r="B774" s="1"/>
      <c r="C774" s="1"/>
      <c r="D774" s="1"/>
      <c r="E774" s="1"/>
      <c r="F774" s="1"/>
      <c r="G774" s="1"/>
      <c r="H774" s="1"/>
    </row>
    <row r="775" spans="2:8" x14ac:dyDescent="0.2">
      <c r="B775" s="1"/>
      <c r="C775" s="1"/>
      <c r="D775" s="1"/>
      <c r="E775" s="1"/>
      <c r="F775" s="1"/>
      <c r="G775" s="1"/>
      <c r="H775" s="1"/>
    </row>
    <row r="776" spans="2:8" x14ac:dyDescent="0.2">
      <c r="B776" s="1"/>
      <c r="C776" s="1"/>
      <c r="D776" s="1"/>
      <c r="E776" s="1"/>
      <c r="F776" s="1"/>
      <c r="G776" s="1"/>
      <c r="H776" s="1"/>
    </row>
    <row r="777" spans="2:8" x14ac:dyDescent="0.2">
      <c r="B777" s="1"/>
      <c r="C777" s="1"/>
      <c r="D777" s="1"/>
      <c r="E777" s="1"/>
      <c r="F777" s="1"/>
      <c r="G777" s="1"/>
      <c r="H777" s="1"/>
    </row>
    <row r="778" spans="2:8" x14ac:dyDescent="0.2">
      <c r="B778" s="1"/>
      <c r="C778" s="1"/>
      <c r="D778" s="1"/>
      <c r="E778" s="1"/>
      <c r="F778" s="1"/>
      <c r="G778" s="1"/>
      <c r="H778" s="1"/>
    </row>
    <row r="779" spans="2:8" x14ac:dyDescent="0.2">
      <c r="B779" s="1"/>
      <c r="C779" s="1"/>
      <c r="D779" s="1"/>
      <c r="E779" s="1"/>
      <c r="F779" s="1"/>
      <c r="G779" s="1"/>
      <c r="H779" s="1"/>
    </row>
    <row r="780" spans="2:8" x14ac:dyDescent="0.2">
      <c r="B780" s="1"/>
      <c r="C780" s="1"/>
      <c r="D780" s="1"/>
      <c r="E780" s="1"/>
      <c r="F780" s="1"/>
      <c r="G780" s="1"/>
      <c r="H780" s="1"/>
    </row>
    <row r="781" spans="2:8" x14ac:dyDescent="0.2">
      <c r="B781" s="1"/>
      <c r="C781" s="1"/>
      <c r="D781" s="1"/>
      <c r="E781" s="1"/>
      <c r="F781" s="1"/>
      <c r="G781" s="1"/>
      <c r="H781" s="1"/>
    </row>
    <row r="782" spans="2:8" x14ac:dyDescent="0.2">
      <c r="B782" s="1"/>
      <c r="C782" s="1"/>
      <c r="D782" s="1"/>
      <c r="E782" s="1"/>
      <c r="F782" s="1"/>
      <c r="G782" s="1"/>
      <c r="H782" s="1"/>
    </row>
    <row r="783" spans="2:8" x14ac:dyDescent="0.2">
      <c r="B783" s="1"/>
      <c r="C783" s="1"/>
      <c r="D783" s="1"/>
      <c r="E783" s="1"/>
      <c r="F783" s="1"/>
      <c r="G783" s="1"/>
      <c r="H783" s="1"/>
    </row>
    <row r="784" spans="2:8" x14ac:dyDescent="0.2">
      <c r="B784" s="1"/>
      <c r="C784" s="1"/>
      <c r="D784" s="1"/>
      <c r="E784" s="1"/>
      <c r="F784" s="1"/>
      <c r="G784" s="1"/>
      <c r="H784" s="1"/>
    </row>
    <row r="785" spans="2:8" x14ac:dyDescent="0.2">
      <c r="B785" s="1"/>
      <c r="C785" s="1"/>
      <c r="D785" s="1"/>
      <c r="E785" s="1"/>
      <c r="F785" s="1"/>
      <c r="G785" s="1"/>
      <c r="H785" s="1"/>
    </row>
    <row r="786" spans="2:8" x14ac:dyDescent="0.2">
      <c r="B786" s="1"/>
      <c r="C786" s="1"/>
      <c r="D786" s="1"/>
      <c r="E786" s="1"/>
      <c r="F786" s="1"/>
      <c r="G786" s="1"/>
      <c r="H786" s="1"/>
    </row>
    <row r="787" spans="2:8" x14ac:dyDescent="0.2">
      <c r="B787" s="1"/>
      <c r="C787" s="1"/>
      <c r="D787" s="1"/>
      <c r="E787" s="1"/>
      <c r="F787" s="1"/>
      <c r="G787" s="1"/>
      <c r="H787" s="1"/>
    </row>
    <row r="788" spans="2:8" x14ac:dyDescent="0.2">
      <c r="B788" s="1"/>
      <c r="C788" s="1"/>
      <c r="D788" s="1"/>
      <c r="E788" s="1"/>
      <c r="F788" s="1"/>
      <c r="G788" s="1"/>
      <c r="H788" s="1"/>
    </row>
    <row r="789" spans="2:8" x14ac:dyDescent="0.2">
      <c r="B789" s="1"/>
      <c r="C789" s="1"/>
      <c r="D789" s="1"/>
      <c r="E789" s="1"/>
      <c r="F789" s="1"/>
      <c r="G789" s="1"/>
      <c r="H789" s="1"/>
    </row>
    <row r="790" spans="2:8" x14ac:dyDescent="0.2">
      <c r="B790" s="1"/>
      <c r="C790" s="1"/>
      <c r="D790" s="1"/>
      <c r="E790" s="1"/>
      <c r="F790" s="1"/>
      <c r="G790" s="1"/>
      <c r="H790" s="1"/>
    </row>
    <row r="791" spans="2:8" x14ac:dyDescent="0.2">
      <c r="B791" s="1"/>
      <c r="C791" s="1"/>
      <c r="D791" s="1"/>
      <c r="E791" s="1"/>
      <c r="F791" s="1"/>
      <c r="G791" s="1"/>
      <c r="H791" s="1"/>
    </row>
    <row r="792" spans="2:8" x14ac:dyDescent="0.2">
      <c r="B792" s="1"/>
      <c r="C792" s="1"/>
      <c r="D792" s="1"/>
      <c r="E792" s="1"/>
      <c r="F792" s="1"/>
      <c r="G792" s="1"/>
      <c r="H792" s="1"/>
    </row>
    <row r="793" spans="2:8" x14ac:dyDescent="0.2">
      <c r="B793" s="1"/>
      <c r="C793" s="1"/>
      <c r="D793" s="1"/>
      <c r="E793" s="1"/>
      <c r="F793" s="1"/>
      <c r="G793" s="1"/>
      <c r="H793" s="1"/>
    </row>
    <row r="794" spans="2:8" x14ac:dyDescent="0.2">
      <c r="B794" s="1"/>
      <c r="C794" s="1"/>
      <c r="D794" s="1"/>
      <c r="E794" s="1"/>
      <c r="F794" s="1"/>
      <c r="G794" s="1"/>
      <c r="H794" s="1"/>
    </row>
    <row r="795" spans="2:8" x14ac:dyDescent="0.2">
      <c r="B795" s="1"/>
      <c r="C795" s="1"/>
      <c r="D795" s="1"/>
      <c r="E795" s="1"/>
      <c r="F795" s="1"/>
      <c r="G795" s="1"/>
      <c r="H795" s="1"/>
    </row>
    <row r="796" spans="2:8" x14ac:dyDescent="0.2">
      <c r="B796" s="1"/>
      <c r="C796" s="1"/>
      <c r="D796" s="1"/>
      <c r="E796" s="1"/>
      <c r="F796" s="1"/>
      <c r="G796" s="1"/>
      <c r="H796" s="1"/>
    </row>
    <row r="797" spans="2:8" x14ac:dyDescent="0.2">
      <c r="B797" s="1"/>
      <c r="C797" s="1"/>
      <c r="D797" s="1"/>
      <c r="E797" s="1"/>
      <c r="F797" s="1"/>
      <c r="G797" s="1"/>
      <c r="H797" s="1"/>
    </row>
    <row r="798" spans="2:8" x14ac:dyDescent="0.2">
      <c r="B798" s="1"/>
      <c r="C798" s="1"/>
      <c r="D798" s="1"/>
      <c r="E798" s="1"/>
      <c r="F798" s="1"/>
      <c r="G798" s="1"/>
      <c r="H798" s="1"/>
    </row>
    <row r="799" spans="2:8" x14ac:dyDescent="0.2">
      <c r="B799" s="1"/>
      <c r="C799" s="1"/>
      <c r="D799" s="1"/>
      <c r="E799" s="1"/>
      <c r="F799" s="1"/>
      <c r="G799" s="1"/>
      <c r="H799" s="1"/>
    </row>
    <row r="800" spans="2:8" x14ac:dyDescent="0.2">
      <c r="B800" s="1"/>
      <c r="C800" s="1"/>
      <c r="D800" s="1"/>
      <c r="E800" s="1"/>
      <c r="F800" s="1"/>
      <c r="G800" s="1"/>
      <c r="H800" s="1"/>
    </row>
    <row r="801" spans="2:8" x14ac:dyDescent="0.2">
      <c r="B801" s="1"/>
      <c r="C801" s="1"/>
      <c r="D801" s="1"/>
      <c r="E801" s="1"/>
      <c r="F801" s="1"/>
      <c r="G801" s="1"/>
      <c r="H801" s="1"/>
    </row>
    <row r="802" spans="2:8" x14ac:dyDescent="0.2">
      <c r="B802" s="1"/>
      <c r="C802" s="1"/>
      <c r="D802" s="1"/>
      <c r="E802" s="1"/>
      <c r="F802" s="1"/>
      <c r="G802" s="1"/>
      <c r="H802" s="1"/>
    </row>
    <row r="803" spans="2:8" x14ac:dyDescent="0.2">
      <c r="B803" s="1"/>
      <c r="C803" s="1"/>
      <c r="D803" s="1"/>
      <c r="E803" s="1"/>
      <c r="F803" s="1"/>
      <c r="G803" s="1"/>
      <c r="H803" s="1"/>
    </row>
    <row r="804" spans="2:8" x14ac:dyDescent="0.2">
      <c r="B804" s="1"/>
      <c r="C804" s="1"/>
      <c r="D804" s="1"/>
      <c r="E804" s="1"/>
      <c r="F804" s="1"/>
      <c r="G804" s="1"/>
      <c r="H804" s="1"/>
    </row>
    <row r="805" spans="2:8" x14ac:dyDescent="0.2">
      <c r="B805" s="1"/>
      <c r="C805" s="1"/>
      <c r="D805" s="1"/>
      <c r="E805" s="1"/>
      <c r="F805" s="1"/>
      <c r="G805" s="1"/>
      <c r="H805" s="1"/>
    </row>
    <row r="806" spans="2:8" x14ac:dyDescent="0.2">
      <c r="B806" s="1"/>
      <c r="C806" s="1"/>
      <c r="D806" s="1"/>
      <c r="E806" s="1"/>
      <c r="F806" s="1"/>
      <c r="G806" s="1"/>
      <c r="H806" s="1"/>
    </row>
    <row r="807" spans="2:8" x14ac:dyDescent="0.2">
      <c r="B807" s="1"/>
      <c r="C807" s="1"/>
      <c r="D807" s="1"/>
      <c r="E807" s="1"/>
      <c r="F807" s="1"/>
      <c r="G807" s="1"/>
      <c r="H807" s="1"/>
    </row>
    <row r="808" spans="2:8" x14ac:dyDescent="0.2">
      <c r="B808" s="1"/>
      <c r="C808" s="1"/>
      <c r="D808" s="1"/>
      <c r="E808" s="1"/>
      <c r="F808" s="1"/>
      <c r="G808" s="1"/>
      <c r="H808" s="1"/>
    </row>
    <row r="809" spans="2:8" x14ac:dyDescent="0.2">
      <c r="B809" s="1"/>
      <c r="C809" s="1"/>
      <c r="D809" s="1"/>
      <c r="E809" s="1"/>
      <c r="F809" s="1"/>
      <c r="G809" s="1"/>
      <c r="H809" s="1"/>
    </row>
    <row r="810" spans="2:8" x14ac:dyDescent="0.2">
      <c r="B810" s="1"/>
      <c r="C810" s="1"/>
      <c r="D810" s="1"/>
      <c r="E810" s="1"/>
      <c r="F810" s="1"/>
      <c r="G810" s="1"/>
      <c r="H810" s="1"/>
    </row>
    <row r="811" spans="2:8" x14ac:dyDescent="0.2">
      <c r="B811" s="1"/>
      <c r="C811" s="1"/>
      <c r="D811" s="1"/>
      <c r="E811" s="1"/>
      <c r="F811" s="1"/>
      <c r="G811" s="1"/>
      <c r="H811" s="1"/>
    </row>
    <row r="812" spans="2:8" x14ac:dyDescent="0.2">
      <c r="B812" s="1"/>
      <c r="C812" s="1"/>
      <c r="D812" s="1"/>
      <c r="E812" s="1"/>
      <c r="F812" s="1"/>
      <c r="G812" s="1"/>
      <c r="H812" s="1"/>
    </row>
    <row r="813" spans="2:8" x14ac:dyDescent="0.2">
      <c r="B813" s="1"/>
      <c r="C813" s="1"/>
      <c r="D813" s="1"/>
      <c r="E813" s="1"/>
      <c r="F813" s="1"/>
      <c r="G813" s="1"/>
      <c r="H813" s="1"/>
    </row>
    <row r="814" spans="2:8" x14ac:dyDescent="0.2">
      <c r="B814" s="1"/>
      <c r="C814" s="1"/>
      <c r="D814" s="1"/>
      <c r="E814" s="1"/>
      <c r="F814" s="1"/>
      <c r="G814" s="1"/>
      <c r="H814" s="1"/>
    </row>
    <row r="815" spans="2:8" x14ac:dyDescent="0.2">
      <c r="B815" s="1"/>
      <c r="C815" s="1"/>
      <c r="D815" s="1"/>
      <c r="E815" s="1"/>
      <c r="F815" s="1"/>
      <c r="G815" s="1"/>
      <c r="H815" s="1"/>
    </row>
    <row r="816" spans="2:8" x14ac:dyDescent="0.2">
      <c r="B816" s="1"/>
      <c r="C816" s="1"/>
      <c r="D816" s="1"/>
      <c r="E816" s="1"/>
      <c r="F816" s="1"/>
      <c r="G816" s="1"/>
      <c r="H816" s="1"/>
    </row>
    <row r="817" spans="2:8" x14ac:dyDescent="0.2">
      <c r="B817" s="1"/>
      <c r="C817" s="1"/>
      <c r="D817" s="1"/>
      <c r="E817" s="1"/>
      <c r="F817" s="1"/>
      <c r="G817" s="1"/>
      <c r="H817" s="1"/>
    </row>
    <row r="818" spans="2:8" x14ac:dyDescent="0.2">
      <c r="B818" s="1"/>
      <c r="C818" s="1"/>
      <c r="D818" s="1"/>
      <c r="E818" s="1"/>
      <c r="F818" s="1"/>
      <c r="G818" s="1"/>
      <c r="H818" s="1"/>
    </row>
    <row r="819" spans="2:8" x14ac:dyDescent="0.2">
      <c r="B819" s="1"/>
      <c r="C819" s="1"/>
      <c r="D819" s="1"/>
      <c r="E819" s="1"/>
      <c r="F819" s="1"/>
      <c r="G819" s="1"/>
      <c r="H819" s="1"/>
    </row>
    <row r="820" spans="2:8" x14ac:dyDescent="0.2">
      <c r="B820" s="1"/>
      <c r="C820" s="1"/>
      <c r="D820" s="1"/>
      <c r="E820" s="1"/>
      <c r="F820" s="1"/>
      <c r="G820" s="1"/>
      <c r="H820" s="1"/>
    </row>
    <row r="821" spans="2:8" x14ac:dyDescent="0.2">
      <c r="B821" s="1"/>
      <c r="C821" s="1"/>
      <c r="D821" s="1"/>
      <c r="E821" s="1"/>
      <c r="F821" s="1"/>
      <c r="G821" s="1"/>
      <c r="H821" s="1"/>
    </row>
    <row r="822" spans="2:8" x14ac:dyDescent="0.2">
      <c r="B822" s="1"/>
      <c r="C822" s="1"/>
      <c r="D822" s="1"/>
      <c r="E822" s="1"/>
      <c r="F822" s="1"/>
      <c r="G822" s="1"/>
      <c r="H822" s="1"/>
    </row>
    <row r="823" spans="2:8" x14ac:dyDescent="0.2">
      <c r="B823" s="1"/>
      <c r="C823" s="1"/>
      <c r="D823" s="1"/>
      <c r="E823" s="1"/>
      <c r="F823" s="1"/>
      <c r="G823" s="1"/>
      <c r="H823" s="1"/>
    </row>
    <row r="824" spans="2:8" x14ac:dyDescent="0.2">
      <c r="B824" s="1"/>
      <c r="C824" s="1"/>
      <c r="D824" s="1"/>
      <c r="E824" s="1"/>
      <c r="F824" s="1"/>
      <c r="G824" s="1"/>
      <c r="H824" s="1"/>
    </row>
    <row r="825" spans="2:8" x14ac:dyDescent="0.2">
      <c r="B825" s="1"/>
      <c r="C825" s="1"/>
      <c r="D825" s="1"/>
      <c r="E825" s="1"/>
      <c r="F825" s="1"/>
      <c r="G825" s="1"/>
      <c r="H825" s="1"/>
    </row>
    <row r="826" spans="2:8" x14ac:dyDescent="0.2">
      <c r="B826" s="1"/>
      <c r="C826" s="1"/>
      <c r="D826" s="1"/>
      <c r="E826" s="1"/>
      <c r="F826" s="1"/>
      <c r="G826" s="1"/>
      <c r="H826" s="1"/>
    </row>
    <row r="827" spans="2:8" x14ac:dyDescent="0.2">
      <c r="B827" s="1"/>
      <c r="C827" s="1"/>
      <c r="D827" s="1"/>
      <c r="E827" s="1"/>
      <c r="F827" s="1"/>
      <c r="G827" s="1"/>
      <c r="H827" s="1"/>
    </row>
    <row r="828" spans="2:8" x14ac:dyDescent="0.2">
      <c r="B828" s="1"/>
      <c r="C828" s="1"/>
      <c r="D828" s="1"/>
      <c r="E828" s="1"/>
      <c r="F828" s="1"/>
      <c r="G828" s="1"/>
      <c r="H828" s="1"/>
    </row>
    <row r="829" spans="2:8" x14ac:dyDescent="0.2">
      <c r="B829" s="1"/>
      <c r="C829" s="1"/>
      <c r="D829" s="1"/>
      <c r="E829" s="1"/>
      <c r="F829" s="1"/>
      <c r="G829" s="1"/>
      <c r="H829" s="1"/>
    </row>
    <row r="830" spans="2:8" x14ac:dyDescent="0.2">
      <c r="B830" s="1"/>
      <c r="C830" s="1"/>
      <c r="D830" s="1"/>
      <c r="E830" s="1"/>
      <c r="F830" s="1"/>
      <c r="G830" s="1"/>
      <c r="H830" s="1"/>
    </row>
    <row r="831" spans="2:8" x14ac:dyDescent="0.2">
      <c r="B831" s="1"/>
      <c r="C831" s="1"/>
      <c r="D831" s="1"/>
      <c r="E831" s="1"/>
      <c r="F831" s="1"/>
      <c r="G831" s="1"/>
      <c r="H831" s="1"/>
    </row>
    <row r="832" spans="2:8" x14ac:dyDescent="0.2">
      <c r="B832" s="1"/>
      <c r="C832" s="1"/>
      <c r="D832" s="1"/>
      <c r="E832" s="1"/>
      <c r="F832" s="1"/>
      <c r="G832" s="1"/>
      <c r="H832" s="1"/>
    </row>
    <row r="833" spans="2:8" x14ac:dyDescent="0.2">
      <c r="B833" s="1"/>
      <c r="C833" s="1"/>
      <c r="D833" s="1"/>
      <c r="E833" s="1"/>
      <c r="F833" s="1"/>
      <c r="G833" s="1"/>
      <c r="H833" s="1"/>
    </row>
    <row r="834" spans="2:8" x14ac:dyDescent="0.2">
      <c r="B834" s="1"/>
      <c r="C834" s="1"/>
      <c r="D834" s="1"/>
      <c r="E834" s="1"/>
      <c r="F834" s="1"/>
      <c r="G834" s="1"/>
      <c r="H834" s="1"/>
    </row>
    <row r="835" spans="2:8" x14ac:dyDescent="0.2">
      <c r="B835" s="1"/>
      <c r="C835" s="1"/>
      <c r="D835" s="1"/>
      <c r="E835" s="1"/>
      <c r="F835" s="1"/>
      <c r="G835" s="1"/>
      <c r="H835" s="1"/>
    </row>
    <row r="836" spans="2:8" x14ac:dyDescent="0.2">
      <c r="B836" s="1"/>
      <c r="C836" s="1"/>
      <c r="D836" s="1"/>
      <c r="E836" s="1"/>
      <c r="F836" s="1"/>
      <c r="G836" s="1"/>
      <c r="H836" s="1"/>
    </row>
    <row r="837" spans="2:8" x14ac:dyDescent="0.2">
      <c r="B837" s="1"/>
      <c r="C837" s="1"/>
      <c r="D837" s="1"/>
      <c r="E837" s="1"/>
      <c r="F837" s="1"/>
      <c r="G837" s="1"/>
      <c r="H837" s="1"/>
    </row>
    <row r="838" spans="2:8" x14ac:dyDescent="0.2">
      <c r="B838" s="1"/>
      <c r="C838" s="1"/>
      <c r="D838" s="1"/>
      <c r="E838" s="1"/>
      <c r="F838" s="1"/>
      <c r="G838" s="1"/>
      <c r="H838" s="1"/>
    </row>
    <row r="839" spans="2:8" x14ac:dyDescent="0.2">
      <c r="B839" s="1"/>
      <c r="C839" s="1"/>
      <c r="D839" s="1"/>
      <c r="E839" s="1"/>
      <c r="F839" s="1"/>
      <c r="G839" s="1"/>
      <c r="H839" s="1"/>
    </row>
    <row r="840" spans="2:8" x14ac:dyDescent="0.2">
      <c r="B840" s="1"/>
      <c r="C840" s="1"/>
      <c r="D840" s="1"/>
      <c r="E840" s="1"/>
      <c r="F840" s="1"/>
      <c r="G840" s="1"/>
      <c r="H840" s="1"/>
    </row>
    <row r="841" spans="2:8" x14ac:dyDescent="0.2">
      <c r="B841" s="1"/>
      <c r="C841" s="1"/>
      <c r="D841" s="1"/>
      <c r="E841" s="1"/>
      <c r="F841" s="1"/>
      <c r="G841" s="1"/>
      <c r="H841" s="1"/>
    </row>
    <row r="842" spans="2:8" x14ac:dyDescent="0.2">
      <c r="B842" s="1"/>
      <c r="C842" s="1"/>
      <c r="D842" s="1"/>
      <c r="E842" s="1"/>
      <c r="F842" s="1"/>
      <c r="G842" s="1"/>
      <c r="H842" s="1"/>
    </row>
    <row r="843" spans="2:8" x14ac:dyDescent="0.2">
      <c r="B843" s="1"/>
      <c r="C843" s="1"/>
      <c r="D843" s="1"/>
      <c r="E843" s="1"/>
      <c r="F843" s="1"/>
      <c r="G843" s="1"/>
      <c r="H843" s="1"/>
    </row>
    <row r="844" spans="2:8" x14ac:dyDescent="0.2">
      <c r="B844" s="1"/>
      <c r="C844" s="1"/>
      <c r="D844" s="1"/>
      <c r="E844" s="1"/>
      <c r="F844" s="1"/>
      <c r="G844" s="1"/>
      <c r="H844" s="1"/>
    </row>
    <row r="845" spans="2:8" x14ac:dyDescent="0.2">
      <c r="B845" s="1"/>
      <c r="C845" s="1"/>
      <c r="D845" s="1"/>
      <c r="E845" s="1"/>
      <c r="F845" s="1"/>
      <c r="G845" s="1"/>
      <c r="H845" s="1"/>
    </row>
    <row r="846" spans="2:8" x14ac:dyDescent="0.2">
      <c r="B846" s="1"/>
      <c r="C846" s="1"/>
      <c r="D846" s="1"/>
      <c r="E846" s="1"/>
      <c r="F846" s="1"/>
      <c r="G846" s="1"/>
      <c r="H846" s="1"/>
    </row>
    <row r="847" spans="2:8" x14ac:dyDescent="0.2">
      <c r="B847" s="1"/>
      <c r="C847" s="1"/>
      <c r="D847" s="1"/>
      <c r="E847" s="1"/>
      <c r="F847" s="1"/>
      <c r="G847" s="1"/>
      <c r="H847" s="1"/>
    </row>
    <row r="848" spans="2:8" x14ac:dyDescent="0.2">
      <c r="B848" s="1"/>
      <c r="C848" s="1"/>
      <c r="D848" s="1"/>
      <c r="E848" s="1"/>
      <c r="F848" s="1"/>
      <c r="G848" s="1"/>
      <c r="H848" s="1"/>
    </row>
    <row r="849" spans="2:8" x14ac:dyDescent="0.2">
      <c r="B849" s="1"/>
      <c r="C849" s="1"/>
      <c r="D849" s="1"/>
      <c r="E849" s="1"/>
      <c r="F849" s="1"/>
      <c r="G849" s="1"/>
      <c r="H849" s="1"/>
    </row>
    <row r="850" spans="2:8" x14ac:dyDescent="0.2">
      <c r="B850" s="1"/>
      <c r="C850" s="1"/>
      <c r="D850" s="1"/>
      <c r="E850" s="1"/>
      <c r="F850" s="1"/>
      <c r="G850" s="1"/>
      <c r="H850" s="1"/>
    </row>
    <row r="851" spans="2:8" x14ac:dyDescent="0.2">
      <c r="B851" s="1"/>
      <c r="C851" s="1"/>
      <c r="D851" s="1"/>
      <c r="E851" s="1"/>
      <c r="F851" s="1"/>
      <c r="G851" s="1"/>
      <c r="H851" s="1"/>
    </row>
    <row r="852" spans="2:8" x14ac:dyDescent="0.2">
      <c r="B852" s="1"/>
      <c r="C852" s="1"/>
      <c r="D852" s="1"/>
      <c r="E852" s="1"/>
      <c r="F852" s="1"/>
      <c r="G852" s="1"/>
      <c r="H852" s="1"/>
    </row>
    <row r="853" spans="2:8" x14ac:dyDescent="0.2">
      <c r="B853" s="1"/>
      <c r="C853" s="1"/>
      <c r="D853" s="1"/>
      <c r="E853" s="1"/>
      <c r="F853" s="1"/>
      <c r="G853" s="1"/>
      <c r="H853" s="1"/>
    </row>
    <row r="854" spans="2:8" x14ac:dyDescent="0.2">
      <c r="B854" s="1"/>
      <c r="C854" s="1"/>
      <c r="D854" s="1"/>
      <c r="E854" s="1"/>
      <c r="F854" s="1"/>
      <c r="G854" s="1"/>
      <c r="H854" s="1"/>
    </row>
    <row r="855" spans="2:8" x14ac:dyDescent="0.2">
      <c r="B855" s="1"/>
      <c r="C855" s="1"/>
      <c r="D855" s="1"/>
      <c r="E855" s="1"/>
      <c r="F855" s="1"/>
      <c r="G855" s="1"/>
      <c r="H855" s="1"/>
    </row>
    <row r="856" spans="2:8" x14ac:dyDescent="0.2">
      <c r="B856" s="1"/>
      <c r="C856" s="1"/>
      <c r="D856" s="1"/>
      <c r="E856" s="1"/>
      <c r="F856" s="1"/>
      <c r="G856" s="1"/>
      <c r="H856" s="1"/>
    </row>
    <row r="857" spans="2:8" x14ac:dyDescent="0.2">
      <c r="B857" s="1"/>
      <c r="C857" s="1"/>
      <c r="D857" s="1"/>
      <c r="E857" s="1"/>
      <c r="F857" s="1"/>
      <c r="G857" s="1"/>
      <c r="H857" s="1"/>
    </row>
    <row r="858" spans="2:8" x14ac:dyDescent="0.2">
      <c r="B858" s="1"/>
      <c r="C858" s="1"/>
      <c r="D858" s="1"/>
      <c r="E858" s="1"/>
      <c r="F858" s="1"/>
      <c r="G858" s="1"/>
      <c r="H858" s="1"/>
    </row>
    <row r="859" spans="2:8" x14ac:dyDescent="0.2">
      <c r="B859" s="1"/>
      <c r="C859" s="1"/>
      <c r="D859" s="1"/>
      <c r="E859" s="1"/>
      <c r="F859" s="1"/>
      <c r="G859" s="1"/>
      <c r="H859" s="1"/>
    </row>
    <row r="860" spans="2:8" x14ac:dyDescent="0.2">
      <c r="B860" s="1"/>
      <c r="C860" s="1"/>
      <c r="D860" s="1"/>
      <c r="E860" s="1"/>
      <c r="F860" s="1"/>
      <c r="G860" s="1"/>
      <c r="H860" s="1"/>
    </row>
    <row r="861" spans="2:8" x14ac:dyDescent="0.2">
      <c r="B861" s="1"/>
      <c r="C861" s="1"/>
      <c r="D861" s="1"/>
      <c r="E861" s="1"/>
      <c r="F861" s="1"/>
      <c r="G861" s="1"/>
      <c r="H861" s="1"/>
    </row>
    <row r="862" spans="2:8" x14ac:dyDescent="0.2">
      <c r="B862" s="1"/>
      <c r="C862" s="1"/>
      <c r="D862" s="1"/>
      <c r="E862" s="1"/>
      <c r="F862" s="1"/>
      <c r="G862" s="1"/>
      <c r="H862" s="1"/>
    </row>
    <row r="863" spans="2:8" x14ac:dyDescent="0.2">
      <c r="B863" s="1"/>
      <c r="C863" s="1"/>
      <c r="D863" s="1"/>
      <c r="E863" s="1"/>
      <c r="F863" s="1"/>
      <c r="G863" s="1"/>
      <c r="H863" s="1"/>
    </row>
    <row r="864" spans="2:8" x14ac:dyDescent="0.2">
      <c r="B864" s="1"/>
      <c r="C864" s="1"/>
      <c r="D864" s="1"/>
      <c r="E864" s="1"/>
      <c r="F864" s="1"/>
      <c r="G864" s="1"/>
      <c r="H864" s="1"/>
    </row>
    <row r="865" spans="2:8" x14ac:dyDescent="0.2">
      <c r="B865" s="1"/>
      <c r="C865" s="1"/>
      <c r="D865" s="1"/>
      <c r="E865" s="1"/>
      <c r="F865" s="1"/>
      <c r="G865" s="1"/>
      <c r="H865" s="1"/>
    </row>
    <row r="866" spans="2:8" x14ac:dyDescent="0.2">
      <c r="B866" s="1"/>
      <c r="C866" s="1"/>
      <c r="D866" s="1"/>
      <c r="E866" s="1"/>
      <c r="F866" s="1"/>
      <c r="G866" s="1"/>
      <c r="H866" s="1"/>
    </row>
    <row r="867" spans="2:8" x14ac:dyDescent="0.2">
      <c r="B867" s="1"/>
      <c r="C867" s="1"/>
      <c r="D867" s="1"/>
      <c r="E867" s="1"/>
      <c r="F867" s="1"/>
      <c r="G867" s="1"/>
      <c r="H867" s="1"/>
    </row>
  </sheetData>
  <mergeCells count="6">
    <mergeCell ref="M7:O8"/>
    <mergeCell ref="M9:O10"/>
    <mergeCell ref="J2:J3"/>
    <mergeCell ref="C3:E3"/>
    <mergeCell ref="C2:E2"/>
    <mergeCell ref="M5:O6"/>
  </mergeCells>
  <phoneticPr fontId="5" type="noConversion"/>
  <hyperlinks>
    <hyperlink ref="M1" location="'Main'!A1" display="Main" xr:uid="{00000000-0004-0000-0E00-000000000000}"/>
  </hyperlinks>
  <pageMargins left="0.75" right="0.75" top="1" bottom="1" header="0.5" footer="0.5"/>
  <pageSetup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8674" r:id="rId4" name="Button 2">
              <controlPr defaultSize="0" print="0" autoFill="0" autoPict="0" macro="[0]!ExportFile">
                <anchor moveWithCells="1" sizeWithCells="1">
                  <from>
                    <xdr:col>6</xdr:col>
                    <xdr:colOff>57150</xdr:colOff>
                    <xdr:row>1</xdr:row>
                    <xdr:rowOff>19050</xdr:rowOff>
                  </from>
                  <to>
                    <xdr:col>6</xdr:col>
                    <xdr:colOff>628650</xdr:colOff>
                    <xdr:row>2</xdr:row>
                    <xdr:rowOff>219075</xdr:rowOff>
                  </to>
                </anchor>
              </controlPr>
            </control>
          </mc:Choice>
        </mc:AlternateContent>
        <mc:AlternateContent xmlns:mc="http://schemas.openxmlformats.org/markup-compatibility/2006">
          <mc:Choice Requires="x14">
            <control shapeId="28676" r:id="rId5" name="Button 4">
              <controlPr defaultSize="0" print="0" autoFill="0" autoPict="0" macro="[0]!GenerateCompartments">
                <anchor moveWithCells="1" sizeWithCells="1">
                  <from>
                    <xdr:col>5</xdr:col>
                    <xdr:colOff>76200</xdr:colOff>
                    <xdr:row>1</xdr:row>
                    <xdr:rowOff>19050</xdr:rowOff>
                  </from>
                  <to>
                    <xdr:col>5</xdr:col>
                    <xdr:colOff>714375</xdr:colOff>
                    <xdr:row>2</xdr:row>
                    <xdr:rowOff>219075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9">
    <tabColor indexed="46"/>
  </sheetPr>
  <dimension ref="A1:O1354"/>
  <sheetViews>
    <sheetView topLeftCell="A4" workbookViewId="0"/>
  </sheetViews>
  <sheetFormatPr defaultColWidth="9.28515625" defaultRowHeight="12.75" x14ac:dyDescent="0.2"/>
  <cols>
    <col min="1" max="1" width="4.28515625" style="244" customWidth="1"/>
    <col min="2" max="2" width="9.28515625" style="1"/>
    <col min="3" max="3" width="16.5703125" style="1" customWidth="1"/>
    <col min="4" max="4" width="11.5703125" style="1" bestFit="1" customWidth="1"/>
    <col min="5" max="5" width="9.28515625" style="1"/>
    <col min="6" max="6" width="12.5703125" style="1" bestFit="1" customWidth="1"/>
    <col min="7" max="7" width="14.7109375" style="1" customWidth="1"/>
    <col min="8" max="8" width="9.28515625" style="1"/>
    <col min="9" max="9" width="4.28515625" style="244" customWidth="1"/>
    <col min="10" max="10" width="60.7109375" style="177" customWidth="1"/>
    <col min="11" max="11" width="4.28515625" style="244" customWidth="1"/>
    <col min="12" max="12" width="4.28515625" style="1" customWidth="1"/>
    <col min="13" max="15" width="8.5703125" style="1" customWidth="1"/>
    <col min="16" max="16384" width="9.28515625" style="1"/>
  </cols>
  <sheetData>
    <row r="1" spans="1:15" ht="13.5" thickBot="1" x14ac:dyDescent="0.25">
      <c r="A1" s="171"/>
      <c r="B1" s="62"/>
      <c r="C1" s="62"/>
      <c r="D1" s="62"/>
      <c r="E1" s="62"/>
      <c r="F1" s="62"/>
      <c r="G1" s="62"/>
      <c r="H1" s="62"/>
      <c r="I1" s="173"/>
      <c r="J1" s="62"/>
      <c r="K1" s="175"/>
      <c r="L1" s="54"/>
      <c r="M1" s="54" t="s">
        <v>13</v>
      </c>
    </row>
    <row r="2" spans="1:15" ht="46.5" customHeight="1" x14ac:dyDescent="0.2">
      <c r="A2" s="172"/>
      <c r="B2" s="61" t="s">
        <v>8</v>
      </c>
      <c r="C2" s="592" t="str">
        <f>setupfile_dir</f>
        <v>C:\RTR\Foundries\TRIM</v>
      </c>
      <c r="D2" s="593"/>
      <c r="E2" s="594"/>
      <c r="F2" s="244"/>
      <c r="G2" s="174"/>
      <c r="H2" s="244"/>
      <c r="I2" s="174"/>
      <c r="J2" s="595" t="s">
        <v>237</v>
      </c>
      <c r="K2" s="176"/>
    </row>
    <row r="3" spans="1:15" ht="26.25" thickBot="1" x14ac:dyDescent="0.25">
      <c r="A3" s="172"/>
      <c r="B3" s="53" t="s">
        <v>7</v>
      </c>
      <c r="C3" s="597" t="str">
        <f>scenario_name &amp; " (4) Properties.txt"</f>
        <v>Foundries_SS (4) Properties.txt</v>
      </c>
      <c r="D3" s="598"/>
      <c r="E3" s="599"/>
      <c r="F3" s="244"/>
      <c r="G3" s="245"/>
      <c r="H3" s="244"/>
      <c r="I3" s="174"/>
      <c r="J3" s="596"/>
      <c r="K3" s="176"/>
    </row>
    <row r="4" spans="1:15" ht="13.5" thickBot="1" x14ac:dyDescent="0.25">
      <c r="A4" s="172"/>
      <c r="B4" s="59"/>
      <c r="C4" s="59"/>
      <c r="D4" s="59"/>
      <c r="E4" s="59"/>
      <c r="F4" s="59"/>
      <c r="G4" s="59"/>
      <c r="H4" s="59"/>
      <c r="I4" s="174"/>
      <c r="J4" s="59"/>
      <c r="K4" s="176"/>
    </row>
    <row r="5" spans="1:15" ht="12.75" customHeight="1" x14ac:dyDescent="0.2">
      <c r="A5" s="172"/>
      <c r="B5" s="1" t="s">
        <v>546</v>
      </c>
      <c r="I5" s="174"/>
      <c r="J5" s="178" t="str">
        <f>ConcatenateWithSpaces($B$5:$H$5)</f>
        <v>// TRIM.FaTE scenario properties</v>
      </c>
      <c r="K5" s="176"/>
      <c r="M5" s="600" t="s">
        <v>231</v>
      </c>
      <c r="N5" s="601"/>
      <c r="O5" s="602"/>
    </row>
    <row r="6" spans="1:15" ht="13.5" thickBot="1" x14ac:dyDescent="0.25">
      <c r="A6" s="172"/>
      <c r="I6" s="174"/>
      <c r="J6" s="177" t="str">
        <f>ConcatenateWithSpaces($B$6:$H$6)</f>
        <v/>
      </c>
      <c r="K6" s="176"/>
      <c r="M6" s="603"/>
      <c r="N6" s="604"/>
      <c r="O6" s="605"/>
    </row>
    <row r="7" spans="1:15" x14ac:dyDescent="0.2">
      <c r="A7" s="172"/>
      <c r="B7" s="26" t="str">
        <f>"// "&amp; Parameters!$J$7</f>
        <v>// Foundries_SS</v>
      </c>
      <c r="I7" s="174"/>
      <c r="J7" s="177" t="str">
        <f>ConcatenateWithSpaces($B$7:$H$7)</f>
        <v>// Foundries_SS</v>
      </c>
      <c r="K7" s="176"/>
      <c r="M7" s="518" t="s">
        <v>232</v>
      </c>
      <c r="N7" s="519"/>
      <c r="O7" s="520"/>
    </row>
    <row r="8" spans="1:15" ht="13.5" thickBot="1" x14ac:dyDescent="0.25">
      <c r="A8" s="172"/>
      <c r="B8" s="26" t="str">
        <f>"// "&amp; Parameters!$J$9</f>
        <v>// Site-specific scenario for Int Iron Steel Foundries in Wexford County, MI</v>
      </c>
      <c r="I8" s="174"/>
      <c r="J8" s="177" t="str">
        <f>ConcatenateWithSpaces($B$8:$H$8)</f>
        <v>// Site-specific scenario for Int Iron Steel Foundries in Wexford County, MI</v>
      </c>
      <c r="K8" s="176"/>
      <c r="M8" s="606"/>
      <c r="N8" s="607"/>
      <c r="O8" s="608"/>
    </row>
    <row r="9" spans="1:15" x14ac:dyDescent="0.2">
      <c r="A9" s="172"/>
      <c r="I9" s="174"/>
      <c r="J9" s="177" t="str">
        <f>ConcatenateWithSpaces($B$9:$H$9)</f>
        <v/>
      </c>
      <c r="K9" s="176"/>
      <c r="M9" s="586" t="s">
        <v>233</v>
      </c>
      <c r="N9" s="587"/>
      <c r="O9" s="588"/>
    </row>
    <row r="10" spans="1:15" ht="13.5" thickBot="1" x14ac:dyDescent="0.25">
      <c r="A10" s="172"/>
      <c r="B10" s="1" t="s">
        <v>374</v>
      </c>
      <c r="C10" s="185">
        <f ca="1">NOW()</f>
        <v>43843.428775231485</v>
      </c>
      <c r="I10" s="174"/>
      <c r="J10" s="177" t="str">
        <f ca="1">ConcatenateWithSpaces($B$10:$H$10)</f>
        <v>// Generated:  1/13/2020 10:17:26 AM</v>
      </c>
      <c r="K10" s="176"/>
      <c r="M10" s="589"/>
      <c r="N10" s="590"/>
      <c r="O10" s="591"/>
    </row>
    <row r="11" spans="1:15" x14ac:dyDescent="0.2">
      <c r="A11" s="172"/>
      <c r="I11" s="174"/>
      <c r="J11" s="177" t="str">
        <f>ConcatenateWithSpaces($B$11:$H$11)</f>
        <v/>
      </c>
      <c r="K11" s="176"/>
    </row>
    <row r="12" spans="1:15" x14ac:dyDescent="0.2">
      <c r="A12" s="172"/>
      <c r="B12" s="1" t="s">
        <v>562</v>
      </c>
      <c r="I12" s="174"/>
      <c r="J12" s="177" t="str">
        <f>ConcatenateWithSpaces($B$12:$H$12)</f>
        <v>// *****************************************************</v>
      </c>
      <c r="K12" s="176"/>
    </row>
    <row r="13" spans="1:15" x14ac:dyDescent="0.2">
      <c r="A13" s="172"/>
      <c r="B13" s="1" t="s">
        <v>563</v>
      </c>
      <c r="I13" s="174"/>
      <c r="J13" s="177" t="str">
        <f>ConcatenateWithSpaces($B$13:$H$13)</f>
        <v>// NOTE: You must use the TRIM.FaTE interface to perform</v>
      </c>
      <c r="K13" s="176"/>
    </row>
    <row r="14" spans="1:15" x14ac:dyDescent="0.2">
      <c r="A14" s="172"/>
      <c r="B14" s="1" t="s">
        <v>564</v>
      </c>
      <c r="I14" s="174"/>
      <c r="J14" s="177" t="str">
        <f>ConcatenateWithSpaces($B$14:$H$14)</f>
        <v>//   a smart link BEFORE importing this properties file!</v>
      </c>
      <c r="K14" s="176"/>
    </row>
    <row r="15" spans="1:15" x14ac:dyDescent="0.2">
      <c r="A15" s="172"/>
      <c r="B15" s="1" t="s">
        <v>562</v>
      </c>
      <c r="I15" s="174"/>
      <c r="J15" s="177" t="str">
        <f>ConcatenateWithSpaces($B$15:$H$15)</f>
        <v>// *****************************************************</v>
      </c>
      <c r="K15" s="176"/>
    </row>
    <row r="16" spans="1:15" x14ac:dyDescent="0.2">
      <c r="A16" s="172"/>
      <c r="I16" s="174"/>
      <c r="J16" s="177" t="str">
        <f>ConcatenateWithSpaces($B$16:$H$16)</f>
        <v/>
      </c>
      <c r="K16" s="176"/>
    </row>
    <row r="17" spans="1:11" x14ac:dyDescent="0.2">
      <c r="A17" s="172"/>
      <c r="B17" s="1" t="s">
        <v>257</v>
      </c>
      <c r="I17" s="174"/>
      <c r="J17" s="177" t="str">
        <f>ConcatenateWithSpaces($B$17:$H$17)</f>
        <v>Version:1</v>
      </c>
      <c r="K17" s="176"/>
    </row>
    <row r="18" spans="1:11" x14ac:dyDescent="0.2">
      <c r="A18" s="172"/>
      <c r="B18" s="1" t="s">
        <v>542</v>
      </c>
      <c r="C18" s="26" t="str">
        <f>Parameters!$J$8</f>
        <v>Foundries_SS</v>
      </c>
      <c r="I18" s="174"/>
      <c r="J18" s="177" t="str">
        <f>ConcatenateWithSpaces($B$18:$H$18)</f>
        <v>Scenario: Foundries_SS</v>
      </c>
      <c r="K18" s="176"/>
    </row>
    <row r="19" spans="1:11" x14ac:dyDescent="0.2">
      <c r="A19" s="172"/>
      <c r="B19" s="1" t="s">
        <v>258</v>
      </c>
      <c r="I19" s="174"/>
      <c r="J19" s="177" t="str">
        <f>ConcatenateWithSpaces($B$19:$H$19)</f>
        <v>Run: BaseRun</v>
      </c>
      <c r="K19" s="176"/>
    </row>
    <row r="20" spans="1:11" x14ac:dyDescent="0.2">
      <c r="A20" s="172"/>
      <c r="I20" s="174"/>
      <c r="J20" s="177" t="str">
        <f>ConcatenateWithSpaces($B$20:$H$20)</f>
        <v/>
      </c>
      <c r="K20" s="176"/>
    </row>
    <row r="21" spans="1:11" x14ac:dyDescent="0.2">
      <c r="A21" s="172"/>
      <c r="I21" s="174"/>
      <c r="J21" s="177" t="str">
        <f>ConcatenateWithSpaces($B$21:$H$21)</f>
        <v/>
      </c>
      <c r="K21" s="176"/>
    </row>
    <row r="22" spans="1:11" x14ac:dyDescent="0.2">
      <c r="A22" s="172"/>
      <c r="B22" s="1" t="s">
        <v>540</v>
      </c>
      <c r="I22" s="174"/>
      <c r="J22" s="177" t="str">
        <f>ConcatenateWithSpaces($B$22:$H$22)</f>
        <v>// ----------------------------------------------------------------------------</v>
      </c>
      <c r="K22" s="176"/>
    </row>
    <row r="23" spans="1:11" x14ac:dyDescent="0.2">
      <c r="A23" s="172"/>
      <c r="B23" s="1" t="s">
        <v>538</v>
      </c>
      <c r="I23" s="174"/>
      <c r="J23" s="177" t="str">
        <f>ConcatenateWithSpaces($B$23:$H$23)</f>
        <v>// Surface water properties</v>
      </c>
      <c r="K23" s="176"/>
    </row>
    <row r="24" spans="1:11" x14ac:dyDescent="0.2">
      <c r="A24" s="172"/>
      <c r="B24" s="1" t="s">
        <v>540</v>
      </c>
      <c r="I24" s="174"/>
      <c r="J24" s="177" t="str">
        <f>ConcatenateWithSpaces($B$24:$H$24)</f>
        <v>// ----------------------------------------------------------------------------</v>
      </c>
      <c r="K24" s="176"/>
    </row>
    <row r="25" spans="1:11" x14ac:dyDescent="0.2">
      <c r="A25" s="172"/>
      <c r="I25" s="174"/>
      <c r="J25" s="177" t="str">
        <f>ConcatenateWithSpaces($B$25:$H$25)</f>
        <v/>
      </c>
      <c r="K25" s="176"/>
    </row>
    <row r="26" spans="1:11" x14ac:dyDescent="0.2">
      <c r="A26" s="172"/>
      <c r="B26" s="1" t="s">
        <v>376</v>
      </c>
      <c r="C26" s="26" t="str">
        <f>"SW_" &amp; Lakes!$K$6</f>
        <v>SW_E3</v>
      </c>
      <c r="I26" s="174"/>
      <c r="J26" s="177" t="str">
        <f>ConcatenateWithSpaces($B$26:$H$26)</f>
        <v>VolumeElement: SW_E3</v>
      </c>
      <c r="K26" s="176"/>
    </row>
    <row r="27" spans="1:11" x14ac:dyDescent="0.2">
      <c r="A27" s="172"/>
      <c r="B27" s="1" t="s">
        <v>0</v>
      </c>
      <c r="I27" s="174"/>
      <c r="J27" s="177" t="str">
        <f>ConcatenateWithSpaces($B$27:$H$27)</f>
        <v>Property: WaterTemperature_K</v>
      </c>
      <c r="K27" s="176"/>
    </row>
    <row r="28" spans="1:11" x14ac:dyDescent="0.2">
      <c r="A28" s="172"/>
      <c r="B28" s="1" t="s">
        <v>521</v>
      </c>
      <c r="C28" s="26" t="str">
        <f>IF(ISERROR(FIND(",", $C$29)), "Constant", "InputFromFile")</f>
        <v>Constant</v>
      </c>
      <c r="I28" s="174"/>
      <c r="J28" s="177" t="str">
        <f>ConcatenateWithSpaces($B$28:$H$28)</f>
        <v>Form: Constant</v>
      </c>
      <c r="K28" s="176"/>
    </row>
    <row r="29" spans="1:11" x14ac:dyDescent="0.2">
      <c r="A29" s="172"/>
      <c r="B29" s="1" t="s">
        <v>2</v>
      </c>
      <c r="C29" s="26">
        <f>Lakes!$K$17</f>
        <v>286.14999999999998</v>
      </c>
      <c r="I29" s="174"/>
      <c r="J29" s="177" t="str">
        <f>ConcatenateWithSpaces($B$29:$H$29)</f>
        <v>Value: 286.15</v>
      </c>
      <c r="K29" s="176"/>
    </row>
    <row r="30" spans="1:11" x14ac:dyDescent="0.2">
      <c r="A30" s="172"/>
      <c r="I30" s="174"/>
      <c r="J30" s="177" t="str">
        <f>ConcatenateWithSpaces($B$30:$H$30)</f>
        <v/>
      </c>
      <c r="K30" s="176"/>
    </row>
    <row r="31" spans="1:11" x14ac:dyDescent="0.2">
      <c r="A31" s="172"/>
      <c r="B31" s="1" t="s">
        <v>378</v>
      </c>
      <c r="C31" s="26" t="str">
        <f>"Surface water in SW_" &amp; Lakes!$K$6</f>
        <v>Surface water in SW_E3</v>
      </c>
      <c r="I31" s="174"/>
      <c r="J31" s="177" t="str">
        <f>ConcatenateWithSpaces($B$31:$H$31)</f>
        <v>Compartment: Surface water in SW_E3</v>
      </c>
      <c r="K31" s="176"/>
    </row>
    <row r="32" spans="1:11" x14ac:dyDescent="0.2">
      <c r="A32" s="172"/>
      <c r="B32" s="1" t="s">
        <v>534</v>
      </c>
      <c r="I32" s="174"/>
      <c r="J32" s="177" t="str">
        <f>ConcatenateWithSpaces($B$32:$H$32)</f>
        <v>Property: AlgaeDensityInWaterColumn_g_L</v>
      </c>
      <c r="K32" s="176"/>
    </row>
    <row r="33" spans="1:11" x14ac:dyDescent="0.2">
      <c r="A33" s="172"/>
      <c r="B33" s="1" t="s">
        <v>521</v>
      </c>
      <c r="C33" s="26" t="str">
        <f>IF(ISERROR(FIND(",", $C$34)), "Constant", "InputFromFile")</f>
        <v>Constant</v>
      </c>
      <c r="I33" s="174"/>
      <c r="J33" s="177" t="str">
        <f>ConcatenateWithSpaces($B$33:$H$33)</f>
        <v>Form: Constant</v>
      </c>
      <c r="K33" s="176"/>
    </row>
    <row r="34" spans="1:11" x14ac:dyDescent="0.2">
      <c r="A34" s="172"/>
      <c r="B34" s="1" t="s">
        <v>2</v>
      </c>
      <c r="C34" s="26">
        <f>Lakes!$K$9</f>
        <v>1.2397496421919405E-2</v>
      </c>
      <c r="I34" s="174"/>
      <c r="J34" s="177" t="str">
        <f>ConcatenateWithSpaces($B$34:$H$34)</f>
        <v>Value: 1.23974964219194E-02</v>
      </c>
      <c r="K34" s="176"/>
    </row>
    <row r="35" spans="1:11" x14ac:dyDescent="0.2">
      <c r="A35" s="172"/>
      <c r="B35" s="1" t="s">
        <v>535</v>
      </c>
      <c r="I35" s="174"/>
      <c r="J35" s="177" t="str">
        <f>ConcatenateWithSpaces($B$35:$H$35)</f>
        <v>Property: ChlorideConcentration_mg_L</v>
      </c>
      <c r="K35" s="176"/>
    </row>
    <row r="36" spans="1:11" x14ac:dyDescent="0.2">
      <c r="A36" s="172"/>
      <c r="B36" s="1" t="s">
        <v>521</v>
      </c>
      <c r="C36" s="26" t="str">
        <f>IF(ISERROR(FIND(",", $C$37)), "Constant", "InputFromFile")</f>
        <v>Constant</v>
      </c>
      <c r="I36" s="174"/>
      <c r="J36" s="177" t="str">
        <f>ConcatenateWithSpaces($B$36:$H$36)</f>
        <v>Form: Constant</v>
      </c>
      <c r="K36" s="176"/>
    </row>
    <row r="37" spans="1:11" x14ac:dyDescent="0.2">
      <c r="A37" s="172"/>
      <c r="B37" s="1" t="s">
        <v>2</v>
      </c>
      <c r="C37" s="26">
        <f>Lakes!$K$10</f>
        <v>7</v>
      </c>
      <c r="I37" s="174"/>
      <c r="J37" s="177" t="str">
        <f>ConcatenateWithSpaces($B$37:$H$37)</f>
        <v>Value: 7</v>
      </c>
      <c r="K37" s="176"/>
    </row>
    <row r="38" spans="1:11" x14ac:dyDescent="0.2">
      <c r="A38" s="172"/>
      <c r="B38" s="1" t="s">
        <v>536</v>
      </c>
      <c r="I38" s="174"/>
      <c r="J38" s="177" t="str">
        <f>ConcatenateWithSpaces($B$38:$H$38)</f>
        <v>Property: ChlorophyllConcentration_mg_L</v>
      </c>
      <c r="K38" s="176"/>
    </row>
    <row r="39" spans="1:11" x14ac:dyDescent="0.2">
      <c r="A39" s="172"/>
      <c r="B39" s="1" t="s">
        <v>521</v>
      </c>
      <c r="C39" s="26" t="str">
        <f>IF(ISERROR(FIND(",", $C$40)), "Constant", "InputFromFile")</f>
        <v>Constant</v>
      </c>
      <c r="I39" s="174"/>
      <c r="J39" s="177" t="str">
        <f>ConcatenateWithSpaces($B$39:$H$39)</f>
        <v>Form: Constant</v>
      </c>
      <c r="K39" s="176"/>
    </row>
    <row r="40" spans="1:11" x14ac:dyDescent="0.2">
      <c r="A40" s="172"/>
      <c r="B40" s="1" t="s">
        <v>2</v>
      </c>
      <c r="C40" s="26">
        <f>Lakes!$K$11</f>
        <v>3.0000000000000001E-3</v>
      </c>
      <c r="I40" s="174"/>
      <c r="J40" s="177" t="str">
        <f>ConcatenateWithSpaces($B$40:$H$40)</f>
        <v>Value: 0.003</v>
      </c>
      <c r="K40" s="176"/>
    </row>
    <row r="41" spans="1:11" x14ac:dyDescent="0.2">
      <c r="A41" s="172"/>
      <c r="B41" s="1" t="s">
        <v>261</v>
      </c>
      <c r="I41" s="174"/>
      <c r="J41" s="177" t="str">
        <f>ConcatenateWithSpaces($B$41:$H$41)</f>
        <v>Property: OrganicCarbonContent</v>
      </c>
      <c r="K41" s="176"/>
    </row>
    <row r="42" spans="1:11" x14ac:dyDescent="0.2">
      <c r="A42" s="172"/>
      <c r="B42" s="1" t="s">
        <v>521</v>
      </c>
      <c r="C42" s="26" t="str">
        <f>IF(ISERROR(FIND(",", $C$43)), "Constant", "InputFromFile")</f>
        <v>Constant</v>
      </c>
      <c r="I42" s="174"/>
      <c r="J42" s="177" t="str">
        <f>ConcatenateWithSpaces($B$42:$H$42)</f>
        <v>Form: Constant</v>
      </c>
      <c r="K42" s="176"/>
    </row>
    <row r="43" spans="1:11" x14ac:dyDescent="0.2">
      <c r="A43" s="172"/>
      <c r="B43" s="1" t="s">
        <v>2</v>
      </c>
      <c r="C43" s="26">
        <f>Lakes!$K$14</f>
        <v>0.02</v>
      </c>
      <c r="I43" s="174"/>
      <c r="J43" s="177" t="str">
        <f>ConcatenateWithSpaces($B$43:$H$43)</f>
        <v>Value: 0.02</v>
      </c>
      <c r="K43" s="176"/>
    </row>
    <row r="44" spans="1:11" x14ac:dyDescent="0.2">
      <c r="A44" s="172"/>
      <c r="B44" s="1" t="s">
        <v>260</v>
      </c>
      <c r="I44" s="174"/>
      <c r="J44" s="177" t="str">
        <f>ConcatenateWithSpaces($B$44:$H$44)</f>
        <v>Property: pH</v>
      </c>
      <c r="K44" s="176"/>
    </row>
    <row r="45" spans="1:11" x14ac:dyDescent="0.2">
      <c r="A45" s="172"/>
      <c r="B45" s="1" t="s">
        <v>521</v>
      </c>
      <c r="C45" s="26" t="str">
        <f>IF(ISERROR(FIND(",", $C$46)), "Constant", "InputFromFile")</f>
        <v>Constant</v>
      </c>
      <c r="I45" s="174"/>
      <c r="J45" s="177" t="str">
        <f>ConcatenateWithSpaces($B$45:$H$45)</f>
        <v>Form: Constant</v>
      </c>
      <c r="K45" s="176"/>
    </row>
    <row r="46" spans="1:11" x14ac:dyDescent="0.2">
      <c r="A46" s="172"/>
      <c r="B46" s="1" t="s">
        <v>2</v>
      </c>
      <c r="C46" s="26">
        <f>Lakes!$K$15</f>
        <v>8.5</v>
      </c>
      <c r="I46" s="174"/>
      <c r="J46" s="177" t="str">
        <f>ConcatenateWithSpaces($B$46:$H$46)</f>
        <v>Value: 8.5</v>
      </c>
      <c r="K46" s="176"/>
    </row>
    <row r="47" spans="1:11" x14ac:dyDescent="0.2">
      <c r="A47" s="172"/>
      <c r="B47" s="1" t="s">
        <v>537</v>
      </c>
      <c r="I47" s="174"/>
      <c r="J47" s="177" t="str">
        <f>ConcatenateWithSpaces($B$47:$H$47)</f>
        <v>Property: SuspendedSedimentConcentration</v>
      </c>
      <c r="K47" s="176"/>
    </row>
    <row r="48" spans="1:11" x14ac:dyDescent="0.2">
      <c r="A48" s="172"/>
      <c r="B48" s="1" t="s">
        <v>521</v>
      </c>
      <c r="C48" s="26" t="str">
        <f>IF(ISERROR(FIND(",", $C$49)), "Constant", "InputFromFile")</f>
        <v>Constant</v>
      </c>
      <c r="I48" s="174"/>
      <c r="J48" s="177" t="str">
        <f>ConcatenateWithSpaces($B$48:$H$48)</f>
        <v>Form: Constant</v>
      </c>
      <c r="K48" s="176"/>
    </row>
    <row r="49" spans="1:11" x14ac:dyDescent="0.2">
      <c r="A49" s="172"/>
      <c r="B49" s="1" t="s">
        <v>2</v>
      </c>
      <c r="C49" s="26">
        <f>Lakes!$K$16</f>
        <v>0.05</v>
      </c>
      <c r="I49" s="174"/>
      <c r="J49" s="177" t="str">
        <f>ConcatenateWithSpaces($B$49:$H$49)</f>
        <v>Value: 0.05</v>
      </c>
      <c r="K49" s="176"/>
    </row>
    <row r="50" spans="1:11" x14ac:dyDescent="0.2">
      <c r="A50" s="172"/>
      <c r="B50" s="1" t="s">
        <v>0</v>
      </c>
      <c r="I50" s="174"/>
      <c r="J50" s="177" t="str">
        <f>ConcatenateWithSpaces($B$50:$H$50)</f>
        <v>Property: WaterTemperature_K</v>
      </c>
      <c r="K50" s="176"/>
    </row>
    <row r="51" spans="1:11" x14ac:dyDescent="0.2">
      <c r="A51" s="172"/>
      <c r="B51" s="1" t="s">
        <v>521</v>
      </c>
      <c r="C51" s="26" t="str">
        <f>IF(ISERROR(FIND(",", $C$52)), "Constant", "InputFromFile")</f>
        <v>Constant</v>
      </c>
      <c r="I51" s="174"/>
      <c r="J51" s="177" t="str">
        <f>ConcatenateWithSpaces($B$51:$H$51)</f>
        <v>Form: Constant</v>
      </c>
      <c r="K51" s="176"/>
    </row>
    <row r="52" spans="1:11" x14ac:dyDescent="0.2">
      <c r="A52" s="172"/>
      <c r="B52" s="1" t="s">
        <v>2</v>
      </c>
      <c r="C52" s="26">
        <f>Lakes!$K$17</f>
        <v>286.14999999999998</v>
      </c>
      <c r="I52" s="174"/>
      <c r="J52" s="177" t="str">
        <f>ConcatenateWithSpaces($B$52:$H$52)</f>
        <v>Value: 286.15</v>
      </c>
      <c r="K52" s="176"/>
    </row>
    <row r="53" spans="1:11" x14ac:dyDescent="0.2">
      <c r="A53" s="172"/>
      <c r="B53" s="1" t="s">
        <v>3</v>
      </c>
      <c r="I53" s="174"/>
      <c r="J53" s="177" t="str">
        <f>ConcatenateWithSpaces($B$53:$H$53)</f>
        <v>Property: Flushes_per_year</v>
      </c>
      <c r="K53" s="176"/>
    </row>
    <row r="54" spans="1:11" x14ac:dyDescent="0.2">
      <c r="A54" s="172"/>
      <c r="B54" s="1" t="s">
        <v>521</v>
      </c>
      <c r="C54" s="26" t="str">
        <f>IF(ISERROR(FIND(",", $C$55)), "Constant", "InputFromFile")</f>
        <v>Constant</v>
      </c>
      <c r="I54" s="174"/>
      <c r="J54" s="177" t="str">
        <f>ConcatenateWithSpaces($B$54:$H$54)</f>
        <v>Form: Constant</v>
      </c>
      <c r="K54" s="176"/>
    </row>
    <row r="55" spans="1:11" x14ac:dyDescent="0.2">
      <c r="A55" s="172"/>
      <c r="B55" s="1" t="s">
        <v>2</v>
      </c>
      <c r="C55" s="26">
        <f>Lakes!$K$43</f>
        <v>2.08</v>
      </c>
      <c r="I55" s="174"/>
      <c r="J55" s="177" t="str">
        <f>ConcatenateWithSpaces($B$55:$H$55)</f>
        <v>Value: 2.08</v>
      </c>
      <c r="K55" s="176"/>
    </row>
    <row r="56" spans="1:11" x14ac:dyDescent="0.2">
      <c r="A56" s="172"/>
      <c r="B56" s="1" t="s">
        <v>558</v>
      </c>
      <c r="I56" s="174"/>
      <c r="J56" s="177" t="str">
        <f>ConcatenateWithSpaces($B$56:$H$56)</f>
        <v>// Flowing water bodies currently unsupported in this workbook.</v>
      </c>
      <c r="K56" s="176"/>
    </row>
    <row r="57" spans="1:11" x14ac:dyDescent="0.2">
      <c r="A57" s="172"/>
      <c r="B57" s="1" t="s">
        <v>559</v>
      </c>
      <c r="I57" s="174"/>
      <c r="J57" s="177" t="str">
        <f>ConcatenateWithSpaces($B$57:$H$57)</f>
        <v>Property: IsFlowing</v>
      </c>
      <c r="K57" s="176"/>
    </row>
    <row r="58" spans="1:11" x14ac:dyDescent="0.2">
      <c r="A58" s="172"/>
      <c r="B58" s="1" t="s">
        <v>521</v>
      </c>
      <c r="C58" s="26" t="str">
        <f>IF(ISERROR(FIND(",", $C$59)), "Constant", "InputFromFile")</f>
        <v>Constant</v>
      </c>
      <c r="I58" s="174"/>
      <c r="J58" s="177" t="str">
        <f>ConcatenateWithSpaces($B$58:$H$58)</f>
        <v>Form: Constant</v>
      </c>
      <c r="K58" s="176"/>
    </row>
    <row r="59" spans="1:11" x14ac:dyDescent="0.2">
      <c r="A59" s="172"/>
      <c r="B59" s="1" t="s">
        <v>2</v>
      </c>
      <c r="C59" s="1" t="b">
        <v>0</v>
      </c>
      <c r="I59" s="174"/>
      <c r="J59" s="177" t="str">
        <f>ConcatenateWithSpaces($B$59:$H$59)</f>
        <v>Value: False</v>
      </c>
      <c r="K59" s="176"/>
    </row>
    <row r="60" spans="1:11" x14ac:dyDescent="0.2">
      <c r="A60" s="172"/>
      <c r="B60" s="1" t="s">
        <v>560</v>
      </c>
      <c r="I60" s="174"/>
      <c r="J60" s="177" t="str">
        <f>ConcatenateWithSpaces($B$60:$H$60)</f>
        <v>Property: CurrentVelocity</v>
      </c>
      <c r="K60" s="176"/>
    </row>
    <row r="61" spans="1:11" x14ac:dyDescent="0.2">
      <c r="A61" s="172"/>
      <c r="B61" s="1" t="s">
        <v>521</v>
      </c>
      <c r="C61" s="26" t="str">
        <f>IF(ISERROR(FIND(",", $C$62)), "Constant", "InputFromFile")</f>
        <v>Constant</v>
      </c>
      <c r="I61" s="174"/>
      <c r="J61" s="177" t="str">
        <f>ConcatenateWithSpaces($B$61:$H$61)</f>
        <v>Form: Constant</v>
      </c>
      <c r="K61" s="176"/>
    </row>
    <row r="62" spans="1:11" x14ac:dyDescent="0.2">
      <c r="A62" s="172"/>
      <c r="B62" s="1" t="s">
        <v>2</v>
      </c>
      <c r="C62" s="1">
        <v>0</v>
      </c>
      <c r="I62" s="174"/>
      <c r="J62" s="177" t="str">
        <f>ConcatenateWithSpaces($B$62:$H$62)</f>
        <v>Value: 0</v>
      </c>
      <c r="K62" s="176"/>
    </row>
    <row r="63" spans="1:11" x14ac:dyDescent="0.2">
      <c r="A63" s="172"/>
      <c r="I63" s="174"/>
      <c r="J63" s="177" t="str">
        <f>ConcatenateWithSpaces($B$63:$H$63)</f>
        <v/>
      </c>
      <c r="K63" s="176"/>
    </row>
    <row r="64" spans="1:11" x14ac:dyDescent="0.2">
      <c r="A64" s="172"/>
      <c r="B64" s="1" t="s">
        <v>376</v>
      </c>
      <c r="C64" s="26" t="str">
        <f>"SW_" &amp; Lakes!$L$6</f>
        <v>SW_LakeCadillac</v>
      </c>
      <c r="I64" s="174"/>
      <c r="J64" s="177" t="str">
        <f>ConcatenateWithSpaces($B$64:$H$64)</f>
        <v>VolumeElement: SW_LakeCadillac</v>
      </c>
      <c r="K64" s="176"/>
    </row>
    <row r="65" spans="1:11" x14ac:dyDescent="0.2">
      <c r="A65" s="172"/>
      <c r="B65" s="1" t="s">
        <v>0</v>
      </c>
      <c r="I65" s="174"/>
      <c r="J65" s="177" t="str">
        <f>ConcatenateWithSpaces($B$65:$H$65)</f>
        <v>Property: WaterTemperature_K</v>
      </c>
      <c r="K65" s="176"/>
    </row>
    <row r="66" spans="1:11" x14ac:dyDescent="0.2">
      <c r="A66" s="172"/>
      <c r="B66" s="1" t="s">
        <v>521</v>
      </c>
      <c r="C66" s="26" t="str">
        <f>IF(ISERROR(FIND(",", $C$67)), "Constant", "InputFromFile")</f>
        <v>Constant</v>
      </c>
      <c r="I66" s="174"/>
      <c r="J66" s="177" t="str">
        <f>ConcatenateWithSpaces($B$66:$H$66)</f>
        <v>Form: Constant</v>
      </c>
      <c r="K66" s="176"/>
    </row>
    <row r="67" spans="1:11" x14ac:dyDescent="0.2">
      <c r="A67" s="172"/>
      <c r="B67" s="1" t="s">
        <v>2</v>
      </c>
      <c r="C67" s="26">
        <f>Lakes!$L$17</f>
        <v>286.14999999999998</v>
      </c>
      <c r="I67" s="174"/>
      <c r="J67" s="177" t="str">
        <f>ConcatenateWithSpaces($B$67:$H$67)</f>
        <v>Value: 286.15</v>
      </c>
      <c r="K67" s="176"/>
    </row>
    <row r="68" spans="1:11" x14ac:dyDescent="0.2">
      <c r="A68" s="172"/>
      <c r="I68" s="174"/>
      <c r="J68" s="177" t="str">
        <f>ConcatenateWithSpaces($B$68:$H$68)</f>
        <v/>
      </c>
      <c r="K68" s="176"/>
    </row>
    <row r="69" spans="1:11" x14ac:dyDescent="0.2">
      <c r="A69" s="172"/>
      <c r="B69" s="1" t="s">
        <v>378</v>
      </c>
      <c r="C69" s="26" t="str">
        <f>"Surface water in SW_" &amp; Lakes!$L$6</f>
        <v>Surface water in SW_LakeCadillac</v>
      </c>
      <c r="I69" s="174"/>
      <c r="J69" s="177" t="str">
        <f>ConcatenateWithSpaces($B$69:$H$69)</f>
        <v>Compartment: Surface water in SW_LakeCadillac</v>
      </c>
      <c r="K69" s="176"/>
    </row>
    <row r="70" spans="1:11" x14ac:dyDescent="0.2">
      <c r="A70" s="172"/>
      <c r="B70" s="1" t="s">
        <v>534</v>
      </c>
      <c r="I70" s="174"/>
      <c r="J70" s="177" t="str">
        <f>ConcatenateWithSpaces($B$70:$H$70)</f>
        <v>Property: AlgaeDensityInWaterColumn_g_L</v>
      </c>
      <c r="K70" s="176"/>
    </row>
    <row r="71" spans="1:11" x14ac:dyDescent="0.2">
      <c r="A71" s="172"/>
      <c r="B71" s="1" t="s">
        <v>521</v>
      </c>
      <c r="C71" s="26" t="str">
        <f>IF(ISERROR(FIND(",", $C$72)), "Constant", "InputFromFile")</f>
        <v>Constant</v>
      </c>
      <c r="I71" s="174"/>
      <c r="J71" s="177" t="str">
        <f>ConcatenateWithSpaces($B$71:$H$71)</f>
        <v>Form: Constant</v>
      </c>
      <c r="K71" s="176"/>
    </row>
    <row r="72" spans="1:11" x14ac:dyDescent="0.2">
      <c r="A72" s="172"/>
      <c r="B72" s="1" t="s">
        <v>2</v>
      </c>
      <c r="C72" s="26">
        <f>Lakes!$L$9</f>
        <v>1.0853594099097722E-2</v>
      </c>
      <c r="I72" s="174"/>
      <c r="J72" s="177" t="str">
        <f>ConcatenateWithSpaces($B$72:$H$72)</f>
        <v>Value: 1.08535940990977E-02</v>
      </c>
      <c r="K72" s="176"/>
    </row>
    <row r="73" spans="1:11" x14ac:dyDescent="0.2">
      <c r="A73" s="172"/>
      <c r="B73" s="1" t="s">
        <v>535</v>
      </c>
      <c r="I73" s="174"/>
      <c r="J73" s="177" t="str">
        <f>ConcatenateWithSpaces($B$73:$H$73)</f>
        <v>Property: ChlorideConcentration_mg_L</v>
      </c>
      <c r="K73" s="176"/>
    </row>
    <row r="74" spans="1:11" x14ac:dyDescent="0.2">
      <c r="A74" s="172"/>
      <c r="B74" s="1" t="s">
        <v>521</v>
      </c>
      <c r="C74" s="26" t="str">
        <f>IF(ISERROR(FIND(",", $C$75)), "Constant", "InputFromFile")</f>
        <v>Constant</v>
      </c>
      <c r="I74" s="174"/>
      <c r="J74" s="177" t="str">
        <f>ConcatenateWithSpaces($B$74:$H$74)</f>
        <v>Form: Constant</v>
      </c>
      <c r="K74" s="176"/>
    </row>
    <row r="75" spans="1:11" x14ac:dyDescent="0.2">
      <c r="A75" s="172"/>
      <c r="B75" s="1" t="s">
        <v>2</v>
      </c>
      <c r="C75" s="26">
        <f>Lakes!$L$10</f>
        <v>7</v>
      </c>
      <c r="I75" s="174"/>
      <c r="J75" s="177" t="str">
        <f>ConcatenateWithSpaces($B$75:$H$75)</f>
        <v>Value: 7</v>
      </c>
      <c r="K75" s="176"/>
    </row>
    <row r="76" spans="1:11" x14ac:dyDescent="0.2">
      <c r="A76" s="172"/>
      <c r="B76" s="1" t="s">
        <v>536</v>
      </c>
      <c r="I76" s="174"/>
      <c r="J76" s="177" t="str">
        <f>ConcatenateWithSpaces($B$76:$H$76)</f>
        <v>Property: ChlorophyllConcentration_mg_L</v>
      </c>
      <c r="K76" s="176"/>
    </row>
    <row r="77" spans="1:11" x14ac:dyDescent="0.2">
      <c r="A77" s="172"/>
      <c r="B77" s="1" t="s">
        <v>521</v>
      </c>
      <c r="C77" s="26" t="str">
        <f>IF(ISERROR(FIND(",", $C$78)), "Constant", "InputFromFile")</f>
        <v>Constant</v>
      </c>
      <c r="I77" s="174"/>
      <c r="J77" s="177" t="str">
        <f>ConcatenateWithSpaces($B$77:$H$77)</f>
        <v>Form: Constant</v>
      </c>
      <c r="K77" s="176"/>
    </row>
    <row r="78" spans="1:11" x14ac:dyDescent="0.2">
      <c r="A78" s="172"/>
      <c r="B78" s="1" t="s">
        <v>2</v>
      </c>
      <c r="C78" s="26">
        <f>Lakes!$L$11</f>
        <v>3.0000000000000001E-3</v>
      </c>
      <c r="I78" s="174"/>
      <c r="J78" s="177" t="str">
        <f>ConcatenateWithSpaces($B$78:$H$78)</f>
        <v>Value: 0.003</v>
      </c>
      <c r="K78" s="176"/>
    </row>
    <row r="79" spans="1:11" x14ac:dyDescent="0.2">
      <c r="A79" s="172"/>
      <c r="B79" s="1" t="s">
        <v>261</v>
      </c>
      <c r="I79" s="174"/>
      <c r="J79" s="177" t="str">
        <f>ConcatenateWithSpaces($B$79:$H$79)</f>
        <v>Property: OrganicCarbonContent</v>
      </c>
      <c r="K79" s="176"/>
    </row>
    <row r="80" spans="1:11" x14ac:dyDescent="0.2">
      <c r="A80" s="172"/>
      <c r="B80" s="1" t="s">
        <v>521</v>
      </c>
      <c r="C80" s="26" t="str">
        <f>IF(ISERROR(FIND(",", $C$81)), "Constant", "InputFromFile")</f>
        <v>Constant</v>
      </c>
      <c r="I80" s="174"/>
      <c r="J80" s="177" t="str">
        <f>ConcatenateWithSpaces($B$80:$H$80)</f>
        <v>Form: Constant</v>
      </c>
      <c r="K80" s="176"/>
    </row>
    <row r="81" spans="1:11" x14ac:dyDescent="0.2">
      <c r="A81" s="172"/>
      <c r="B81" s="1" t="s">
        <v>2</v>
      </c>
      <c r="C81" s="26">
        <f>Lakes!$L$14</f>
        <v>0.02</v>
      </c>
      <c r="I81" s="174"/>
      <c r="J81" s="177" t="str">
        <f>ConcatenateWithSpaces($B$81:$H$81)</f>
        <v>Value: 0.02</v>
      </c>
      <c r="K81" s="176"/>
    </row>
    <row r="82" spans="1:11" x14ac:dyDescent="0.2">
      <c r="A82" s="172"/>
      <c r="B82" s="1" t="s">
        <v>260</v>
      </c>
      <c r="I82" s="174"/>
      <c r="J82" s="177" t="str">
        <f>ConcatenateWithSpaces($B$82:$H$82)</f>
        <v>Property: pH</v>
      </c>
      <c r="K82" s="176"/>
    </row>
    <row r="83" spans="1:11" x14ac:dyDescent="0.2">
      <c r="A83" s="172"/>
      <c r="B83" s="1" t="s">
        <v>521</v>
      </c>
      <c r="C83" s="26" t="str">
        <f>IF(ISERROR(FIND(",", $C$84)), "Constant", "InputFromFile")</f>
        <v>Constant</v>
      </c>
      <c r="I83" s="174"/>
      <c r="J83" s="177" t="str">
        <f>ConcatenateWithSpaces($B$83:$H$83)</f>
        <v>Form: Constant</v>
      </c>
      <c r="K83" s="176"/>
    </row>
    <row r="84" spans="1:11" x14ac:dyDescent="0.2">
      <c r="A84" s="172"/>
      <c r="B84" s="1" t="s">
        <v>2</v>
      </c>
      <c r="C84" s="26">
        <f>Lakes!$L$15</f>
        <v>8.5</v>
      </c>
      <c r="I84" s="174"/>
      <c r="J84" s="177" t="str">
        <f>ConcatenateWithSpaces($B$84:$H$84)</f>
        <v>Value: 8.5</v>
      </c>
      <c r="K84" s="176"/>
    </row>
    <row r="85" spans="1:11" x14ac:dyDescent="0.2">
      <c r="A85" s="172"/>
      <c r="B85" s="1" t="s">
        <v>537</v>
      </c>
      <c r="I85" s="174"/>
      <c r="J85" s="177" t="str">
        <f>ConcatenateWithSpaces($B$85:$H$85)</f>
        <v>Property: SuspendedSedimentConcentration</v>
      </c>
      <c r="K85" s="176"/>
    </row>
    <row r="86" spans="1:11" x14ac:dyDescent="0.2">
      <c r="A86" s="172"/>
      <c r="B86" s="1" t="s">
        <v>521</v>
      </c>
      <c r="C86" s="26" t="str">
        <f>IF(ISERROR(FIND(",", $C$87)), "Constant", "InputFromFile")</f>
        <v>Constant</v>
      </c>
      <c r="I86" s="174"/>
      <c r="J86" s="177" t="str">
        <f>ConcatenateWithSpaces($B$86:$H$86)</f>
        <v>Form: Constant</v>
      </c>
      <c r="K86" s="176"/>
    </row>
    <row r="87" spans="1:11" x14ac:dyDescent="0.2">
      <c r="A87" s="172"/>
      <c r="B87" s="1" t="s">
        <v>2</v>
      </c>
      <c r="C87" s="26">
        <f>Lakes!$L$16</f>
        <v>0.05</v>
      </c>
      <c r="I87" s="174"/>
      <c r="J87" s="177" t="str">
        <f>ConcatenateWithSpaces($B$87:$H$87)</f>
        <v>Value: 0.05</v>
      </c>
      <c r="K87" s="176"/>
    </row>
    <row r="88" spans="1:11" x14ac:dyDescent="0.2">
      <c r="A88" s="172"/>
      <c r="B88" s="1" t="s">
        <v>0</v>
      </c>
      <c r="I88" s="174"/>
      <c r="J88" s="177" t="str">
        <f>ConcatenateWithSpaces($B$88:$H$88)</f>
        <v>Property: WaterTemperature_K</v>
      </c>
      <c r="K88" s="176"/>
    </row>
    <row r="89" spans="1:11" x14ac:dyDescent="0.2">
      <c r="A89" s="172"/>
      <c r="B89" s="1" t="s">
        <v>521</v>
      </c>
      <c r="C89" s="26" t="str">
        <f>IF(ISERROR(FIND(",", $C$90)), "Constant", "InputFromFile")</f>
        <v>Constant</v>
      </c>
      <c r="I89" s="174"/>
      <c r="J89" s="177" t="str">
        <f>ConcatenateWithSpaces($B$89:$H$89)</f>
        <v>Form: Constant</v>
      </c>
      <c r="K89" s="176"/>
    </row>
    <row r="90" spans="1:11" x14ac:dyDescent="0.2">
      <c r="A90" s="172"/>
      <c r="B90" s="1" t="s">
        <v>2</v>
      </c>
      <c r="C90" s="26">
        <f>Lakes!$L$17</f>
        <v>286.14999999999998</v>
      </c>
      <c r="I90" s="174"/>
      <c r="J90" s="177" t="str">
        <f>ConcatenateWithSpaces($B$90:$H$90)</f>
        <v>Value: 286.15</v>
      </c>
      <c r="K90" s="176"/>
    </row>
    <row r="91" spans="1:11" x14ac:dyDescent="0.2">
      <c r="A91" s="172"/>
      <c r="B91" s="1" t="s">
        <v>3</v>
      </c>
      <c r="I91" s="174"/>
      <c r="J91" s="177" t="str">
        <f>ConcatenateWithSpaces($B$91:$H$91)</f>
        <v>Property: Flushes_per_year</v>
      </c>
      <c r="K91" s="176"/>
    </row>
    <row r="92" spans="1:11" x14ac:dyDescent="0.2">
      <c r="A92" s="172"/>
      <c r="B92" s="1" t="s">
        <v>521</v>
      </c>
      <c r="C92" s="26" t="str">
        <f>IF(ISERROR(FIND(",", $C$93)), "Constant", "InputFromFile")</f>
        <v>Constant</v>
      </c>
      <c r="I92" s="174"/>
      <c r="J92" s="177" t="str">
        <f>ConcatenateWithSpaces($B$92:$H$92)</f>
        <v>Form: Constant</v>
      </c>
      <c r="K92" s="176"/>
    </row>
    <row r="93" spans="1:11" x14ac:dyDescent="0.2">
      <c r="A93" s="172"/>
      <c r="B93" s="1" t="s">
        <v>2</v>
      </c>
      <c r="C93" s="26">
        <f>Lakes!$L$43</f>
        <v>0.94</v>
      </c>
      <c r="I93" s="174"/>
      <c r="J93" s="177" t="str">
        <f>ConcatenateWithSpaces($B$93:$H$93)</f>
        <v>Value: 0.94</v>
      </c>
      <c r="K93" s="176"/>
    </row>
    <row r="94" spans="1:11" x14ac:dyDescent="0.2">
      <c r="A94" s="172"/>
      <c r="B94" s="1" t="s">
        <v>558</v>
      </c>
      <c r="I94" s="174"/>
      <c r="J94" s="177" t="str">
        <f>ConcatenateWithSpaces($B$94:$H$94)</f>
        <v>// Flowing water bodies currently unsupported in this workbook.</v>
      </c>
      <c r="K94" s="176"/>
    </row>
    <row r="95" spans="1:11" x14ac:dyDescent="0.2">
      <c r="A95" s="172"/>
      <c r="B95" s="1" t="s">
        <v>559</v>
      </c>
      <c r="I95" s="174"/>
      <c r="J95" s="177" t="str">
        <f>ConcatenateWithSpaces($B$95:$H$95)</f>
        <v>Property: IsFlowing</v>
      </c>
      <c r="K95" s="176"/>
    </row>
    <row r="96" spans="1:11" x14ac:dyDescent="0.2">
      <c r="A96" s="172"/>
      <c r="B96" s="1" t="s">
        <v>521</v>
      </c>
      <c r="C96" s="26" t="str">
        <f>IF(ISERROR(FIND(",", $C$97)), "Constant", "InputFromFile")</f>
        <v>Constant</v>
      </c>
      <c r="I96" s="174"/>
      <c r="J96" s="177" t="str">
        <f>ConcatenateWithSpaces($B$96:$H$96)</f>
        <v>Form: Constant</v>
      </c>
      <c r="K96" s="176"/>
    </row>
    <row r="97" spans="1:11" x14ac:dyDescent="0.2">
      <c r="A97" s="172"/>
      <c r="B97" s="1" t="s">
        <v>2</v>
      </c>
      <c r="C97" s="1" t="b">
        <v>0</v>
      </c>
      <c r="I97" s="174"/>
      <c r="J97" s="177" t="str">
        <f>ConcatenateWithSpaces($B$97:$H$97)</f>
        <v>Value: False</v>
      </c>
      <c r="K97" s="176"/>
    </row>
    <row r="98" spans="1:11" x14ac:dyDescent="0.2">
      <c r="A98" s="172"/>
      <c r="B98" s="1" t="s">
        <v>560</v>
      </c>
      <c r="I98" s="174"/>
      <c r="J98" s="177" t="str">
        <f>ConcatenateWithSpaces($B$98:$H$98)</f>
        <v>Property: CurrentVelocity</v>
      </c>
      <c r="K98" s="176"/>
    </row>
    <row r="99" spans="1:11" x14ac:dyDescent="0.2">
      <c r="A99" s="172"/>
      <c r="B99" s="1" t="s">
        <v>521</v>
      </c>
      <c r="C99" s="26" t="str">
        <f>IF(ISERROR(FIND(",", $C$100)), "Constant", "InputFromFile")</f>
        <v>Constant</v>
      </c>
      <c r="I99" s="174"/>
      <c r="J99" s="177" t="str">
        <f>ConcatenateWithSpaces($B$99:$H$99)</f>
        <v>Form: Constant</v>
      </c>
      <c r="K99" s="176"/>
    </row>
    <row r="100" spans="1:11" x14ac:dyDescent="0.2">
      <c r="A100" s="172"/>
      <c r="B100" s="1" t="s">
        <v>2</v>
      </c>
      <c r="C100" s="1">
        <v>0</v>
      </c>
      <c r="I100" s="174"/>
      <c r="J100" s="177" t="str">
        <f>ConcatenateWithSpaces($B$100:$H$100)</f>
        <v>Value: 0</v>
      </c>
      <c r="K100" s="176"/>
    </row>
    <row r="101" spans="1:11" x14ac:dyDescent="0.2">
      <c r="A101" s="172"/>
      <c r="I101" s="174"/>
      <c r="J101" s="177" t="str">
        <f>ConcatenateWithSpaces($B$101:$H$101)</f>
        <v/>
      </c>
      <c r="K101" s="176"/>
    </row>
    <row r="102" spans="1:11" x14ac:dyDescent="0.2">
      <c r="A102" s="172"/>
      <c r="I102" s="174"/>
      <c r="J102" s="177" t="str">
        <f>ConcatenateWithSpaces($B$102:$H$102)</f>
        <v/>
      </c>
      <c r="K102" s="176"/>
    </row>
    <row r="103" spans="1:11" x14ac:dyDescent="0.2">
      <c r="A103" s="172"/>
      <c r="B103" s="1" t="s">
        <v>540</v>
      </c>
      <c r="I103" s="174"/>
      <c r="J103" s="177" t="str">
        <f>ConcatenateWithSpaces($B$103:$H$103)</f>
        <v>// ----------------------------------------------------------------------------</v>
      </c>
      <c r="K103" s="176"/>
    </row>
    <row r="104" spans="1:11" x14ac:dyDescent="0.2">
      <c r="A104" s="172"/>
      <c r="B104" s="1" t="s">
        <v>539</v>
      </c>
      <c r="I104" s="174"/>
      <c r="J104" s="177" t="str">
        <f>ConcatenateWithSpaces($B$104:$H$104)</f>
        <v>// Sediment properties</v>
      </c>
      <c r="K104" s="176"/>
    </row>
    <row r="105" spans="1:11" x14ac:dyDescent="0.2">
      <c r="A105" s="172"/>
      <c r="B105" s="1" t="s">
        <v>540</v>
      </c>
      <c r="I105" s="174"/>
      <c r="J105" s="177" t="str">
        <f>ConcatenateWithSpaces($B$105:$H$105)</f>
        <v>// ----------------------------------------------------------------------------</v>
      </c>
      <c r="K105" s="176"/>
    </row>
    <row r="106" spans="1:11" x14ac:dyDescent="0.2">
      <c r="A106" s="172"/>
      <c r="I106" s="174"/>
      <c r="J106" s="177" t="str">
        <f>ConcatenateWithSpaces($B$106:$H$106)</f>
        <v/>
      </c>
      <c r="K106" s="176"/>
    </row>
    <row r="107" spans="1:11" x14ac:dyDescent="0.2">
      <c r="A107" s="172"/>
      <c r="B107" s="1" t="s">
        <v>378</v>
      </c>
      <c r="C107" s="26" t="str">
        <f>"Sediment in Sed_" &amp; Lakes!$K$6</f>
        <v>Sediment in Sed_E3</v>
      </c>
      <c r="I107" s="174"/>
      <c r="J107" s="177" t="str">
        <f>ConcatenateWithSpaces($B$107:$H$107)</f>
        <v>Compartment: Sediment in Sed_E3</v>
      </c>
      <c r="K107" s="176"/>
    </row>
    <row r="108" spans="1:11" x14ac:dyDescent="0.2">
      <c r="A108" s="172"/>
      <c r="B108" s="1" t="s">
        <v>261</v>
      </c>
      <c r="I108" s="174"/>
      <c r="J108" s="177" t="str">
        <f>ConcatenateWithSpaces($B$108:$H$108)</f>
        <v>Property: OrganicCarbonContent</v>
      </c>
      <c r="K108" s="176"/>
    </row>
    <row r="109" spans="1:11" x14ac:dyDescent="0.2">
      <c r="A109" s="172"/>
      <c r="B109" s="1" t="s">
        <v>521</v>
      </c>
      <c r="C109" s="26" t="str">
        <f>IF(ISERROR(FIND(",", $C$110)), "Constant", "InputFromFile")</f>
        <v>Constant</v>
      </c>
      <c r="I109" s="174"/>
      <c r="J109" s="177" t="str">
        <f>ConcatenateWithSpaces($B$109:$H$109)</f>
        <v>Form: Constant</v>
      </c>
      <c r="K109" s="176"/>
    </row>
    <row r="110" spans="1:11" x14ac:dyDescent="0.2">
      <c r="A110" s="172"/>
      <c r="B110" s="1" t="s">
        <v>2</v>
      </c>
      <c r="C110" s="26">
        <f>Lakes!$K$28</f>
        <v>0.02</v>
      </c>
      <c r="I110" s="174"/>
      <c r="J110" s="177" t="str">
        <f>ConcatenateWithSpaces($B$110:$H$110)</f>
        <v>Value: 0.02</v>
      </c>
      <c r="K110" s="176"/>
    </row>
    <row r="111" spans="1:11" x14ac:dyDescent="0.2">
      <c r="A111" s="172"/>
      <c r="B111" s="1" t="s">
        <v>260</v>
      </c>
      <c r="I111" s="174"/>
      <c r="J111" s="177" t="str">
        <f>ConcatenateWithSpaces($B$111:$H$111)</f>
        <v>Property: pH</v>
      </c>
      <c r="K111" s="176"/>
    </row>
    <row r="112" spans="1:11" x14ac:dyDescent="0.2">
      <c r="A112" s="172"/>
      <c r="B112" s="1" t="s">
        <v>521</v>
      </c>
      <c r="C112" s="26" t="str">
        <f>IF(ISERROR(FIND(",", $C$113)), "Constant", "InputFromFile")</f>
        <v>Constant</v>
      </c>
      <c r="I112" s="174"/>
      <c r="J112" s="177" t="str">
        <f>ConcatenateWithSpaces($B$112:$H$112)</f>
        <v>Form: Constant</v>
      </c>
      <c r="K112" s="176"/>
    </row>
    <row r="113" spans="1:15" x14ac:dyDescent="0.2">
      <c r="A113" s="172"/>
      <c r="B113" s="1" t="s">
        <v>2</v>
      </c>
      <c r="C113" s="26">
        <f>Lakes!$K$27</f>
        <v>7.3</v>
      </c>
      <c r="I113" s="174"/>
      <c r="J113" s="177" t="str">
        <f>ConcatenateWithSpaces($B$113:$H$113)</f>
        <v>Value: 7.3</v>
      </c>
      <c r="K113" s="176"/>
    </row>
    <row r="114" spans="1:15" x14ac:dyDescent="0.2">
      <c r="A114" s="172"/>
      <c r="B114" s="1" t="s">
        <v>4</v>
      </c>
      <c r="I114" s="174"/>
      <c r="J114" s="177" t="str">
        <f>ConcatenateWithSpaces($B$114:$H$114)</f>
        <v>Property: rho</v>
      </c>
      <c r="K114" s="176"/>
    </row>
    <row r="115" spans="1:15" x14ac:dyDescent="0.2">
      <c r="A115" s="172"/>
      <c r="B115" s="1" t="s">
        <v>521</v>
      </c>
      <c r="C115" s="26" t="str">
        <f>IF(ISERROR(FIND(",", $C$116)), "Constant", "InputFromFile")</f>
        <v>Constant</v>
      </c>
      <c r="I115" s="174"/>
      <c r="J115" s="177" t="str">
        <f>ConcatenateWithSpaces($B$115:$H$115)</f>
        <v>Form: Constant</v>
      </c>
      <c r="K115" s="176"/>
    </row>
    <row r="116" spans="1:15" x14ac:dyDescent="0.2">
      <c r="A116" s="172"/>
      <c r="B116" s="1" t="s">
        <v>2</v>
      </c>
      <c r="C116" s="26">
        <f>Lakes!$K$23</f>
        <v>2600</v>
      </c>
      <c r="I116" s="174"/>
      <c r="J116" s="177" t="str">
        <f>ConcatenateWithSpaces($B$116:$H$116)</f>
        <v>Value: 2600</v>
      </c>
      <c r="K116" s="176"/>
    </row>
    <row r="117" spans="1:15" x14ac:dyDescent="0.2">
      <c r="A117" s="172"/>
      <c r="B117" s="1" t="s">
        <v>5</v>
      </c>
      <c r="I117" s="174"/>
      <c r="J117" s="177" t="str">
        <f>ConcatenateWithSpaces($B$117:$H$117)</f>
        <v>Property: SedimentResuspensionVelocity</v>
      </c>
      <c r="K117" s="176"/>
    </row>
    <row r="118" spans="1:15" s="16" customFormat="1" x14ac:dyDescent="0.2">
      <c r="A118" s="172"/>
      <c r="B118" s="1" t="s">
        <v>521</v>
      </c>
      <c r="C118" s="26" t="str">
        <f>IF(ISERROR(FIND(",", $C$119)), "Constant", "InputFromFile")</f>
        <v>Constant</v>
      </c>
      <c r="D118" s="1"/>
      <c r="E118" s="1"/>
      <c r="F118" s="1"/>
      <c r="G118" s="1"/>
      <c r="H118" s="1"/>
      <c r="I118" s="174"/>
      <c r="J118" s="177" t="str">
        <f>ConcatenateWithSpaces($B$118:$H$118)</f>
        <v>Form: Constant</v>
      </c>
      <c r="K118" s="176"/>
      <c r="L118" s="1"/>
      <c r="M118" s="1"/>
      <c r="N118" s="1"/>
      <c r="O118" s="1"/>
    </row>
    <row r="119" spans="1:15" s="16" customFormat="1" x14ac:dyDescent="0.2">
      <c r="A119" s="172"/>
      <c r="B119" s="1" t="s">
        <v>2</v>
      </c>
      <c r="C119" s="26" t="e">
        <f>Lakes!$K$60</f>
        <v>#REF!</v>
      </c>
      <c r="D119" s="1"/>
      <c r="E119" s="1"/>
      <c r="F119" s="1"/>
      <c r="G119" s="1"/>
      <c r="H119" s="1"/>
      <c r="I119" s="174"/>
      <c r="J119" s="177" t="e">
        <f>ConcatenateWithSpaces($B$119:$H$119)</f>
        <v>#REF!</v>
      </c>
      <c r="K119" s="176"/>
    </row>
    <row r="120" spans="1:15" s="16" customFormat="1" x14ac:dyDescent="0.2">
      <c r="A120" s="172"/>
      <c r="B120" s="1"/>
      <c r="C120" s="1"/>
      <c r="D120" s="1"/>
      <c r="E120" s="1"/>
      <c r="F120" s="1"/>
      <c r="G120" s="1"/>
      <c r="H120" s="1"/>
      <c r="I120" s="174"/>
      <c r="J120" s="177" t="str">
        <f>ConcatenateWithSpaces($B$120:$H$120)</f>
        <v/>
      </c>
      <c r="K120" s="176"/>
    </row>
    <row r="121" spans="1:15" s="16" customFormat="1" x14ac:dyDescent="0.2">
      <c r="A121" s="172"/>
      <c r="B121" s="1" t="s">
        <v>378</v>
      </c>
      <c r="C121" s="26" t="str">
        <f>"Sediment in Sed_" &amp; Lakes!$L$6</f>
        <v>Sediment in Sed_LakeCadillac</v>
      </c>
      <c r="D121" s="1"/>
      <c r="E121" s="1"/>
      <c r="F121" s="1"/>
      <c r="G121" s="1"/>
      <c r="H121" s="1"/>
      <c r="I121" s="174"/>
      <c r="J121" s="177" t="str">
        <f>ConcatenateWithSpaces($B$121:$H$121)</f>
        <v>Compartment: Sediment in Sed_LakeCadillac</v>
      </c>
      <c r="K121" s="176"/>
    </row>
    <row r="122" spans="1:15" s="16" customFormat="1" x14ac:dyDescent="0.2">
      <c r="A122" s="172"/>
      <c r="B122" s="1" t="s">
        <v>261</v>
      </c>
      <c r="C122" s="1"/>
      <c r="D122" s="1"/>
      <c r="E122" s="1"/>
      <c r="F122" s="1"/>
      <c r="G122" s="1"/>
      <c r="H122" s="1"/>
      <c r="I122" s="174"/>
      <c r="J122" s="177" t="str">
        <f>ConcatenateWithSpaces($B$122:$H$122)</f>
        <v>Property: OrganicCarbonContent</v>
      </c>
      <c r="K122" s="176"/>
    </row>
    <row r="123" spans="1:15" s="16" customFormat="1" x14ac:dyDescent="0.2">
      <c r="A123" s="172"/>
      <c r="B123" s="1" t="s">
        <v>521</v>
      </c>
      <c r="C123" s="26" t="str">
        <f>IF(ISERROR(FIND(",", $C$124)), "Constant", "InputFromFile")</f>
        <v>Constant</v>
      </c>
      <c r="D123" s="1"/>
      <c r="E123" s="1"/>
      <c r="F123" s="1"/>
      <c r="G123" s="1"/>
      <c r="H123" s="1"/>
      <c r="I123" s="174"/>
      <c r="J123" s="177" t="str">
        <f>ConcatenateWithSpaces($B$123:$H$123)</f>
        <v>Form: Constant</v>
      </c>
      <c r="K123" s="176"/>
    </row>
    <row r="124" spans="1:15" s="16" customFormat="1" x14ac:dyDescent="0.2">
      <c r="A124" s="172"/>
      <c r="B124" s="1" t="s">
        <v>2</v>
      </c>
      <c r="C124" s="26">
        <f>Lakes!$L$28</f>
        <v>0.02</v>
      </c>
      <c r="D124" s="1"/>
      <c r="E124" s="1"/>
      <c r="F124" s="1"/>
      <c r="G124" s="1"/>
      <c r="H124" s="1"/>
      <c r="I124" s="174"/>
      <c r="J124" s="177" t="str">
        <f>ConcatenateWithSpaces($B$124:$H$124)</f>
        <v>Value: 0.02</v>
      </c>
      <c r="K124" s="176"/>
    </row>
    <row r="125" spans="1:15" s="16" customFormat="1" x14ac:dyDescent="0.2">
      <c r="A125" s="172"/>
      <c r="B125" s="1" t="s">
        <v>260</v>
      </c>
      <c r="C125" s="1"/>
      <c r="D125" s="1"/>
      <c r="E125" s="1"/>
      <c r="F125" s="1"/>
      <c r="G125" s="1"/>
      <c r="H125" s="1"/>
      <c r="I125" s="174"/>
      <c r="J125" s="177" t="str">
        <f>ConcatenateWithSpaces($B$125:$H$125)</f>
        <v>Property: pH</v>
      </c>
      <c r="K125" s="176"/>
    </row>
    <row r="126" spans="1:15" s="16" customFormat="1" x14ac:dyDescent="0.2">
      <c r="A126" s="172"/>
      <c r="B126" s="1" t="s">
        <v>521</v>
      </c>
      <c r="C126" s="26" t="str">
        <f>IF(ISERROR(FIND(",", $C$127)), "Constant", "InputFromFile")</f>
        <v>Constant</v>
      </c>
      <c r="D126" s="1"/>
      <c r="E126" s="1"/>
      <c r="F126" s="1"/>
      <c r="G126" s="1"/>
      <c r="H126" s="1"/>
      <c r="I126" s="174"/>
      <c r="J126" s="177" t="str">
        <f>ConcatenateWithSpaces($B$126:$H$126)</f>
        <v>Form: Constant</v>
      </c>
      <c r="K126" s="176"/>
    </row>
    <row r="127" spans="1:15" s="16" customFormat="1" x14ac:dyDescent="0.2">
      <c r="A127" s="172"/>
      <c r="B127" s="1" t="s">
        <v>2</v>
      </c>
      <c r="C127" s="26">
        <f>Lakes!$L$27</f>
        <v>7.3</v>
      </c>
      <c r="D127" s="1"/>
      <c r="E127" s="1"/>
      <c r="F127" s="1"/>
      <c r="G127" s="1"/>
      <c r="H127" s="1"/>
      <c r="I127" s="174"/>
      <c r="J127" s="177" t="str">
        <f>ConcatenateWithSpaces($B$127:$H$127)</f>
        <v>Value: 7.3</v>
      </c>
      <c r="K127" s="176"/>
    </row>
    <row r="128" spans="1:15" s="16" customFormat="1" x14ac:dyDescent="0.2">
      <c r="A128" s="172"/>
      <c r="B128" s="1" t="s">
        <v>4</v>
      </c>
      <c r="C128" s="1"/>
      <c r="D128" s="1"/>
      <c r="E128" s="1"/>
      <c r="F128" s="1"/>
      <c r="G128" s="1"/>
      <c r="H128" s="1"/>
      <c r="I128" s="174"/>
      <c r="J128" s="177" t="str">
        <f>ConcatenateWithSpaces($B$128:$H$128)</f>
        <v>Property: rho</v>
      </c>
      <c r="K128" s="176"/>
    </row>
    <row r="129" spans="1:15" s="16" customFormat="1" x14ac:dyDescent="0.2">
      <c r="A129" s="172"/>
      <c r="B129" s="1" t="s">
        <v>521</v>
      </c>
      <c r="C129" s="26" t="str">
        <f>IF(ISERROR(FIND(",", $C$130)), "Constant", "InputFromFile")</f>
        <v>Constant</v>
      </c>
      <c r="D129" s="1"/>
      <c r="E129" s="1"/>
      <c r="F129" s="1"/>
      <c r="G129" s="1"/>
      <c r="H129" s="1"/>
      <c r="I129" s="174"/>
      <c r="J129" s="177" t="str">
        <f>ConcatenateWithSpaces($B$129:$H$129)</f>
        <v>Form: Constant</v>
      </c>
      <c r="K129" s="176"/>
    </row>
    <row r="130" spans="1:15" s="16" customFormat="1" x14ac:dyDescent="0.2">
      <c r="A130" s="172"/>
      <c r="B130" s="1" t="s">
        <v>2</v>
      </c>
      <c r="C130" s="26">
        <f>Lakes!$L$23</f>
        <v>2600</v>
      </c>
      <c r="D130" s="1"/>
      <c r="E130" s="1"/>
      <c r="F130" s="1"/>
      <c r="G130" s="1"/>
      <c r="H130" s="1"/>
      <c r="I130" s="174"/>
      <c r="J130" s="177" t="str">
        <f>ConcatenateWithSpaces($B$130:$H$130)</f>
        <v>Value: 2600</v>
      </c>
      <c r="K130" s="176"/>
    </row>
    <row r="131" spans="1:15" x14ac:dyDescent="0.2">
      <c r="A131" s="172"/>
      <c r="B131" s="1" t="s">
        <v>5</v>
      </c>
      <c r="I131" s="174"/>
      <c r="J131" s="177" t="str">
        <f>ConcatenateWithSpaces($B$131:$H$131)</f>
        <v>Property: SedimentResuspensionVelocity</v>
      </c>
      <c r="K131" s="176"/>
      <c r="L131" s="16"/>
      <c r="M131" s="16"/>
      <c r="N131" s="16"/>
      <c r="O131" s="16"/>
    </row>
    <row r="132" spans="1:15" x14ac:dyDescent="0.2">
      <c r="A132" s="172"/>
      <c r="B132" s="1" t="s">
        <v>521</v>
      </c>
      <c r="C132" s="26" t="str">
        <f>IF(ISERROR(FIND(",", $C$133)), "Constant", "InputFromFile")</f>
        <v>Constant</v>
      </c>
      <c r="I132" s="174"/>
      <c r="J132" s="177" t="str">
        <f>ConcatenateWithSpaces($B$132:$H$132)</f>
        <v>Form: Constant</v>
      </c>
      <c r="K132" s="176"/>
    </row>
    <row r="133" spans="1:15" x14ac:dyDescent="0.2">
      <c r="A133" s="172"/>
      <c r="B133" s="1" t="s">
        <v>2</v>
      </c>
      <c r="C133" s="26" t="e">
        <f>Lakes!$L$60</f>
        <v>#REF!</v>
      </c>
      <c r="I133" s="174"/>
      <c r="J133" s="177" t="e">
        <f>ConcatenateWithSpaces($B$133:$H$133)</f>
        <v>#REF!</v>
      </c>
      <c r="K133" s="176"/>
    </row>
    <row r="134" spans="1:15" x14ac:dyDescent="0.2">
      <c r="A134" s="172"/>
      <c r="I134" s="174"/>
      <c r="J134" s="177" t="str">
        <f>ConcatenateWithSpaces($B$134:$H$134)</f>
        <v/>
      </c>
      <c r="K134" s="176"/>
    </row>
    <row r="135" spans="1:15" x14ac:dyDescent="0.2">
      <c r="A135" s="172"/>
      <c r="I135" s="174"/>
      <c r="J135" s="177" t="str">
        <f>ConcatenateWithSpaces($B$135:$H$135)</f>
        <v/>
      </c>
      <c r="K135" s="176"/>
    </row>
    <row r="136" spans="1:15" x14ac:dyDescent="0.2">
      <c r="A136" s="172"/>
      <c r="B136" s="1" t="s">
        <v>540</v>
      </c>
      <c r="I136" s="174"/>
      <c r="J136" s="177" t="str">
        <f>ConcatenateWithSpaces($B$136:$H$136)</f>
        <v>// ----------------------------------------------------------------------------</v>
      </c>
      <c r="K136" s="176"/>
    </row>
    <row r="137" spans="1:15" x14ac:dyDescent="0.2">
      <c r="A137" s="172"/>
      <c r="B137" s="1" t="s">
        <v>541</v>
      </c>
      <c r="I137" s="174"/>
      <c r="J137" s="177" t="str">
        <f>ConcatenateWithSpaces($B$137:$H$137)</f>
        <v>// Fish food web(s)</v>
      </c>
      <c r="K137" s="176"/>
    </row>
    <row r="138" spans="1:15" x14ac:dyDescent="0.2">
      <c r="A138" s="172"/>
      <c r="B138" s="1" t="s">
        <v>540</v>
      </c>
      <c r="I138" s="174"/>
      <c r="J138" s="177" t="str">
        <f>ConcatenateWithSpaces($B$138:$H$138)</f>
        <v>// ----------------------------------------------------------------------------</v>
      </c>
      <c r="K138" s="176"/>
    </row>
    <row r="139" spans="1:15" x14ac:dyDescent="0.2">
      <c r="A139" s="172"/>
      <c r="I139" s="174"/>
      <c r="J139" s="177" t="str">
        <f>ConcatenateWithSpaces($B$139:$H$139)</f>
        <v/>
      </c>
      <c r="K139" s="176"/>
    </row>
    <row r="140" spans="1:15" x14ac:dyDescent="0.2">
      <c r="A140" s="172"/>
      <c r="I140" s="174"/>
      <c r="J140" s="177" t="str">
        <f>ConcatenateWithSpaces($B$140:$H$140)</f>
        <v/>
      </c>
      <c r="K140" s="176"/>
    </row>
    <row r="141" spans="1:15" x14ac:dyDescent="0.2">
      <c r="A141" s="172"/>
      <c r="B141" s="1" t="s">
        <v>378</v>
      </c>
      <c r="C141" s="26" t="str">
        <f>Fish!$D$10</f>
        <v>Macrophyte</v>
      </c>
      <c r="D141" s="1" t="s">
        <v>531</v>
      </c>
      <c r="E141" s="26" t="str">
        <f>Fish!$E$10 &amp; "_" &amp; Fish!$C$10</f>
        <v>SW_LakeCadillac</v>
      </c>
      <c r="I141" s="174"/>
      <c r="J141" s="177" t="str">
        <f>ConcatenateWithSpaces($B$141:$H$141)</f>
        <v>Compartment: Macrophyte in SW_LakeCadillac</v>
      </c>
      <c r="K141" s="176"/>
    </row>
    <row r="142" spans="1:15" x14ac:dyDescent="0.2">
      <c r="A142" s="172"/>
      <c r="B142" s="1" t="s">
        <v>532</v>
      </c>
      <c r="I142" s="174"/>
      <c r="J142" s="177" t="str">
        <f>ConcatenateWithSpaces($B$142:$H$142)</f>
        <v>Property: BiomassPerArea_kg_m2</v>
      </c>
      <c r="K142" s="176"/>
    </row>
    <row r="143" spans="1:15" x14ac:dyDescent="0.2">
      <c r="A143" s="172"/>
      <c r="B143" s="1" t="s">
        <v>521</v>
      </c>
      <c r="C143" s="26" t="str">
        <f>IF(ISERROR(FIND(",", $C$144)), "Constant", "InputFromFile")</f>
        <v>Constant</v>
      </c>
      <c r="I143" s="174"/>
      <c r="J143" s="177" t="str">
        <f>ConcatenateWithSpaces($B$143:$H$143)</f>
        <v>Form: Constant</v>
      </c>
      <c r="K143" s="176"/>
    </row>
    <row r="144" spans="1:15" x14ac:dyDescent="0.2">
      <c r="A144" s="172"/>
      <c r="B144" s="1" t="s">
        <v>2</v>
      </c>
      <c r="C144" s="26">
        <f>Fish!$P$10</f>
        <v>0.5</v>
      </c>
      <c r="I144" s="174"/>
      <c r="J144" s="177" t="str">
        <f>ConcatenateWithSpaces($B$144:$H$144)</f>
        <v>Value: 0.5</v>
      </c>
      <c r="K144" s="176"/>
    </row>
    <row r="145" spans="1:11" x14ac:dyDescent="0.2">
      <c r="A145" s="172"/>
      <c r="B145" s="1" t="s">
        <v>519</v>
      </c>
      <c r="C145" s="26" t="str">
        <f>Fish!$G$7</f>
        <v>FractionDietAlgae</v>
      </c>
      <c r="I145" s="174"/>
      <c r="J145" s="177" t="str">
        <f>ConcatenateWithSpaces($B$145:$H$145)</f>
        <v>Property: FractionDietAlgae</v>
      </c>
      <c r="K145" s="176"/>
    </row>
    <row r="146" spans="1:11" x14ac:dyDescent="0.2">
      <c r="A146" s="172"/>
      <c r="B146" s="1" t="s">
        <v>520</v>
      </c>
      <c r="I146" s="174"/>
      <c r="J146" s="177" t="str">
        <f>ConcatenateWithSpaces($B$146:$H$146)</f>
        <v>Form: Constant</v>
      </c>
      <c r="K146" s="176"/>
    </row>
    <row r="147" spans="1:11" x14ac:dyDescent="0.2">
      <c r="A147" s="172"/>
      <c r="B147" s="1" t="s">
        <v>2</v>
      </c>
      <c r="C147" s="26">
        <f>1 * Fish!$G$10</f>
        <v>0</v>
      </c>
      <c r="I147" s="174"/>
      <c r="J147" s="177" t="str">
        <f>ConcatenateWithSpaces($B$147:$H$147)</f>
        <v>Value: 0</v>
      </c>
      <c r="K147" s="176"/>
    </row>
    <row r="148" spans="1:11" x14ac:dyDescent="0.2">
      <c r="A148" s="172"/>
      <c r="B148" s="1" t="s">
        <v>519</v>
      </c>
      <c r="C148" s="26" t="str">
        <f>Fish!$H$7</f>
        <v>FractionDietMacrophyte</v>
      </c>
      <c r="I148" s="174"/>
      <c r="J148" s="177" t="str">
        <f>ConcatenateWithSpaces($B$148:$H$148)</f>
        <v>Property: FractionDietMacrophyte</v>
      </c>
      <c r="K148" s="176"/>
    </row>
    <row r="149" spans="1:11" x14ac:dyDescent="0.2">
      <c r="A149" s="172"/>
      <c r="B149" s="1" t="s">
        <v>520</v>
      </c>
      <c r="I149" s="174"/>
      <c r="J149" s="177" t="str">
        <f>ConcatenateWithSpaces($B$149:$H$149)</f>
        <v>Form: Constant</v>
      </c>
      <c r="K149" s="176"/>
    </row>
    <row r="150" spans="1:11" x14ac:dyDescent="0.2">
      <c r="A150" s="172"/>
      <c r="B150" s="1" t="s">
        <v>2</v>
      </c>
      <c r="C150" s="26">
        <f>1 * Fish!$H$10</f>
        <v>0</v>
      </c>
      <c r="I150" s="174"/>
      <c r="J150" s="177" t="str">
        <f>ConcatenateWithSpaces($B$150:$H$150)</f>
        <v>Value: 0</v>
      </c>
      <c r="K150" s="176"/>
    </row>
    <row r="151" spans="1:11" x14ac:dyDescent="0.2">
      <c r="A151" s="172"/>
      <c r="B151" s="1" t="s">
        <v>519</v>
      </c>
      <c r="C151" s="26" t="str">
        <f>Fish!$I$7</f>
        <v>FractionDietZooplankton</v>
      </c>
      <c r="I151" s="174"/>
      <c r="J151" s="177" t="str">
        <f>ConcatenateWithSpaces($B$151:$H$151)</f>
        <v>Property: FractionDietZooplankton</v>
      </c>
      <c r="K151" s="176"/>
    </row>
    <row r="152" spans="1:11" x14ac:dyDescent="0.2">
      <c r="A152" s="172"/>
      <c r="B152" s="1" t="s">
        <v>520</v>
      </c>
      <c r="I152" s="174"/>
      <c r="J152" s="177" t="str">
        <f>ConcatenateWithSpaces($B$152:$H$152)</f>
        <v>Form: Constant</v>
      </c>
      <c r="K152" s="176"/>
    </row>
    <row r="153" spans="1:11" x14ac:dyDescent="0.2">
      <c r="A153" s="172"/>
      <c r="B153" s="1" t="s">
        <v>2</v>
      </c>
      <c r="C153" s="26">
        <f>1 * Fish!$I$10</f>
        <v>0</v>
      </c>
      <c r="I153" s="174"/>
      <c r="J153" s="177" t="str">
        <f>ConcatenateWithSpaces($B$153:$H$153)</f>
        <v>Value: 0</v>
      </c>
      <c r="K153" s="176"/>
    </row>
    <row r="154" spans="1:11" x14ac:dyDescent="0.2">
      <c r="A154" s="172"/>
      <c r="B154" s="1" t="s">
        <v>519</v>
      </c>
      <c r="C154" s="26" t="str">
        <f>Fish!$J$7</f>
        <v>FractionDietBenthicInvertebrate</v>
      </c>
      <c r="I154" s="174"/>
      <c r="J154" s="177" t="str">
        <f>ConcatenateWithSpaces($B$154:$H$154)</f>
        <v>Property: FractionDietBenthicInvertebrate</v>
      </c>
      <c r="K154" s="176"/>
    </row>
    <row r="155" spans="1:11" x14ac:dyDescent="0.2">
      <c r="A155" s="172"/>
      <c r="B155" s="1" t="s">
        <v>520</v>
      </c>
      <c r="I155" s="174"/>
      <c r="J155" s="177" t="str">
        <f>ConcatenateWithSpaces($B$155:$H$155)</f>
        <v>Form: Constant</v>
      </c>
      <c r="K155" s="176"/>
    </row>
    <row r="156" spans="1:11" x14ac:dyDescent="0.2">
      <c r="A156" s="172"/>
      <c r="B156" s="1" t="s">
        <v>2</v>
      </c>
      <c r="C156" s="26">
        <f>1 * Fish!$J$10</f>
        <v>0</v>
      </c>
      <c r="I156" s="174"/>
      <c r="J156" s="177" t="str">
        <f>ConcatenateWithSpaces($B$156:$H$156)</f>
        <v>Value: 0</v>
      </c>
      <c r="K156" s="176"/>
    </row>
    <row r="157" spans="1:11" x14ac:dyDescent="0.2">
      <c r="A157" s="172"/>
      <c r="B157" s="1" t="s">
        <v>519</v>
      </c>
      <c r="C157" s="26" t="str">
        <f>Fish!$K$7</f>
        <v>FractionDietFishHerbivore</v>
      </c>
      <c r="I157" s="174"/>
      <c r="J157" s="177" t="str">
        <f>ConcatenateWithSpaces($B$157:$H$157)</f>
        <v>Property: FractionDietFishHerbivore</v>
      </c>
      <c r="K157" s="176"/>
    </row>
    <row r="158" spans="1:11" x14ac:dyDescent="0.2">
      <c r="A158" s="172"/>
      <c r="B158" s="1" t="s">
        <v>520</v>
      </c>
      <c r="I158" s="174"/>
      <c r="J158" s="177" t="str">
        <f>ConcatenateWithSpaces($B$158:$H$158)</f>
        <v>Form: Constant</v>
      </c>
      <c r="K158" s="176"/>
    </row>
    <row r="159" spans="1:11" x14ac:dyDescent="0.2">
      <c r="A159" s="172"/>
      <c r="B159" s="1" t="s">
        <v>2</v>
      </c>
      <c r="C159" s="26">
        <f>1 * Fish!$K$10</f>
        <v>0</v>
      </c>
      <c r="I159" s="174"/>
      <c r="J159" s="177" t="str">
        <f>ConcatenateWithSpaces($B$159:$H$159)</f>
        <v>Value: 0</v>
      </c>
      <c r="K159" s="176"/>
    </row>
    <row r="160" spans="1:11" x14ac:dyDescent="0.2">
      <c r="A160" s="172"/>
      <c r="B160" s="1" t="s">
        <v>519</v>
      </c>
      <c r="C160" s="26" t="str">
        <f>Fish!$L$7</f>
        <v>FractionDietFishBenthicOmnivore</v>
      </c>
      <c r="I160" s="174"/>
      <c r="J160" s="177" t="str">
        <f>ConcatenateWithSpaces($B$160:$H$160)</f>
        <v>Property: FractionDietFishBenthicOmnivore</v>
      </c>
      <c r="K160" s="176"/>
    </row>
    <row r="161" spans="1:11" x14ac:dyDescent="0.2">
      <c r="A161" s="172"/>
      <c r="B161" s="1" t="s">
        <v>520</v>
      </c>
      <c r="I161" s="174"/>
      <c r="J161" s="177" t="str">
        <f>ConcatenateWithSpaces($B$161:$H$161)</f>
        <v>Form: Constant</v>
      </c>
      <c r="K161" s="176"/>
    </row>
    <row r="162" spans="1:11" x14ac:dyDescent="0.2">
      <c r="A162" s="172"/>
      <c r="B162" s="1" t="s">
        <v>2</v>
      </c>
      <c r="C162" s="26">
        <f>1 * Fish!$L$10</f>
        <v>0</v>
      </c>
      <c r="I162" s="174"/>
      <c r="J162" s="177" t="str">
        <f>ConcatenateWithSpaces($B$162:$H$162)</f>
        <v>Value: 0</v>
      </c>
      <c r="K162" s="176"/>
    </row>
    <row r="163" spans="1:11" x14ac:dyDescent="0.2">
      <c r="A163" s="172"/>
      <c r="B163" s="1" t="s">
        <v>519</v>
      </c>
      <c r="C163" s="26" t="str">
        <f>Fish!$M$7</f>
        <v>FractionDietFishOmnivore</v>
      </c>
      <c r="I163" s="174"/>
      <c r="J163" s="177" t="str">
        <f>ConcatenateWithSpaces($B$163:$H$163)</f>
        <v>Property: FractionDietFishOmnivore</v>
      </c>
      <c r="K163" s="176"/>
    </row>
    <row r="164" spans="1:11" x14ac:dyDescent="0.2">
      <c r="A164" s="172"/>
      <c r="B164" s="1" t="s">
        <v>520</v>
      </c>
      <c r="I164" s="174"/>
      <c r="J164" s="177" t="str">
        <f>ConcatenateWithSpaces($B$164:$H$164)</f>
        <v>Form: Constant</v>
      </c>
      <c r="K164" s="176"/>
    </row>
    <row r="165" spans="1:11" x14ac:dyDescent="0.2">
      <c r="A165" s="172"/>
      <c r="B165" s="1" t="s">
        <v>2</v>
      </c>
      <c r="C165" s="26">
        <f>1 * Fish!$M$10</f>
        <v>0</v>
      </c>
      <c r="I165" s="174"/>
      <c r="J165" s="177" t="str">
        <f>ConcatenateWithSpaces($B$165:$H$165)</f>
        <v>Value: 0</v>
      </c>
      <c r="K165" s="176"/>
    </row>
    <row r="166" spans="1:11" x14ac:dyDescent="0.2">
      <c r="A166" s="172"/>
      <c r="B166" s="1" t="s">
        <v>519</v>
      </c>
      <c r="C166" s="26" t="str">
        <f>Fish!$N$7</f>
        <v>FractionDietFishBenthicCarnivore</v>
      </c>
      <c r="I166" s="174"/>
      <c r="J166" s="177" t="str">
        <f>ConcatenateWithSpaces($B$166:$H$166)</f>
        <v>Property: FractionDietFishBenthicCarnivore</v>
      </c>
      <c r="K166" s="176"/>
    </row>
    <row r="167" spans="1:11" x14ac:dyDescent="0.2">
      <c r="A167" s="172"/>
      <c r="B167" s="1" t="s">
        <v>520</v>
      </c>
      <c r="I167" s="174"/>
      <c r="J167" s="177" t="str">
        <f>ConcatenateWithSpaces($B$167:$H$167)</f>
        <v>Form: Constant</v>
      </c>
      <c r="K167" s="176"/>
    </row>
    <row r="168" spans="1:11" x14ac:dyDescent="0.2">
      <c r="A168" s="172"/>
      <c r="B168" s="1" t="s">
        <v>2</v>
      </c>
      <c r="C168" s="26">
        <f>1 * Fish!$N$10</f>
        <v>0</v>
      </c>
      <c r="I168" s="174"/>
      <c r="J168" s="177" t="str">
        <f>ConcatenateWithSpaces($B$168:$H$168)</f>
        <v>Value: 0</v>
      </c>
      <c r="K168" s="176"/>
    </row>
    <row r="169" spans="1:11" x14ac:dyDescent="0.2">
      <c r="A169" s="172"/>
      <c r="B169" s="1" t="s">
        <v>519</v>
      </c>
      <c r="C169" s="26" t="str">
        <f>Fish!$O$7</f>
        <v>FractionDietFishCarnivore</v>
      </c>
      <c r="I169" s="174"/>
      <c r="J169" s="177" t="str">
        <f>ConcatenateWithSpaces($B$169:$H$169)</f>
        <v>Property: FractionDietFishCarnivore</v>
      </c>
      <c r="K169" s="176"/>
    </row>
    <row r="170" spans="1:11" x14ac:dyDescent="0.2">
      <c r="A170" s="172"/>
      <c r="B170" s="1" t="s">
        <v>520</v>
      </c>
      <c r="I170" s="174"/>
      <c r="J170" s="177" t="str">
        <f>ConcatenateWithSpaces($B$170:$H$170)</f>
        <v>Form: Constant</v>
      </c>
      <c r="K170" s="176"/>
    </row>
    <row r="171" spans="1:11" x14ac:dyDescent="0.2">
      <c r="A171" s="172"/>
      <c r="B171" s="1" t="s">
        <v>2</v>
      </c>
      <c r="C171" s="26">
        <f>1 * Fish!$O$10</f>
        <v>0</v>
      </c>
      <c r="I171" s="174"/>
      <c r="J171" s="177" t="str">
        <f>ConcatenateWithSpaces($B$171:$H$171)</f>
        <v>Value: 0</v>
      </c>
      <c r="K171" s="176"/>
    </row>
    <row r="172" spans="1:11" x14ac:dyDescent="0.2">
      <c r="A172" s="172"/>
      <c r="I172" s="174"/>
      <c r="J172" s="177" t="str">
        <f>ConcatenateWithSpaces($B$172:$H$172)</f>
        <v/>
      </c>
      <c r="K172" s="176"/>
    </row>
    <row r="173" spans="1:11" x14ac:dyDescent="0.2">
      <c r="A173" s="172"/>
      <c r="B173" s="1" t="s">
        <v>378</v>
      </c>
      <c r="C173" s="26" t="str">
        <f>Fish!$D$11</f>
        <v>Zooplankton</v>
      </c>
      <c r="D173" s="1" t="s">
        <v>531</v>
      </c>
      <c r="E173" s="26" t="str">
        <f>Fish!$E$11 &amp; "_" &amp; Fish!$C$11</f>
        <v>SW_LakeCadillac</v>
      </c>
      <c r="I173" s="174"/>
      <c r="J173" s="177" t="str">
        <f>ConcatenateWithSpaces($B$173:$H$173)</f>
        <v>Compartment: Zooplankton in SW_LakeCadillac</v>
      </c>
      <c r="K173" s="176"/>
    </row>
    <row r="174" spans="1:11" x14ac:dyDescent="0.2">
      <c r="A174" s="172"/>
      <c r="B174" s="1" t="s">
        <v>532</v>
      </c>
      <c r="I174" s="174"/>
      <c r="J174" s="177" t="str">
        <f>ConcatenateWithSpaces($B$174:$H$174)</f>
        <v>Property: BiomassPerArea_kg_m2</v>
      </c>
      <c r="K174" s="176"/>
    </row>
    <row r="175" spans="1:11" x14ac:dyDescent="0.2">
      <c r="A175" s="172"/>
      <c r="B175" s="1" t="s">
        <v>521</v>
      </c>
      <c r="C175" s="26" t="str">
        <f>IF(ISERROR(FIND(",", $C$176)), "Constant", "InputFromFile")</f>
        <v>Constant</v>
      </c>
      <c r="I175" s="174"/>
      <c r="J175" s="177" t="str">
        <f>ConcatenateWithSpaces($B$175:$H$175)</f>
        <v>Form: Constant</v>
      </c>
      <c r="K175" s="176"/>
    </row>
    <row r="176" spans="1:11" x14ac:dyDescent="0.2">
      <c r="A176" s="172"/>
      <c r="B176" s="1" t="s">
        <v>2</v>
      </c>
      <c r="C176" s="26">
        <f>Fish!$P$11</f>
        <v>2.8912421014924174E-2</v>
      </c>
      <c r="I176" s="174"/>
      <c r="J176" s="177" t="str">
        <f>ConcatenateWithSpaces($B$176:$H$176)</f>
        <v>Value: 2.89124210149242E-02</v>
      </c>
      <c r="K176" s="176"/>
    </row>
    <row r="177" spans="1:11" x14ac:dyDescent="0.2">
      <c r="A177" s="172"/>
      <c r="B177" s="1" t="s">
        <v>533</v>
      </c>
      <c r="I177" s="174"/>
      <c r="J177" s="177" t="str">
        <f>ConcatenateWithSpaces($B$177:$H$177)</f>
        <v>Property: BW</v>
      </c>
      <c r="K177" s="176"/>
    </row>
    <row r="178" spans="1:11" x14ac:dyDescent="0.2">
      <c r="A178" s="172"/>
      <c r="B178" s="1" t="s">
        <v>521</v>
      </c>
      <c r="C178" s="26" t="str">
        <f>IF(ISERROR(FIND(",", $C$179)), "Constant", "InputFromFile")</f>
        <v>Constant</v>
      </c>
      <c r="I178" s="174"/>
      <c r="J178" s="177" t="str">
        <f>ConcatenateWithSpaces($B$178:$H$178)</f>
        <v>Form: Constant</v>
      </c>
      <c r="K178" s="176"/>
    </row>
    <row r="179" spans="1:11" x14ac:dyDescent="0.2">
      <c r="A179" s="172"/>
      <c r="B179" s="1" t="s">
        <v>2</v>
      </c>
      <c r="C179" s="248">
        <f>Fish!$R$11</f>
        <v>5.7000000000000001E-8</v>
      </c>
      <c r="I179" s="174"/>
      <c r="J179" s="177" t="str">
        <f>ConcatenateWithSpaces($B$179:$H$179)</f>
        <v>Value: 0.000000057</v>
      </c>
      <c r="K179" s="176"/>
    </row>
    <row r="180" spans="1:11" x14ac:dyDescent="0.2">
      <c r="A180" s="172"/>
      <c r="B180" s="1" t="s">
        <v>519</v>
      </c>
      <c r="C180" s="26" t="str">
        <f>Fish!$G$7</f>
        <v>FractionDietAlgae</v>
      </c>
      <c r="I180" s="174"/>
      <c r="J180" s="177" t="str">
        <f>ConcatenateWithSpaces($B$180:$H$180)</f>
        <v>Property: FractionDietAlgae</v>
      </c>
      <c r="K180" s="176"/>
    </row>
    <row r="181" spans="1:11" x14ac:dyDescent="0.2">
      <c r="A181" s="172"/>
      <c r="B181" s="1" t="s">
        <v>520</v>
      </c>
      <c r="I181" s="174"/>
      <c r="J181" s="177" t="str">
        <f>ConcatenateWithSpaces($B$181:$H$181)</f>
        <v>Form: Constant</v>
      </c>
      <c r="K181" s="176"/>
    </row>
    <row r="182" spans="1:11" x14ac:dyDescent="0.2">
      <c r="A182" s="172"/>
      <c r="B182" s="1" t="s">
        <v>2</v>
      </c>
      <c r="C182" s="26">
        <f>1 * Fish!$G$11</f>
        <v>1</v>
      </c>
      <c r="I182" s="174"/>
      <c r="J182" s="177" t="str">
        <f>ConcatenateWithSpaces($B$182:$H$182)</f>
        <v>Value: 1</v>
      </c>
      <c r="K182" s="176"/>
    </row>
    <row r="183" spans="1:11" x14ac:dyDescent="0.2">
      <c r="A183" s="172"/>
      <c r="B183" s="1" t="s">
        <v>519</v>
      </c>
      <c r="C183" s="26" t="str">
        <f>Fish!$H$7</f>
        <v>FractionDietMacrophyte</v>
      </c>
      <c r="I183" s="174"/>
      <c r="J183" s="177" t="str">
        <f>ConcatenateWithSpaces($B$183:$H$183)</f>
        <v>Property: FractionDietMacrophyte</v>
      </c>
      <c r="K183" s="176"/>
    </row>
    <row r="184" spans="1:11" x14ac:dyDescent="0.2">
      <c r="A184" s="172"/>
      <c r="B184" s="1" t="s">
        <v>520</v>
      </c>
      <c r="I184" s="174"/>
      <c r="J184" s="177" t="str">
        <f>ConcatenateWithSpaces($B$184:$H$184)</f>
        <v>Form: Constant</v>
      </c>
      <c r="K184" s="176"/>
    </row>
    <row r="185" spans="1:11" x14ac:dyDescent="0.2">
      <c r="A185" s="172"/>
      <c r="B185" s="1" t="s">
        <v>2</v>
      </c>
      <c r="C185" s="26">
        <f>1 * Fish!$H$11</f>
        <v>0</v>
      </c>
      <c r="I185" s="174"/>
      <c r="J185" s="177" t="str">
        <f>ConcatenateWithSpaces($B$185:$H$185)</f>
        <v>Value: 0</v>
      </c>
      <c r="K185" s="176"/>
    </row>
    <row r="186" spans="1:11" x14ac:dyDescent="0.2">
      <c r="A186" s="172"/>
      <c r="B186" s="1" t="s">
        <v>519</v>
      </c>
      <c r="C186" s="26" t="str">
        <f>Fish!$I$7</f>
        <v>FractionDietZooplankton</v>
      </c>
      <c r="I186" s="174"/>
      <c r="J186" s="177" t="str">
        <f>ConcatenateWithSpaces($B$186:$H$186)</f>
        <v>Property: FractionDietZooplankton</v>
      </c>
      <c r="K186" s="176"/>
    </row>
    <row r="187" spans="1:11" x14ac:dyDescent="0.2">
      <c r="A187" s="172"/>
      <c r="B187" s="1" t="s">
        <v>520</v>
      </c>
      <c r="I187" s="174"/>
      <c r="J187" s="177" t="str">
        <f>ConcatenateWithSpaces($B$187:$H$187)</f>
        <v>Form: Constant</v>
      </c>
      <c r="K187" s="176"/>
    </row>
    <row r="188" spans="1:11" x14ac:dyDescent="0.2">
      <c r="A188" s="172"/>
      <c r="B188" s="1" t="s">
        <v>2</v>
      </c>
      <c r="C188" s="26">
        <f>1 * Fish!$I$11</f>
        <v>0</v>
      </c>
      <c r="I188" s="174"/>
      <c r="J188" s="177" t="str">
        <f>ConcatenateWithSpaces($B$188:$H$188)</f>
        <v>Value: 0</v>
      </c>
      <c r="K188" s="176"/>
    </row>
    <row r="189" spans="1:11" x14ac:dyDescent="0.2">
      <c r="A189" s="172"/>
      <c r="B189" s="1" t="s">
        <v>519</v>
      </c>
      <c r="C189" s="26" t="str">
        <f>Fish!$J$7</f>
        <v>FractionDietBenthicInvertebrate</v>
      </c>
      <c r="I189" s="174"/>
      <c r="J189" s="177" t="str">
        <f>ConcatenateWithSpaces($B$189:$H$189)</f>
        <v>Property: FractionDietBenthicInvertebrate</v>
      </c>
      <c r="K189" s="176"/>
    </row>
    <row r="190" spans="1:11" x14ac:dyDescent="0.2">
      <c r="A190" s="172"/>
      <c r="B190" s="1" t="s">
        <v>520</v>
      </c>
      <c r="I190" s="174"/>
      <c r="J190" s="177" t="str">
        <f>ConcatenateWithSpaces($B$190:$H$190)</f>
        <v>Form: Constant</v>
      </c>
      <c r="K190" s="176"/>
    </row>
    <row r="191" spans="1:11" x14ac:dyDescent="0.2">
      <c r="A191" s="172"/>
      <c r="B191" s="1" t="s">
        <v>2</v>
      </c>
      <c r="C191" s="26">
        <f>1 * Fish!$J$11</f>
        <v>0</v>
      </c>
      <c r="I191" s="174"/>
      <c r="J191" s="177" t="str">
        <f>ConcatenateWithSpaces($B$191:$H$191)</f>
        <v>Value: 0</v>
      </c>
      <c r="K191" s="176"/>
    </row>
    <row r="192" spans="1:11" x14ac:dyDescent="0.2">
      <c r="A192" s="172"/>
      <c r="B192" s="1" t="s">
        <v>519</v>
      </c>
      <c r="C192" s="26" t="str">
        <f>Fish!$K$7</f>
        <v>FractionDietFishHerbivore</v>
      </c>
      <c r="I192" s="174"/>
      <c r="J192" s="177" t="str">
        <f>ConcatenateWithSpaces($B$192:$H$192)</f>
        <v>Property: FractionDietFishHerbivore</v>
      </c>
      <c r="K192" s="176"/>
    </row>
    <row r="193" spans="1:11" x14ac:dyDescent="0.2">
      <c r="A193" s="172"/>
      <c r="B193" s="1" t="s">
        <v>520</v>
      </c>
      <c r="I193" s="174"/>
      <c r="J193" s="177" t="str">
        <f>ConcatenateWithSpaces($B$193:$H$193)</f>
        <v>Form: Constant</v>
      </c>
      <c r="K193" s="176"/>
    </row>
    <row r="194" spans="1:11" x14ac:dyDescent="0.2">
      <c r="A194" s="172"/>
      <c r="B194" s="1" t="s">
        <v>2</v>
      </c>
      <c r="C194" s="26">
        <f>1 * Fish!$K$11</f>
        <v>0</v>
      </c>
      <c r="I194" s="174"/>
      <c r="J194" s="177" t="str">
        <f>ConcatenateWithSpaces($B$194:$H$194)</f>
        <v>Value: 0</v>
      </c>
      <c r="K194" s="176"/>
    </row>
    <row r="195" spans="1:11" x14ac:dyDescent="0.2">
      <c r="A195" s="172"/>
      <c r="B195" s="1" t="s">
        <v>519</v>
      </c>
      <c r="C195" s="26" t="str">
        <f>Fish!$L$7</f>
        <v>FractionDietFishBenthicOmnivore</v>
      </c>
      <c r="I195" s="174"/>
      <c r="J195" s="177" t="str">
        <f>ConcatenateWithSpaces($B$195:$H$195)</f>
        <v>Property: FractionDietFishBenthicOmnivore</v>
      </c>
      <c r="K195" s="176"/>
    </row>
    <row r="196" spans="1:11" x14ac:dyDescent="0.2">
      <c r="A196" s="172"/>
      <c r="B196" s="1" t="s">
        <v>520</v>
      </c>
      <c r="I196" s="174"/>
      <c r="J196" s="177" t="str">
        <f>ConcatenateWithSpaces($B$196:$H$196)</f>
        <v>Form: Constant</v>
      </c>
      <c r="K196" s="176"/>
    </row>
    <row r="197" spans="1:11" x14ac:dyDescent="0.2">
      <c r="A197" s="172"/>
      <c r="B197" s="1" t="s">
        <v>2</v>
      </c>
      <c r="C197" s="26">
        <f>1 * Fish!$L$11</f>
        <v>0</v>
      </c>
      <c r="I197" s="174"/>
      <c r="J197" s="177" t="str">
        <f>ConcatenateWithSpaces($B$197:$H$197)</f>
        <v>Value: 0</v>
      </c>
      <c r="K197" s="176"/>
    </row>
    <row r="198" spans="1:11" x14ac:dyDescent="0.2">
      <c r="A198" s="172"/>
      <c r="B198" s="1" t="s">
        <v>519</v>
      </c>
      <c r="C198" s="26" t="str">
        <f>Fish!$M$7</f>
        <v>FractionDietFishOmnivore</v>
      </c>
      <c r="I198" s="174"/>
      <c r="J198" s="177" t="str">
        <f>ConcatenateWithSpaces($B$198:$H$198)</f>
        <v>Property: FractionDietFishOmnivore</v>
      </c>
      <c r="K198" s="176"/>
    </row>
    <row r="199" spans="1:11" x14ac:dyDescent="0.2">
      <c r="A199" s="172"/>
      <c r="B199" s="1" t="s">
        <v>520</v>
      </c>
      <c r="I199" s="174"/>
      <c r="J199" s="177" t="str">
        <f>ConcatenateWithSpaces($B$199:$H$199)</f>
        <v>Form: Constant</v>
      </c>
      <c r="K199" s="176"/>
    </row>
    <row r="200" spans="1:11" x14ac:dyDescent="0.2">
      <c r="A200" s="172"/>
      <c r="B200" s="1" t="s">
        <v>2</v>
      </c>
      <c r="C200" s="26">
        <f>1 * Fish!$M$11</f>
        <v>0</v>
      </c>
      <c r="I200" s="174"/>
      <c r="J200" s="177" t="str">
        <f>ConcatenateWithSpaces($B$200:$H$200)</f>
        <v>Value: 0</v>
      </c>
      <c r="K200" s="176"/>
    </row>
    <row r="201" spans="1:11" x14ac:dyDescent="0.2">
      <c r="A201" s="172"/>
      <c r="B201" s="1" t="s">
        <v>519</v>
      </c>
      <c r="C201" s="26" t="str">
        <f>Fish!$N$7</f>
        <v>FractionDietFishBenthicCarnivore</v>
      </c>
      <c r="I201" s="174"/>
      <c r="J201" s="177" t="str">
        <f>ConcatenateWithSpaces($B$201:$H$201)</f>
        <v>Property: FractionDietFishBenthicCarnivore</v>
      </c>
      <c r="K201" s="176"/>
    </row>
    <row r="202" spans="1:11" x14ac:dyDescent="0.2">
      <c r="A202" s="172"/>
      <c r="B202" s="1" t="s">
        <v>520</v>
      </c>
      <c r="I202" s="174"/>
      <c r="J202" s="177" t="str">
        <f>ConcatenateWithSpaces($B$202:$H$202)</f>
        <v>Form: Constant</v>
      </c>
      <c r="K202" s="176"/>
    </row>
    <row r="203" spans="1:11" x14ac:dyDescent="0.2">
      <c r="A203" s="172"/>
      <c r="B203" s="1" t="s">
        <v>2</v>
      </c>
      <c r="C203" s="26">
        <f>1 * Fish!$N$11</f>
        <v>0</v>
      </c>
      <c r="I203" s="174"/>
      <c r="J203" s="177" t="str">
        <f>ConcatenateWithSpaces($B$203:$H$203)</f>
        <v>Value: 0</v>
      </c>
      <c r="K203" s="176"/>
    </row>
    <row r="204" spans="1:11" x14ac:dyDescent="0.2">
      <c r="A204" s="172"/>
      <c r="B204" s="1" t="s">
        <v>519</v>
      </c>
      <c r="C204" s="26" t="str">
        <f>Fish!$O$7</f>
        <v>FractionDietFishCarnivore</v>
      </c>
      <c r="I204" s="174"/>
      <c r="J204" s="177" t="str">
        <f>ConcatenateWithSpaces($B$204:$H$204)</f>
        <v>Property: FractionDietFishCarnivore</v>
      </c>
      <c r="K204" s="176"/>
    </row>
    <row r="205" spans="1:11" x14ac:dyDescent="0.2">
      <c r="A205" s="172"/>
      <c r="B205" s="1" t="s">
        <v>520</v>
      </c>
      <c r="I205" s="174"/>
      <c r="J205" s="177" t="str">
        <f>ConcatenateWithSpaces($B$205:$H$205)</f>
        <v>Form: Constant</v>
      </c>
      <c r="K205" s="176"/>
    </row>
    <row r="206" spans="1:11" x14ac:dyDescent="0.2">
      <c r="A206" s="172"/>
      <c r="B206" s="1" t="s">
        <v>2</v>
      </c>
      <c r="C206" s="26">
        <f>1 * Fish!$O$11</f>
        <v>0</v>
      </c>
      <c r="I206" s="174"/>
      <c r="J206" s="177" t="str">
        <f>ConcatenateWithSpaces($B$206:$H$206)</f>
        <v>Value: 0</v>
      </c>
      <c r="K206" s="176"/>
    </row>
    <row r="207" spans="1:11" x14ac:dyDescent="0.2">
      <c r="A207" s="172"/>
      <c r="I207" s="174"/>
      <c r="J207" s="177" t="str">
        <f>ConcatenateWithSpaces($B$207:$H$207)</f>
        <v/>
      </c>
      <c r="K207" s="176"/>
    </row>
    <row r="208" spans="1:11" x14ac:dyDescent="0.2">
      <c r="A208" s="172"/>
      <c r="B208" s="1" t="s">
        <v>378</v>
      </c>
      <c r="C208" s="26" t="str">
        <f>Fish!$D$12</f>
        <v>Benthic Invertebrate</v>
      </c>
      <c r="D208" s="1" t="s">
        <v>531</v>
      </c>
      <c r="E208" s="26" t="str">
        <f>Fish!$E$12 &amp; "_" &amp; Fish!$C$12</f>
        <v>Sed_LakeCadillac</v>
      </c>
      <c r="I208" s="174"/>
      <c r="J208" s="177" t="str">
        <f>ConcatenateWithSpaces($B$208:$H$208)</f>
        <v>Compartment: Benthic Invertebrate in Sed_LakeCadillac</v>
      </c>
      <c r="K208" s="176"/>
    </row>
    <row r="209" spans="1:11" x14ac:dyDescent="0.2">
      <c r="A209" s="172"/>
      <c r="B209" s="1" t="s">
        <v>532</v>
      </c>
      <c r="I209" s="174"/>
      <c r="J209" s="177" t="str">
        <f>ConcatenateWithSpaces($B$209:$H$209)</f>
        <v>Property: BiomassPerArea_kg_m2</v>
      </c>
      <c r="K209" s="176"/>
    </row>
    <row r="210" spans="1:11" x14ac:dyDescent="0.2">
      <c r="A210" s="172"/>
      <c r="B210" s="1" t="s">
        <v>521</v>
      </c>
      <c r="C210" s="26" t="str">
        <f>IF(ISERROR(FIND(",", $C$211)), "Constant", "InputFromFile")</f>
        <v>Constant</v>
      </c>
      <c r="I210" s="174"/>
      <c r="J210" s="177" t="str">
        <f>ConcatenateWithSpaces($B$210:$H$210)</f>
        <v>Form: Constant</v>
      </c>
      <c r="K210" s="176"/>
    </row>
    <row r="211" spans="1:11" x14ac:dyDescent="0.2">
      <c r="A211" s="172"/>
      <c r="B211" s="1" t="s">
        <v>2</v>
      </c>
      <c r="C211" s="26">
        <f>Fish!$P$12</f>
        <v>1.0314775841651828E-2</v>
      </c>
      <c r="I211" s="174"/>
      <c r="J211" s="177" t="str">
        <f>ConcatenateWithSpaces($B$211:$H$211)</f>
        <v>Value: 1.03147758416518E-02</v>
      </c>
      <c r="K211" s="176"/>
    </row>
    <row r="212" spans="1:11" x14ac:dyDescent="0.2">
      <c r="A212" s="172"/>
      <c r="B212" s="1" t="s">
        <v>533</v>
      </c>
      <c r="I212" s="174"/>
      <c r="J212" s="177" t="str">
        <f>ConcatenateWithSpaces($B$212:$H$212)</f>
        <v>Property: BW</v>
      </c>
      <c r="K212" s="176"/>
    </row>
    <row r="213" spans="1:11" x14ac:dyDescent="0.2">
      <c r="A213" s="172"/>
      <c r="B213" s="1" t="s">
        <v>521</v>
      </c>
      <c r="C213" s="26" t="str">
        <f>IF(ISERROR(FIND(",", $C$214)), "Constant", "InputFromFile")</f>
        <v>Constant</v>
      </c>
      <c r="I213" s="174"/>
      <c r="J213" s="177" t="str">
        <f>ConcatenateWithSpaces($B$213:$H$213)</f>
        <v>Form: Constant</v>
      </c>
      <c r="K213" s="176"/>
    </row>
    <row r="214" spans="1:11" x14ac:dyDescent="0.2">
      <c r="A214" s="172"/>
      <c r="B214" s="1" t="s">
        <v>2</v>
      </c>
      <c r="C214" s="248">
        <f>Fish!$R$12</f>
        <v>2.5500000000000002E-4</v>
      </c>
      <c r="I214" s="174"/>
      <c r="J214" s="177" t="str">
        <f>ConcatenateWithSpaces($B$214:$H$214)</f>
        <v>Value: 0.000255</v>
      </c>
      <c r="K214" s="176"/>
    </row>
    <row r="215" spans="1:11" x14ac:dyDescent="0.2">
      <c r="A215" s="172"/>
      <c r="B215" s="1" t="s">
        <v>519</v>
      </c>
      <c r="C215" s="26" t="str">
        <f>Fish!$G$7</f>
        <v>FractionDietAlgae</v>
      </c>
      <c r="I215" s="174"/>
      <c r="J215" s="177" t="str">
        <f>ConcatenateWithSpaces($B$215:$H$215)</f>
        <v>Property: FractionDietAlgae</v>
      </c>
      <c r="K215" s="176"/>
    </row>
    <row r="216" spans="1:11" x14ac:dyDescent="0.2">
      <c r="A216" s="172"/>
      <c r="B216" s="1" t="s">
        <v>520</v>
      </c>
      <c r="I216" s="174"/>
      <c r="J216" s="177" t="str">
        <f>ConcatenateWithSpaces($B$216:$H$216)</f>
        <v>Form: Constant</v>
      </c>
      <c r="K216" s="176"/>
    </row>
    <row r="217" spans="1:11" x14ac:dyDescent="0.2">
      <c r="A217" s="172"/>
      <c r="B217" s="1" t="s">
        <v>2</v>
      </c>
      <c r="C217" s="26">
        <f>1 * Fish!$G$12</f>
        <v>0</v>
      </c>
      <c r="I217" s="174"/>
      <c r="J217" s="177" t="str">
        <f>ConcatenateWithSpaces($B$217:$H$217)</f>
        <v>Value: 0</v>
      </c>
      <c r="K217" s="176"/>
    </row>
    <row r="218" spans="1:11" x14ac:dyDescent="0.2">
      <c r="A218" s="172"/>
      <c r="B218" s="1" t="s">
        <v>519</v>
      </c>
      <c r="C218" s="26" t="str">
        <f>Fish!$H$7</f>
        <v>FractionDietMacrophyte</v>
      </c>
      <c r="I218" s="174"/>
      <c r="J218" s="177" t="str">
        <f>ConcatenateWithSpaces($B$218:$H$218)</f>
        <v>Property: FractionDietMacrophyte</v>
      </c>
      <c r="K218" s="176"/>
    </row>
    <row r="219" spans="1:11" x14ac:dyDescent="0.2">
      <c r="A219" s="172"/>
      <c r="B219" s="1" t="s">
        <v>520</v>
      </c>
      <c r="I219" s="174"/>
      <c r="J219" s="177" t="str">
        <f>ConcatenateWithSpaces($B$219:$H$219)</f>
        <v>Form: Constant</v>
      </c>
      <c r="K219" s="176"/>
    </row>
    <row r="220" spans="1:11" x14ac:dyDescent="0.2">
      <c r="A220" s="172"/>
      <c r="B220" s="1" t="s">
        <v>2</v>
      </c>
      <c r="C220" s="26">
        <f>1 * Fish!$H$12</f>
        <v>0</v>
      </c>
      <c r="I220" s="174"/>
      <c r="J220" s="177" t="str">
        <f>ConcatenateWithSpaces($B$220:$H$220)</f>
        <v>Value: 0</v>
      </c>
      <c r="K220" s="176"/>
    </row>
    <row r="221" spans="1:11" x14ac:dyDescent="0.2">
      <c r="A221" s="172"/>
      <c r="B221" s="1" t="s">
        <v>519</v>
      </c>
      <c r="C221" s="26" t="str">
        <f>Fish!$I$7</f>
        <v>FractionDietZooplankton</v>
      </c>
      <c r="I221" s="174"/>
      <c r="J221" s="177" t="str">
        <f>ConcatenateWithSpaces($B$221:$H$221)</f>
        <v>Property: FractionDietZooplankton</v>
      </c>
      <c r="K221" s="176"/>
    </row>
    <row r="222" spans="1:11" x14ac:dyDescent="0.2">
      <c r="A222" s="172"/>
      <c r="B222" s="1" t="s">
        <v>520</v>
      </c>
      <c r="I222" s="174"/>
      <c r="J222" s="177" t="str">
        <f>ConcatenateWithSpaces($B$222:$H$222)</f>
        <v>Form: Constant</v>
      </c>
      <c r="K222" s="176"/>
    </row>
    <row r="223" spans="1:11" x14ac:dyDescent="0.2">
      <c r="A223" s="172"/>
      <c r="B223" s="1" t="s">
        <v>2</v>
      </c>
      <c r="C223" s="26">
        <f>1 * Fish!$I$12</f>
        <v>0</v>
      </c>
      <c r="I223" s="174"/>
      <c r="J223" s="177" t="str">
        <f>ConcatenateWithSpaces($B$223:$H$223)</f>
        <v>Value: 0</v>
      </c>
      <c r="K223" s="176"/>
    </row>
    <row r="224" spans="1:11" x14ac:dyDescent="0.2">
      <c r="A224" s="172"/>
      <c r="B224" s="1" t="s">
        <v>519</v>
      </c>
      <c r="C224" s="26" t="str">
        <f>Fish!$J$7</f>
        <v>FractionDietBenthicInvertebrate</v>
      </c>
      <c r="I224" s="174"/>
      <c r="J224" s="177" t="str">
        <f>ConcatenateWithSpaces($B$224:$H$224)</f>
        <v>Property: FractionDietBenthicInvertebrate</v>
      </c>
      <c r="K224" s="176"/>
    </row>
    <row r="225" spans="1:11" x14ac:dyDescent="0.2">
      <c r="A225" s="172"/>
      <c r="B225" s="1" t="s">
        <v>520</v>
      </c>
      <c r="I225" s="174"/>
      <c r="J225" s="177" t="str">
        <f>ConcatenateWithSpaces($B$225:$H$225)</f>
        <v>Form: Constant</v>
      </c>
      <c r="K225" s="176"/>
    </row>
    <row r="226" spans="1:11" x14ac:dyDescent="0.2">
      <c r="A226" s="172"/>
      <c r="B226" s="1" t="s">
        <v>2</v>
      </c>
      <c r="C226" s="26">
        <f>1 * Fish!$J$12</f>
        <v>0</v>
      </c>
      <c r="I226" s="174"/>
      <c r="J226" s="177" t="str">
        <f>ConcatenateWithSpaces($B$226:$H$226)</f>
        <v>Value: 0</v>
      </c>
      <c r="K226" s="176"/>
    </row>
    <row r="227" spans="1:11" x14ac:dyDescent="0.2">
      <c r="A227" s="172"/>
      <c r="B227" s="1" t="s">
        <v>519</v>
      </c>
      <c r="C227" s="26" t="str">
        <f>Fish!$K$7</f>
        <v>FractionDietFishHerbivore</v>
      </c>
      <c r="I227" s="174"/>
      <c r="J227" s="177" t="str">
        <f>ConcatenateWithSpaces($B$227:$H$227)</f>
        <v>Property: FractionDietFishHerbivore</v>
      </c>
      <c r="K227" s="176"/>
    </row>
    <row r="228" spans="1:11" x14ac:dyDescent="0.2">
      <c r="A228" s="172"/>
      <c r="B228" s="1" t="s">
        <v>520</v>
      </c>
      <c r="I228" s="174"/>
      <c r="J228" s="177" t="str">
        <f>ConcatenateWithSpaces($B$228:$H$228)</f>
        <v>Form: Constant</v>
      </c>
      <c r="K228" s="176"/>
    </row>
    <row r="229" spans="1:11" x14ac:dyDescent="0.2">
      <c r="A229" s="172"/>
      <c r="B229" s="1" t="s">
        <v>2</v>
      </c>
      <c r="C229" s="26">
        <f>1 * Fish!$K$12</f>
        <v>0</v>
      </c>
      <c r="I229" s="174"/>
      <c r="J229" s="177" t="str">
        <f>ConcatenateWithSpaces($B$229:$H$229)</f>
        <v>Value: 0</v>
      </c>
      <c r="K229" s="176"/>
    </row>
    <row r="230" spans="1:11" x14ac:dyDescent="0.2">
      <c r="A230" s="172"/>
      <c r="B230" s="1" t="s">
        <v>519</v>
      </c>
      <c r="C230" s="26" t="str">
        <f>Fish!$L$7</f>
        <v>FractionDietFishBenthicOmnivore</v>
      </c>
      <c r="I230" s="174"/>
      <c r="J230" s="177" t="str">
        <f>ConcatenateWithSpaces($B$230:$H$230)</f>
        <v>Property: FractionDietFishBenthicOmnivore</v>
      </c>
      <c r="K230" s="176"/>
    </row>
    <row r="231" spans="1:11" x14ac:dyDescent="0.2">
      <c r="A231" s="172"/>
      <c r="B231" s="1" t="s">
        <v>520</v>
      </c>
      <c r="I231" s="174"/>
      <c r="J231" s="177" t="str">
        <f>ConcatenateWithSpaces($B$231:$H$231)</f>
        <v>Form: Constant</v>
      </c>
      <c r="K231" s="176"/>
    </row>
    <row r="232" spans="1:11" x14ac:dyDescent="0.2">
      <c r="A232" s="172"/>
      <c r="B232" s="1" t="s">
        <v>2</v>
      </c>
      <c r="C232" s="26">
        <f>1 * Fish!$L$12</f>
        <v>0</v>
      </c>
      <c r="I232" s="174"/>
      <c r="J232" s="177" t="str">
        <f>ConcatenateWithSpaces($B$232:$H$232)</f>
        <v>Value: 0</v>
      </c>
      <c r="K232" s="176"/>
    </row>
    <row r="233" spans="1:11" x14ac:dyDescent="0.2">
      <c r="A233" s="172"/>
      <c r="B233" s="1" t="s">
        <v>519</v>
      </c>
      <c r="C233" s="26" t="str">
        <f>Fish!$M$7</f>
        <v>FractionDietFishOmnivore</v>
      </c>
      <c r="I233" s="174"/>
      <c r="J233" s="177" t="str">
        <f>ConcatenateWithSpaces($B$233:$H$233)</f>
        <v>Property: FractionDietFishOmnivore</v>
      </c>
      <c r="K233" s="176"/>
    </row>
    <row r="234" spans="1:11" x14ac:dyDescent="0.2">
      <c r="A234" s="172"/>
      <c r="B234" s="1" t="s">
        <v>520</v>
      </c>
      <c r="I234" s="174"/>
      <c r="J234" s="177" t="str">
        <f>ConcatenateWithSpaces($B$234:$H$234)</f>
        <v>Form: Constant</v>
      </c>
      <c r="K234" s="176"/>
    </row>
    <row r="235" spans="1:11" x14ac:dyDescent="0.2">
      <c r="A235" s="172"/>
      <c r="B235" s="1" t="s">
        <v>2</v>
      </c>
      <c r="C235" s="26">
        <f>1 * Fish!$M$12</f>
        <v>0</v>
      </c>
      <c r="I235" s="174"/>
      <c r="J235" s="177" t="str">
        <f>ConcatenateWithSpaces($B$235:$H$235)</f>
        <v>Value: 0</v>
      </c>
      <c r="K235" s="176"/>
    </row>
    <row r="236" spans="1:11" x14ac:dyDescent="0.2">
      <c r="A236" s="172"/>
      <c r="B236" s="1" t="s">
        <v>519</v>
      </c>
      <c r="C236" s="26" t="str">
        <f>Fish!$N$7</f>
        <v>FractionDietFishBenthicCarnivore</v>
      </c>
      <c r="I236" s="174"/>
      <c r="J236" s="177" t="str">
        <f>ConcatenateWithSpaces($B$236:$H$236)</f>
        <v>Property: FractionDietFishBenthicCarnivore</v>
      </c>
      <c r="K236" s="176"/>
    </row>
    <row r="237" spans="1:11" x14ac:dyDescent="0.2">
      <c r="A237" s="172"/>
      <c r="B237" s="1" t="s">
        <v>520</v>
      </c>
      <c r="I237" s="174"/>
      <c r="J237" s="177" t="str">
        <f>ConcatenateWithSpaces($B$237:$H$237)</f>
        <v>Form: Constant</v>
      </c>
      <c r="K237" s="176"/>
    </row>
    <row r="238" spans="1:11" x14ac:dyDescent="0.2">
      <c r="A238" s="172"/>
      <c r="B238" s="1" t="s">
        <v>2</v>
      </c>
      <c r="C238" s="26">
        <f>1 * Fish!$N$12</f>
        <v>0</v>
      </c>
      <c r="I238" s="174"/>
      <c r="J238" s="177" t="str">
        <f>ConcatenateWithSpaces($B$238:$H$238)</f>
        <v>Value: 0</v>
      </c>
      <c r="K238" s="176"/>
    </row>
    <row r="239" spans="1:11" x14ac:dyDescent="0.2">
      <c r="A239" s="172"/>
      <c r="B239" s="1" t="s">
        <v>519</v>
      </c>
      <c r="C239" s="26" t="str">
        <f>Fish!$O$7</f>
        <v>FractionDietFishCarnivore</v>
      </c>
      <c r="I239" s="174"/>
      <c r="J239" s="177" t="str">
        <f>ConcatenateWithSpaces($B$239:$H$239)</f>
        <v>Property: FractionDietFishCarnivore</v>
      </c>
      <c r="K239" s="176"/>
    </row>
    <row r="240" spans="1:11" x14ac:dyDescent="0.2">
      <c r="A240" s="172"/>
      <c r="B240" s="1" t="s">
        <v>520</v>
      </c>
      <c r="I240" s="174"/>
      <c r="J240" s="177" t="str">
        <f>ConcatenateWithSpaces($B$240:$H$240)</f>
        <v>Form: Constant</v>
      </c>
      <c r="K240" s="176"/>
    </row>
    <row r="241" spans="1:11" x14ac:dyDescent="0.2">
      <c r="A241" s="172"/>
      <c r="B241" s="1" t="s">
        <v>2</v>
      </c>
      <c r="C241" s="26">
        <f>1 * Fish!$O$12</f>
        <v>0</v>
      </c>
      <c r="I241" s="174"/>
      <c r="J241" s="177" t="str">
        <f>ConcatenateWithSpaces($B$241:$H$241)</f>
        <v>Value: 0</v>
      </c>
      <c r="K241" s="176"/>
    </row>
    <row r="242" spans="1:11" x14ac:dyDescent="0.2">
      <c r="A242" s="172"/>
      <c r="I242" s="174"/>
      <c r="J242" s="177" t="str">
        <f>ConcatenateWithSpaces($B$242:$H$242)</f>
        <v/>
      </c>
      <c r="K242" s="176"/>
    </row>
    <row r="243" spans="1:11" x14ac:dyDescent="0.2">
      <c r="A243" s="172"/>
      <c r="B243" s="1" t="s">
        <v>378</v>
      </c>
      <c r="C243" s="26" t="str">
        <f>Fish!$D$13</f>
        <v>Water Column Herbivore</v>
      </c>
      <c r="D243" s="1" t="s">
        <v>531</v>
      </c>
      <c r="E243" s="26" t="str">
        <f>Fish!$E$13 &amp; "_" &amp; Fish!$C$13</f>
        <v>SW_LakeCadillac</v>
      </c>
      <c r="I243" s="174"/>
      <c r="J243" s="177" t="str">
        <f>ConcatenateWithSpaces($B$243:$H$243)</f>
        <v>Compartment: Water Column Herbivore in SW_LakeCadillac</v>
      </c>
      <c r="K243" s="176"/>
    </row>
    <row r="244" spans="1:11" x14ac:dyDescent="0.2">
      <c r="A244" s="172"/>
      <c r="B244" s="1" t="s">
        <v>532</v>
      </c>
      <c r="I244" s="174"/>
      <c r="J244" s="177" t="str">
        <f>ConcatenateWithSpaces($B$244:$H$244)</f>
        <v>Property: BiomassPerArea_kg_m2</v>
      </c>
      <c r="K244" s="176"/>
    </row>
    <row r="245" spans="1:11" x14ac:dyDescent="0.2">
      <c r="A245" s="172"/>
      <c r="B245" s="1" t="s">
        <v>521</v>
      </c>
      <c r="C245" s="26" t="str">
        <f>IF(ISERROR(FIND(",", $C$246)), "Constant", "InputFromFile")</f>
        <v>Constant</v>
      </c>
      <c r="I245" s="174"/>
      <c r="J245" s="177" t="str">
        <f>ConcatenateWithSpaces($B$245:$H$245)</f>
        <v>Form: Constant</v>
      </c>
      <c r="K245" s="176"/>
    </row>
    <row r="246" spans="1:11" x14ac:dyDescent="0.2">
      <c r="A246" s="172"/>
      <c r="B246" s="1" t="s">
        <v>2</v>
      </c>
      <c r="C246" s="26">
        <f>Fish!$P$13</f>
        <v>3.7550000000000001E-3</v>
      </c>
      <c r="I246" s="174"/>
      <c r="J246" s="177" t="str">
        <f>ConcatenateWithSpaces($B$246:$H$246)</f>
        <v>Value: 0.003755</v>
      </c>
      <c r="K246" s="176"/>
    </row>
    <row r="247" spans="1:11" x14ac:dyDescent="0.2">
      <c r="A247" s="172"/>
      <c r="B247" s="1" t="s">
        <v>533</v>
      </c>
      <c r="I247" s="174"/>
      <c r="J247" s="177" t="str">
        <f>ConcatenateWithSpaces($B$247:$H$247)</f>
        <v>Property: BW</v>
      </c>
      <c r="K247" s="176"/>
    </row>
    <row r="248" spans="1:11" x14ac:dyDescent="0.2">
      <c r="A248" s="172"/>
      <c r="B248" s="1" t="s">
        <v>521</v>
      </c>
      <c r="C248" s="26" t="str">
        <f>IF(ISERROR(FIND(",", $C$249)), "Constant", "InputFromFile")</f>
        <v>Constant</v>
      </c>
      <c r="I248" s="174"/>
      <c r="J248" s="177" t="str">
        <f>ConcatenateWithSpaces($B$248:$H$248)</f>
        <v>Form: Constant</v>
      </c>
      <c r="K248" s="176"/>
    </row>
    <row r="249" spans="1:11" x14ac:dyDescent="0.2">
      <c r="A249" s="172"/>
      <c r="B249" s="1" t="s">
        <v>2</v>
      </c>
      <c r="C249" s="26">
        <f>Fish!$R$13</f>
        <v>7.0000000000000007E-2</v>
      </c>
      <c r="I249" s="174"/>
      <c r="J249" s="177" t="str">
        <f>ConcatenateWithSpaces($B$249:$H$249)</f>
        <v>Value: 0.07</v>
      </c>
      <c r="K249" s="176"/>
    </row>
    <row r="250" spans="1:11" x14ac:dyDescent="0.2">
      <c r="A250" s="172"/>
      <c r="B250" s="1" t="s">
        <v>519</v>
      </c>
      <c r="C250" s="26" t="str">
        <f>Fish!$G$7</f>
        <v>FractionDietAlgae</v>
      </c>
      <c r="I250" s="174"/>
      <c r="J250" s="177" t="str">
        <f>ConcatenateWithSpaces($B$250:$H$250)</f>
        <v>Property: FractionDietAlgae</v>
      </c>
      <c r="K250" s="176"/>
    </row>
    <row r="251" spans="1:11" x14ac:dyDescent="0.2">
      <c r="A251" s="172"/>
      <c r="B251" s="1" t="s">
        <v>520</v>
      </c>
      <c r="I251" s="174"/>
      <c r="J251" s="177" t="str">
        <f>ConcatenateWithSpaces($B$251:$H$251)</f>
        <v>Form: Constant</v>
      </c>
      <c r="K251" s="176"/>
    </row>
    <row r="252" spans="1:11" x14ac:dyDescent="0.2">
      <c r="A252" s="172"/>
      <c r="B252" s="1" t="s">
        <v>2</v>
      </c>
      <c r="C252" s="26">
        <f>1 * Fish!$G$13</f>
        <v>0</v>
      </c>
      <c r="I252" s="174"/>
      <c r="J252" s="177" t="str">
        <f>ConcatenateWithSpaces($B$252:$H$252)</f>
        <v>Value: 0</v>
      </c>
      <c r="K252" s="176"/>
    </row>
    <row r="253" spans="1:11" x14ac:dyDescent="0.2">
      <c r="A253" s="172"/>
      <c r="B253" s="1" t="s">
        <v>519</v>
      </c>
      <c r="C253" s="26" t="str">
        <f>Fish!$H$7</f>
        <v>FractionDietMacrophyte</v>
      </c>
      <c r="I253" s="174"/>
      <c r="J253" s="177" t="str">
        <f>ConcatenateWithSpaces($B$253:$H$253)</f>
        <v>Property: FractionDietMacrophyte</v>
      </c>
      <c r="K253" s="176"/>
    </row>
    <row r="254" spans="1:11" x14ac:dyDescent="0.2">
      <c r="A254" s="172"/>
      <c r="B254" s="1" t="s">
        <v>520</v>
      </c>
      <c r="I254" s="174"/>
      <c r="J254" s="177" t="str">
        <f>ConcatenateWithSpaces($B$254:$H$254)</f>
        <v>Form: Constant</v>
      </c>
      <c r="K254" s="176"/>
    </row>
    <row r="255" spans="1:11" x14ac:dyDescent="0.2">
      <c r="A255" s="172"/>
      <c r="B255" s="1" t="s">
        <v>2</v>
      </c>
      <c r="C255" s="26">
        <f>1 * Fish!$H$13</f>
        <v>0</v>
      </c>
      <c r="I255" s="174"/>
      <c r="J255" s="177" t="str">
        <f>ConcatenateWithSpaces($B$255:$H$255)</f>
        <v>Value: 0</v>
      </c>
      <c r="K255" s="176"/>
    </row>
    <row r="256" spans="1:11" x14ac:dyDescent="0.2">
      <c r="A256" s="172"/>
      <c r="B256" s="1" t="s">
        <v>519</v>
      </c>
      <c r="C256" s="26" t="str">
        <f>Fish!$I$7</f>
        <v>FractionDietZooplankton</v>
      </c>
      <c r="I256" s="174"/>
      <c r="J256" s="177" t="str">
        <f>ConcatenateWithSpaces($B$256:$H$256)</f>
        <v>Property: FractionDietZooplankton</v>
      </c>
      <c r="K256" s="176"/>
    </row>
    <row r="257" spans="1:11" x14ac:dyDescent="0.2">
      <c r="A257" s="172"/>
      <c r="B257" s="1" t="s">
        <v>520</v>
      </c>
      <c r="I257" s="174"/>
      <c r="J257" s="177" t="str">
        <f>ConcatenateWithSpaces($B$257:$H$257)</f>
        <v>Form: Constant</v>
      </c>
      <c r="K257" s="176"/>
    </row>
    <row r="258" spans="1:11" x14ac:dyDescent="0.2">
      <c r="A258" s="172"/>
      <c r="B258" s="1" t="s">
        <v>2</v>
      </c>
      <c r="C258" s="26">
        <f>1 * Fish!$I$13</f>
        <v>1</v>
      </c>
      <c r="I258" s="174"/>
      <c r="J258" s="177" t="str">
        <f>ConcatenateWithSpaces($B$258:$H$258)</f>
        <v>Value: 1</v>
      </c>
      <c r="K258" s="176"/>
    </row>
    <row r="259" spans="1:11" x14ac:dyDescent="0.2">
      <c r="A259" s="172"/>
      <c r="B259" s="1" t="s">
        <v>519</v>
      </c>
      <c r="C259" s="26" t="str">
        <f>Fish!$J$7</f>
        <v>FractionDietBenthicInvertebrate</v>
      </c>
      <c r="I259" s="174"/>
      <c r="J259" s="177" t="str">
        <f>ConcatenateWithSpaces($B$259:$H$259)</f>
        <v>Property: FractionDietBenthicInvertebrate</v>
      </c>
      <c r="K259" s="176"/>
    </row>
    <row r="260" spans="1:11" x14ac:dyDescent="0.2">
      <c r="A260" s="172"/>
      <c r="B260" s="1" t="s">
        <v>520</v>
      </c>
      <c r="I260" s="174"/>
      <c r="J260" s="177" t="str">
        <f>ConcatenateWithSpaces($B$260:$H$260)</f>
        <v>Form: Constant</v>
      </c>
      <c r="K260" s="176"/>
    </row>
    <row r="261" spans="1:11" x14ac:dyDescent="0.2">
      <c r="A261" s="172"/>
      <c r="B261" s="1" t="s">
        <v>2</v>
      </c>
      <c r="C261" s="26">
        <f>1 * Fish!$J$13</f>
        <v>0</v>
      </c>
      <c r="I261" s="174"/>
      <c r="J261" s="177" t="str">
        <f>ConcatenateWithSpaces($B$261:$H$261)</f>
        <v>Value: 0</v>
      </c>
      <c r="K261" s="176"/>
    </row>
    <row r="262" spans="1:11" x14ac:dyDescent="0.2">
      <c r="A262" s="172"/>
      <c r="B262" s="1" t="s">
        <v>519</v>
      </c>
      <c r="C262" s="26" t="str">
        <f>Fish!$K$7</f>
        <v>FractionDietFishHerbivore</v>
      </c>
      <c r="I262" s="174"/>
      <c r="J262" s="177" t="str">
        <f>ConcatenateWithSpaces($B$262:$H$262)</f>
        <v>Property: FractionDietFishHerbivore</v>
      </c>
      <c r="K262" s="176"/>
    </row>
    <row r="263" spans="1:11" x14ac:dyDescent="0.2">
      <c r="A263" s="172"/>
      <c r="B263" s="1" t="s">
        <v>520</v>
      </c>
      <c r="I263" s="174"/>
      <c r="J263" s="177" t="str">
        <f>ConcatenateWithSpaces($B$263:$H$263)</f>
        <v>Form: Constant</v>
      </c>
      <c r="K263" s="176"/>
    </row>
    <row r="264" spans="1:11" x14ac:dyDescent="0.2">
      <c r="A264" s="172"/>
      <c r="B264" s="1" t="s">
        <v>2</v>
      </c>
      <c r="C264" s="26">
        <f>1 * Fish!$K$13</f>
        <v>0</v>
      </c>
      <c r="I264" s="174"/>
      <c r="J264" s="177" t="str">
        <f>ConcatenateWithSpaces($B$264:$H$264)</f>
        <v>Value: 0</v>
      </c>
      <c r="K264" s="176"/>
    </row>
    <row r="265" spans="1:11" x14ac:dyDescent="0.2">
      <c r="A265" s="172"/>
      <c r="B265" s="1" t="s">
        <v>519</v>
      </c>
      <c r="C265" s="26" t="str">
        <f>Fish!$L$7</f>
        <v>FractionDietFishBenthicOmnivore</v>
      </c>
      <c r="I265" s="174"/>
      <c r="J265" s="177" t="str">
        <f>ConcatenateWithSpaces($B$265:$H$265)</f>
        <v>Property: FractionDietFishBenthicOmnivore</v>
      </c>
      <c r="K265" s="176"/>
    </row>
    <row r="266" spans="1:11" x14ac:dyDescent="0.2">
      <c r="A266" s="172"/>
      <c r="B266" s="1" t="s">
        <v>520</v>
      </c>
      <c r="I266" s="174"/>
      <c r="J266" s="177" t="str">
        <f>ConcatenateWithSpaces($B$266:$H$266)</f>
        <v>Form: Constant</v>
      </c>
      <c r="K266" s="176"/>
    </row>
    <row r="267" spans="1:11" x14ac:dyDescent="0.2">
      <c r="A267" s="172"/>
      <c r="B267" s="1" t="s">
        <v>2</v>
      </c>
      <c r="C267" s="26">
        <f>1 * Fish!$L$13</f>
        <v>0</v>
      </c>
      <c r="I267" s="174"/>
      <c r="J267" s="177" t="str">
        <f>ConcatenateWithSpaces($B$267:$H$267)</f>
        <v>Value: 0</v>
      </c>
      <c r="K267" s="176"/>
    </row>
    <row r="268" spans="1:11" x14ac:dyDescent="0.2">
      <c r="A268" s="172"/>
      <c r="B268" s="1" t="s">
        <v>519</v>
      </c>
      <c r="C268" s="26" t="str">
        <f>Fish!$M$7</f>
        <v>FractionDietFishOmnivore</v>
      </c>
      <c r="I268" s="174"/>
      <c r="J268" s="177" t="str">
        <f>ConcatenateWithSpaces($B$268:$H$268)</f>
        <v>Property: FractionDietFishOmnivore</v>
      </c>
      <c r="K268" s="176"/>
    </row>
    <row r="269" spans="1:11" x14ac:dyDescent="0.2">
      <c r="A269" s="172"/>
      <c r="B269" s="1" t="s">
        <v>520</v>
      </c>
      <c r="I269" s="174"/>
      <c r="J269" s="177" t="str">
        <f>ConcatenateWithSpaces($B$269:$H$269)</f>
        <v>Form: Constant</v>
      </c>
      <c r="K269" s="176"/>
    </row>
    <row r="270" spans="1:11" x14ac:dyDescent="0.2">
      <c r="A270" s="172"/>
      <c r="B270" s="1" t="s">
        <v>2</v>
      </c>
      <c r="C270" s="26">
        <f>1 * Fish!$M$13</f>
        <v>0</v>
      </c>
      <c r="I270" s="174"/>
      <c r="J270" s="177" t="str">
        <f>ConcatenateWithSpaces($B$270:$H$270)</f>
        <v>Value: 0</v>
      </c>
      <c r="K270" s="176"/>
    </row>
    <row r="271" spans="1:11" x14ac:dyDescent="0.2">
      <c r="A271" s="172"/>
      <c r="B271" s="1" t="s">
        <v>519</v>
      </c>
      <c r="C271" s="26" t="str">
        <f>Fish!$N$7</f>
        <v>FractionDietFishBenthicCarnivore</v>
      </c>
      <c r="I271" s="174"/>
      <c r="J271" s="177" t="str">
        <f>ConcatenateWithSpaces($B$271:$H$271)</f>
        <v>Property: FractionDietFishBenthicCarnivore</v>
      </c>
      <c r="K271" s="176"/>
    </row>
    <row r="272" spans="1:11" x14ac:dyDescent="0.2">
      <c r="A272" s="172"/>
      <c r="B272" s="1" t="s">
        <v>520</v>
      </c>
      <c r="I272" s="174"/>
      <c r="J272" s="177" t="str">
        <f>ConcatenateWithSpaces($B$272:$H$272)</f>
        <v>Form: Constant</v>
      </c>
      <c r="K272" s="176"/>
    </row>
    <row r="273" spans="1:11" x14ac:dyDescent="0.2">
      <c r="A273" s="172"/>
      <c r="B273" s="1" t="s">
        <v>2</v>
      </c>
      <c r="C273" s="26">
        <f>1 * Fish!$N$13</f>
        <v>0</v>
      </c>
      <c r="I273" s="174"/>
      <c r="J273" s="177" t="str">
        <f>ConcatenateWithSpaces($B$273:$H$273)</f>
        <v>Value: 0</v>
      </c>
      <c r="K273" s="176"/>
    </row>
    <row r="274" spans="1:11" x14ac:dyDescent="0.2">
      <c r="A274" s="172"/>
      <c r="B274" s="1" t="s">
        <v>519</v>
      </c>
      <c r="C274" s="26" t="str">
        <f>Fish!$O$7</f>
        <v>FractionDietFishCarnivore</v>
      </c>
      <c r="I274" s="174"/>
      <c r="J274" s="177" t="str">
        <f>ConcatenateWithSpaces($B$274:$H$274)</f>
        <v>Property: FractionDietFishCarnivore</v>
      </c>
      <c r="K274" s="176"/>
    </row>
    <row r="275" spans="1:11" x14ac:dyDescent="0.2">
      <c r="A275" s="172"/>
      <c r="B275" s="1" t="s">
        <v>520</v>
      </c>
      <c r="I275" s="174"/>
      <c r="J275" s="177" t="str">
        <f>ConcatenateWithSpaces($B$275:$H$275)</f>
        <v>Form: Constant</v>
      </c>
      <c r="K275" s="176"/>
    </row>
    <row r="276" spans="1:11" x14ac:dyDescent="0.2">
      <c r="A276" s="172"/>
      <c r="B276" s="1" t="s">
        <v>2</v>
      </c>
      <c r="C276" s="26">
        <f>1 * Fish!$O$13</f>
        <v>0</v>
      </c>
      <c r="I276" s="174"/>
      <c r="J276" s="177" t="str">
        <f>ConcatenateWithSpaces($B$276:$H$276)</f>
        <v>Value: 0</v>
      </c>
      <c r="K276" s="176"/>
    </row>
    <row r="277" spans="1:11" x14ac:dyDescent="0.2">
      <c r="A277" s="172"/>
      <c r="I277" s="174"/>
      <c r="J277" s="177" t="str">
        <f>ConcatenateWithSpaces($B$277:$H$277)</f>
        <v/>
      </c>
      <c r="K277" s="176"/>
    </row>
    <row r="278" spans="1:11" x14ac:dyDescent="0.2">
      <c r="A278" s="172"/>
      <c r="B278" s="1" t="s">
        <v>378</v>
      </c>
      <c r="C278" s="26" t="str">
        <f>Fish!$D$14</f>
        <v>Benthic Omnivore</v>
      </c>
      <c r="D278" s="1" t="s">
        <v>531</v>
      </c>
      <c r="E278" s="26" t="str">
        <f>Fish!$E$14 &amp; "_" &amp; Fish!$C$14</f>
        <v>Sed_LakeCadillac</v>
      </c>
      <c r="I278" s="174"/>
      <c r="J278" s="177" t="str">
        <f>ConcatenateWithSpaces($B$278:$H$278)</f>
        <v>Compartment: Benthic Omnivore in Sed_LakeCadillac</v>
      </c>
      <c r="K278" s="176"/>
    </row>
    <row r="279" spans="1:11" x14ac:dyDescent="0.2">
      <c r="A279" s="172"/>
      <c r="B279" s="1" t="s">
        <v>532</v>
      </c>
      <c r="I279" s="174"/>
      <c r="J279" s="177" t="str">
        <f>ConcatenateWithSpaces($B$279:$H$279)</f>
        <v>Property: BiomassPerArea_kg_m2</v>
      </c>
      <c r="K279" s="176"/>
    </row>
    <row r="280" spans="1:11" x14ac:dyDescent="0.2">
      <c r="A280" s="172"/>
      <c r="B280" s="1" t="s">
        <v>521</v>
      </c>
      <c r="C280" s="26" t="str">
        <f>IF(ISERROR(FIND(",", $C$281)), "Constant", "InputFromFile")</f>
        <v>Constant</v>
      </c>
      <c r="I280" s="174"/>
      <c r="J280" s="177" t="str">
        <f>ConcatenateWithSpaces($B$280:$H$280)</f>
        <v>Form: Constant</v>
      </c>
      <c r="K280" s="176"/>
    </row>
    <row r="281" spans="1:11" x14ac:dyDescent="0.2">
      <c r="A281" s="172"/>
      <c r="B281" s="1" t="s">
        <v>2</v>
      </c>
      <c r="C281" s="26">
        <f>Fish!$P$14</f>
        <v>1.8775E-3</v>
      </c>
      <c r="I281" s="174"/>
      <c r="J281" s="177" t="str">
        <f>ConcatenateWithSpaces($B$281:$H$281)</f>
        <v>Value: 0.0018775</v>
      </c>
      <c r="K281" s="176"/>
    </row>
    <row r="282" spans="1:11" x14ac:dyDescent="0.2">
      <c r="A282" s="172"/>
      <c r="B282" s="1" t="s">
        <v>533</v>
      </c>
      <c r="I282" s="174"/>
      <c r="J282" s="177" t="str">
        <f>ConcatenateWithSpaces($B$282:$H$282)</f>
        <v>Property: BW</v>
      </c>
      <c r="K282" s="176"/>
    </row>
    <row r="283" spans="1:11" x14ac:dyDescent="0.2">
      <c r="A283" s="172"/>
      <c r="B283" s="1" t="s">
        <v>521</v>
      </c>
      <c r="C283" s="26" t="str">
        <f>IF(ISERROR(FIND(",", $C$284)), "Constant", "InputFromFile")</f>
        <v>Constant</v>
      </c>
      <c r="I283" s="174"/>
      <c r="J283" s="177" t="str">
        <f>ConcatenateWithSpaces($B$283:$H$283)</f>
        <v>Form: Constant</v>
      </c>
      <c r="K283" s="176"/>
    </row>
    <row r="284" spans="1:11" x14ac:dyDescent="0.2">
      <c r="A284" s="172"/>
      <c r="B284" s="1" t="s">
        <v>2</v>
      </c>
      <c r="C284" s="179">
        <f>Fish!$R$14</f>
        <v>0.75</v>
      </c>
      <c r="I284" s="174"/>
      <c r="J284" s="177" t="str">
        <f>ConcatenateWithSpaces($B$284:$H$284)</f>
        <v>Value: 0.75</v>
      </c>
      <c r="K284" s="176"/>
    </row>
    <row r="285" spans="1:11" x14ac:dyDescent="0.2">
      <c r="A285" s="172"/>
      <c r="B285" s="1" t="s">
        <v>519</v>
      </c>
      <c r="C285" s="26" t="str">
        <f>Fish!$G$7</f>
        <v>FractionDietAlgae</v>
      </c>
      <c r="I285" s="174"/>
      <c r="J285" s="177" t="str">
        <f>ConcatenateWithSpaces($B$285:$H$285)</f>
        <v>Property: FractionDietAlgae</v>
      </c>
      <c r="K285" s="176"/>
    </row>
    <row r="286" spans="1:11" x14ac:dyDescent="0.2">
      <c r="A286" s="172"/>
      <c r="B286" s="1" t="s">
        <v>520</v>
      </c>
      <c r="I286" s="174"/>
      <c r="J286" s="177" t="str">
        <f>ConcatenateWithSpaces($B$286:$H$286)</f>
        <v>Form: Constant</v>
      </c>
      <c r="K286" s="176"/>
    </row>
    <row r="287" spans="1:11" x14ac:dyDescent="0.2">
      <c r="A287" s="172"/>
      <c r="B287" s="1" t="s">
        <v>2</v>
      </c>
      <c r="C287" s="26">
        <f>1 * Fish!$G$14</f>
        <v>0</v>
      </c>
      <c r="I287" s="174"/>
      <c r="J287" s="177" t="str">
        <f>ConcatenateWithSpaces($B$287:$H$287)</f>
        <v>Value: 0</v>
      </c>
      <c r="K287" s="176"/>
    </row>
    <row r="288" spans="1:11" x14ac:dyDescent="0.2">
      <c r="A288" s="172"/>
      <c r="B288" s="1" t="s">
        <v>519</v>
      </c>
      <c r="C288" s="26" t="str">
        <f>Fish!$H$7</f>
        <v>FractionDietMacrophyte</v>
      </c>
      <c r="I288" s="174"/>
      <c r="J288" s="177" t="str">
        <f>ConcatenateWithSpaces($B$288:$H$288)</f>
        <v>Property: FractionDietMacrophyte</v>
      </c>
      <c r="K288" s="176"/>
    </row>
    <row r="289" spans="1:11" x14ac:dyDescent="0.2">
      <c r="A289" s="172"/>
      <c r="B289" s="1" t="s">
        <v>520</v>
      </c>
      <c r="I289" s="174"/>
      <c r="J289" s="177" t="str">
        <f>ConcatenateWithSpaces($B$289:$H$289)</f>
        <v>Form: Constant</v>
      </c>
      <c r="K289" s="176"/>
    </row>
    <row r="290" spans="1:11" x14ac:dyDescent="0.2">
      <c r="A290" s="172"/>
      <c r="B290" s="1" t="s">
        <v>2</v>
      </c>
      <c r="C290" s="26">
        <f>1 * Fish!$H$14</f>
        <v>0</v>
      </c>
      <c r="I290" s="174"/>
      <c r="J290" s="177" t="str">
        <f>ConcatenateWithSpaces($B$290:$H$290)</f>
        <v>Value: 0</v>
      </c>
      <c r="K290" s="176"/>
    </row>
    <row r="291" spans="1:11" x14ac:dyDescent="0.2">
      <c r="A291" s="172"/>
      <c r="B291" s="1" t="s">
        <v>519</v>
      </c>
      <c r="C291" s="26" t="str">
        <f>Fish!$I$7</f>
        <v>FractionDietZooplankton</v>
      </c>
      <c r="I291" s="174"/>
      <c r="J291" s="177" t="str">
        <f>ConcatenateWithSpaces($B$291:$H$291)</f>
        <v>Property: FractionDietZooplankton</v>
      </c>
      <c r="K291" s="176"/>
    </row>
    <row r="292" spans="1:11" x14ac:dyDescent="0.2">
      <c r="A292" s="172"/>
      <c r="B292" s="1" t="s">
        <v>520</v>
      </c>
      <c r="I292" s="174"/>
      <c r="J292" s="177" t="str">
        <f>ConcatenateWithSpaces($B$292:$H$292)</f>
        <v>Form: Constant</v>
      </c>
      <c r="K292" s="176"/>
    </row>
    <row r="293" spans="1:11" x14ac:dyDescent="0.2">
      <c r="A293" s="172"/>
      <c r="B293" s="1" t="s">
        <v>2</v>
      </c>
      <c r="C293" s="26">
        <f>1 * Fish!$I$14</f>
        <v>0</v>
      </c>
      <c r="I293" s="174"/>
      <c r="J293" s="177" t="str">
        <f>ConcatenateWithSpaces($B$293:$H$293)</f>
        <v>Value: 0</v>
      </c>
      <c r="K293" s="176"/>
    </row>
    <row r="294" spans="1:11" x14ac:dyDescent="0.2">
      <c r="A294" s="172"/>
      <c r="B294" s="1" t="s">
        <v>519</v>
      </c>
      <c r="C294" s="26" t="str">
        <f>Fish!$J$7</f>
        <v>FractionDietBenthicInvertebrate</v>
      </c>
      <c r="I294" s="174"/>
      <c r="J294" s="177" t="str">
        <f>ConcatenateWithSpaces($B$294:$H$294)</f>
        <v>Property: FractionDietBenthicInvertebrate</v>
      </c>
      <c r="K294" s="176"/>
    </row>
    <row r="295" spans="1:11" x14ac:dyDescent="0.2">
      <c r="A295" s="172"/>
      <c r="B295" s="1" t="s">
        <v>520</v>
      </c>
      <c r="I295" s="174"/>
      <c r="J295" s="177" t="str">
        <f>ConcatenateWithSpaces($B$295:$H$295)</f>
        <v>Form: Constant</v>
      </c>
      <c r="K295" s="176"/>
    </row>
    <row r="296" spans="1:11" x14ac:dyDescent="0.2">
      <c r="A296" s="172"/>
      <c r="B296" s="1" t="s">
        <v>2</v>
      </c>
      <c r="C296" s="26">
        <f>1 * Fish!$J$14</f>
        <v>1</v>
      </c>
      <c r="I296" s="174"/>
      <c r="J296" s="177" t="str">
        <f>ConcatenateWithSpaces($B$296:$H$296)</f>
        <v>Value: 1</v>
      </c>
      <c r="K296" s="176"/>
    </row>
    <row r="297" spans="1:11" x14ac:dyDescent="0.2">
      <c r="A297" s="172"/>
      <c r="B297" s="1" t="s">
        <v>519</v>
      </c>
      <c r="C297" s="26" t="str">
        <f>Fish!$K$7</f>
        <v>FractionDietFishHerbivore</v>
      </c>
      <c r="I297" s="174"/>
      <c r="J297" s="177" t="str">
        <f>ConcatenateWithSpaces($B$297:$H$297)</f>
        <v>Property: FractionDietFishHerbivore</v>
      </c>
      <c r="K297" s="176"/>
    </row>
    <row r="298" spans="1:11" x14ac:dyDescent="0.2">
      <c r="A298" s="172"/>
      <c r="B298" s="1" t="s">
        <v>520</v>
      </c>
      <c r="I298" s="174"/>
      <c r="J298" s="177" t="str">
        <f>ConcatenateWithSpaces($B$298:$H$298)</f>
        <v>Form: Constant</v>
      </c>
      <c r="K298" s="176"/>
    </row>
    <row r="299" spans="1:11" x14ac:dyDescent="0.2">
      <c r="A299" s="172"/>
      <c r="B299" s="1" t="s">
        <v>2</v>
      </c>
      <c r="C299" s="26">
        <f>1 * Fish!$K$14</f>
        <v>0</v>
      </c>
      <c r="I299" s="174"/>
      <c r="J299" s="177" t="str">
        <f>ConcatenateWithSpaces($B$299:$H$299)</f>
        <v>Value: 0</v>
      </c>
      <c r="K299" s="176"/>
    </row>
    <row r="300" spans="1:11" x14ac:dyDescent="0.2">
      <c r="A300" s="172"/>
      <c r="B300" s="1" t="s">
        <v>519</v>
      </c>
      <c r="C300" s="26" t="str">
        <f>Fish!$L$7</f>
        <v>FractionDietFishBenthicOmnivore</v>
      </c>
      <c r="I300" s="174"/>
      <c r="J300" s="177" t="str">
        <f>ConcatenateWithSpaces($B$300:$H$300)</f>
        <v>Property: FractionDietFishBenthicOmnivore</v>
      </c>
      <c r="K300" s="176"/>
    </row>
    <row r="301" spans="1:11" x14ac:dyDescent="0.2">
      <c r="A301" s="172"/>
      <c r="B301" s="1" t="s">
        <v>520</v>
      </c>
      <c r="I301" s="174"/>
      <c r="J301" s="177" t="str">
        <f>ConcatenateWithSpaces($B$301:$H$301)</f>
        <v>Form: Constant</v>
      </c>
      <c r="K301" s="176"/>
    </row>
    <row r="302" spans="1:11" x14ac:dyDescent="0.2">
      <c r="A302" s="172"/>
      <c r="B302" s="1" t="s">
        <v>2</v>
      </c>
      <c r="C302" s="26">
        <f>1 * Fish!$L$14</f>
        <v>0</v>
      </c>
      <c r="I302" s="174"/>
      <c r="J302" s="177" t="str">
        <f>ConcatenateWithSpaces($B$302:$H$302)</f>
        <v>Value: 0</v>
      </c>
      <c r="K302" s="176"/>
    </row>
    <row r="303" spans="1:11" x14ac:dyDescent="0.2">
      <c r="A303" s="172"/>
      <c r="B303" s="1" t="s">
        <v>519</v>
      </c>
      <c r="C303" s="26" t="str">
        <f>Fish!$M$7</f>
        <v>FractionDietFishOmnivore</v>
      </c>
      <c r="I303" s="174"/>
      <c r="J303" s="177" t="str">
        <f>ConcatenateWithSpaces($B$303:$H$303)</f>
        <v>Property: FractionDietFishOmnivore</v>
      </c>
      <c r="K303" s="176"/>
    </row>
    <row r="304" spans="1:11" x14ac:dyDescent="0.2">
      <c r="A304" s="172"/>
      <c r="B304" s="1" t="s">
        <v>520</v>
      </c>
      <c r="I304" s="174"/>
      <c r="J304" s="177" t="str">
        <f>ConcatenateWithSpaces($B$304:$H$304)</f>
        <v>Form: Constant</v>
      </c>
      <c r="K304" s="176"/>
    </row>
    <row r="305" spans="1:11" x14ac:dyDescent="0.2">
      <c r="A305" s="172"/>
      <c r="B305" s="1" t="s">
        <v>2</v>
      </c>
      <c r="C305" s="26">
        <f>1 * Fish!$M$14</f>
        <v>0</v>
      </c>
      <c r="I305" s="174"/>
      <c r="J305" s="177" t="str">
        <f>ConcatenateWithSpaces($B$305:$H$305)</f>
        <v>Value: 0</v>
      </c>
      <c r="K305" s="176"/>
    </row>
    <row r="306" spans="1:11" x14ac:dyDescent="0.2">
      <c r="A306" s="172"/>
      <c r="B306" s="1" t="s">
        <v>519</v>
      </c>
      <c r="C306" s="26" t="str">
        <f>Fish!$N$7</f>
        <v>FractionDietFishBenthicCarnivore</v>
      </c>
      <c r="I306" s="174"/>
      <c r="J306" s="177" t="str">
        <f>ConcatenateWithSpaces($B$306:$H$306)</f>
        <v>Property: FractionDietFishBenthicCarnivore</v>
      </c>
      <c r="K306" s="176"/>
    </row>
    <row r="307" spans="1:11" x14ac:dyDescent="0.2">
      <c r="A307" s="172"/>
      <c r="B307" s="1" t="s">
        <v>520</v>
      </c>
      <c r="I307" s="174"/>
      <c r="J307" s="177" t="str">
        <f>ConcatenateWithSpaces($B$307:$H$307)</f>
        <v>Form: Constant</v>
      </c>
      <c r="K307" s="176"/>
    </row>
    <row r="308" spans="1:11" x14ac:dyDescent="0.2">
      <c r="A308" s="172"/>
      <c r="B308" s="1" t="s">
        <v>2</v>
      </c>
      <c r="C308" s="26">
        <f>1 * Fish!$N$14</f>
        <v>0</v>
      </c>
      <c r="I308" s="174"/>
      <c r="J308" s="177" t="str">
        <f>ConcatenateWithSpaces($B$308:$H$308)</f>
        <v>Value: 0</v>
      </c>
      <c r="K308" s="176"/>
    </row>
    <row r="309" spans="1:11" x14ac:dyDescent="0.2">
      <c r="A309" s="172"/>
      <c r="B309" s="1" t="s">
        <v>519</v>
      </c>
      <c r="C309" s="26" t="str">
        <f>Fish!$O$7</f>
        <v>FractionDietFishCarnivore</v>
      </c>
      <c r="I309" s="174"/>
      <c r="J309" s="177" t="str">
        <f>ConcatenateWithSpaces($B$309:$H$309)</f>
        <v>Property: FractionDietFishCarnivore</v>
      </c>
      <c r="K309" s="176"/>
    </row>
    <row r="310" spans="1:11" x14ac:dyDescent="0.2">
      <c r="A310" s="172"/>
      <c r="B310" s="1" t="s">
        <v>520</v>
      </c>
      <c r="I310" s="174"/>
      <c r="J310" s="177" t="str">
        <f>ConcatenateWithSpaces($B$310:$H$310)</f>
        <v>Form: Constant</v>
      </c>
      <c r="K310" s="176"/>
    </row>
    <row r="311" spans="1:11" x14ac:dyDescent="0.2">
      <c r="A311" s="172"/>
      <c r="B311" s="1" t="s">
        <v>2</v>
      </c>
      <c r="C311" s="26">
        <f>1 * Fish!$O$14</f>
        <v>0</v>
      </c>
      <c r="I311" s="174"/>
      <c r="J311" s="177" t="str">
        <f>ConcatenateWithSpaces($B$311:$H$311)</f>
        <v>Value: 0</v>
      </c>
      <c r="K311" s="176"/>
    </row>
    <row r="312" spans="1:11" x14ac:dyDescent="0.2">
      <c r="A312" s="172"/>
      <c r="I312" s="174"/>
      <c r="J312" s="177" t="str">
        <f>ConcatenateWithSpaces($B$312:$H$312)</f>
        <v/>
      </c>
      <c r="K312" s="176"/>
    </row>
    <row r="313" spans="1:11" x14ac:dyDescent="0.2">
      <c r="A313" s="172"/>
      <c r="B313" s="1" t="s">
        <v>378</v>
      </c>
      <c r="C313" s="26" t="str">
        <f>Fish!$D$15</f>
        <v>Water Column Omnivore</v>
      </c>
      <c r="D313" s="1" t="s">
        <v>531</v>
      </c>
      <c r="E313" s="26" t="str">
        <f>Fish!$E$15 &amp; "_" &amp; Fish!$C$15</f>
        <v>SW_LakeCadillac</v>
      </c>
      <c r="I313" s="174"/>
      <c r="J313" s="177" t="str">
        <f>ConcatenateWithSpaces($B$313:$H$313)</f>
        <v>Compartment: Water Column Omnivore in SW_LakeCadillac</v>
      </c>
      <c r="K313" s="176"/>
    </row>
    <row r="314" spans="1:11" x14ac:dyDescent="0.2">
      <c r="A314" s="172"/>
      <c r="B314" s="1" t="s">
        <v>532</v>
      </c>
      <c r="I314" s="174"/>
      <c r="J314" s="177" t="str">
        <f>ConcatenateWithSpaces($B$314:$H$314)</f>
        <v>Property: BiomassPerArea_kg_m2</v>
      </c>
      <c r="K314" s="176"/>
    </row>
    <row r="315" spans="1:11" x14ac:dyDescent="0.2">
      <c r="A315" s="172"/>
      <c r="B315" s="1" t="s">
        <v>521</v>
      </c>
      <c r="C315" s="26" t="str">
        <f>IF(ISERROR(FIND(",", $C$316)), "Constant", "InputFromFile")</f>
        <v>Constant</v>
      </c>
      <c r="I315" s="174"/>
      <c r="J315" s="177" t="str">
        <f>ConcatenateWithSpaces($B$315:$H$315)</f>
        <v>Form: Constant</v>
      </c>
      <c r="K315" s="176"/>
    </row>
    <row r="316" spans="1:11" x14ac:dyDescent="0.2">
      <c r="A316" s="172"/>
      <c r="B316" s="1" t="s">
        <v>2</v>
      </c>
      <c r="C316" s="26">
        <f>Fish!$P$15</f>
        <v>9.7630000000000004E-4</v>
      </c>
      <c r="I316" s="174"/>
      <c r="J316" s="177" t="str">
        <f>ConcatenateWithSpaces($B$316:$H$316)</f>
        <v>Value: 0.0009763</v>
      </c>
      <c r="K316" s="176"/>
    </row>
    <row r="317" spans="1:11" x14ac:dyDescent="0.2">
      <c r="A317" s="172"/>
      <c r="B317" s="1" t="s">
        <v>533</v>
      </c>
      <c r="I317" s="174"/>
      <c r="J317" s="177" t="str">
        <f>ConcatenateWithSpaces($B$317:$H$317)</f>
        <v>Property: BW</v>
      </c>
      <c r="K317" s="176"/>
    </row>
    <row r="318" spans="1:11" x14ac:dyDescent="0.2">
      <c r="A318" s="172"/>
      <c r="B318" s="1" t="s">
        <v>521</v>
      </c>
      <c r="C318" s="26" t="str">
        <f>IF(ISERROR(FIND(",", $C$319)), "Constant", "InputFromFile")</f>
        <v>Constant</v>
      </c>
      <c r="I318" s="174"/>
      <c r="J318" s="177" t="str">
        <f>ConcatenateWithSpaces($B$318:$H$318)</f>
        <v>Form: Constant</v>
      </c>
      <c r="K318" s="176"/>
    </row>
    <row r="319" spans="1:11" x14ac:dyDescent="0.2">
      <c r="A319" s="172"/>
      <c r="B319" s="1" t="s">
        <v>2</v>
      </c>
      <c r="C319" s="179">
        <f>Fish!$R$15</f>
        <v>0.2</v>
      </c>
      <c r="I319" s="174"/>
      <c r="J319" s="177" t="str">
        <f>ConcatenateWithSpaces($B$319:$H$319)</f>
        <v>Value: 0.2</v>
      </c>
      <c r="K319" s="176"/>
    </row>
    <row r="320" spans="1:11" x14ac:dyDescent="0.2">
      <c r="A320" s="172"/>
      <c r="B320" s="1" t="s">
        <v>519</v>
      </c>
      <c r="C320" s="26" t="str">
        <f>Fish!$G$7</f>
        <v>FractionDietAlgae</v>
      </c>
      <c r="I320" s="174"/>
      <c r="J320" s="177" t="str">
        <f>ConcatenateWithSpaces($B$320:$H$320)</f>
        <v>Property: FractionDietAlgae</v>
      </c>
      <c r="K320" s="176"/>
    </row>
    <row r="321" spans="1:11" x14ac:dyDescent="0.2">
      <c r="A321" s="172"/>
      <c r="B321" s="1" t="s">
        <v>520</v>
      </c>
      <c r="I321" s="174"/>
      <c r="J321" s="177" t="str">
        <f>ConcatenateWithSpaces($B$321:$H$321)</f>
        <v>Form: Constant</v>
      </c>
      <c r="K321" s="176"/>
    </row>
    <row r="322" spans="1:11" x14ac:dyDescent="0.2">
      <c r="A322" s="172"/>
      <c r="B322" s="1" t="s">
        <v>2</v>
      </c>
      <c r="C322" s="26">
        <f>1 * Fish!$G$15</f>
        <v>0</v>
      </c>
      <c r="I322" s="174"/>
      <c r="J322" s="177" t="str">
        <f>ConcatenateWithSpaces($B$322:$H$322)</f>
        <v>Value: 0</v>
      </c>
      <c r="K322" s="176"/>
    </row>
    <row r="323" spans="1:11" x14ac:dyDescent="0.2">
      <c r="A323" s="172"/>
      <c r="B323" s="1" t="s">
        <v>519</v>
      </c>
      <c r="C323" s="26" t="str">
        <f>Fish!$H$7</f>
        <v>FractionDietMacrophyte</v>
      </c>
      <c r="I323" s="174"/>
      <c r="J323" s="177" t="str">
        <f>ConcatenateWithSpaces($B$323:$H$323)</f>
        <v>Property: FractionDietMacrophyte</v>
      </c>
      <c r="K323" s="176"/>
    </row>
    <row r="324" spans="1:11" x14ac:dyDescent="0.2">
      <c r="A324" s="172"/>
      <c r="B324" s="1" t="s">
        <v>520</v>
      </c>
      <c r="I324" s="174"/>
      <c r="J324" s="177" t="str">
        <f>ConcatenateWithSpaces($B$324:$H$324)</f>
        <v>Form: Constant</v>
      </c>
      <c r="K324" s="176"/>
    </row>
    <row r="325" spans="1:11" x14ac:dyDescent="0.2">
      <c r="A325" s="172"/>
      <c r="B325" s="1" t="s">
        <v>2</v>
      </c>
      <c r="C325" s="26">
        <f>1 * Fish!$H$15</f>
        <v>0</v>
      </c>
      <c r="I325" s="174"/>
      <c r="J325" s="177" t="str">
        <f>ConcatenateWithSpaces($B$325:$H$325)</f>
        <v>Value: 0</v>
      </c>
      <c r="K325" s="176"/>
    </row>
    <row r="326" spans="1:11" x14ac:dyDescent="0.2">
      <c r="A326" s="172"/>
      <c r="B326" s="1" t="s">
        <v>519</v>
      </c>
      <c r="C326" s="26" t="str">
        <f>Fish!$I$7</f>
        <v>FractionDietZooplankton</v>
      </c>
      <c r="I326" s="174"/>
      <c r="J326" s="177" t="str">
        <f>ConcatenateWithSpaces($B$326:$H$326)</f>
        <v>Property: FractionDietZooplankton</v>
      </c>
      <c r="K326" s="176"/>
    </row>
    <row r="327" spans="1:11" x14ac:dyDescent="0.2">
      <c r="A327" s="172"/>
      <c r="B327" s="1" t="s">
        <v>520</v>
      </c>
      <c r="I327" s="174"/>
      <c r="J327" s="177" t="str">
        <f>ConcatenateWithSpaces($B$327:$H$327)</f>
        <v>Form: Constant</v>
      </c>
      <c r="K327" s="176"/>
    </row>
    <row r="328" spans="1:11" x14ac:dyDescent="0.2">
      <c r="A328" s="172"/>
      <c r="B328" s="1" t="s">
        <v>2</v>
      </c>
      <c r="C328" s="26">
        <f>1 * Fish!$I$15</f>
        <v>0</v>
      </c>
      <c r="I328" s="174"/>
      <c r="J328" s="177" t="str">
        <f>ConcatenateWithSpaces($B$328:$H$328)</f>
        <v>Value: 0</v>
      </c>
      <c r="K328" s="176"/>
    </row>
    <row r="329" spans="1:11" x14ac:dyDescent="0.2">
      <c r="A329" s="172"/>
      <c r="B329" s="1" t="s">
        <v>519</v>
      </c>
      <c r="C329" s="26" t="str">
        <f>Fish!$J$7</f>
        <v>FractionDietBenthicInvertebrate</v>
      </c>
      <c r="I329" s="174"/>
      <c r="J329" s="177" t="str">
        <f>ConcatenateWithSpaces($B$329:$H$329)</f>
        <v>Property: FractionDietBenthicInvertebrate</v>
      </c>
      <c r="K329" s="176"/>
    </row>
    <row r="330" spans="1:11" x14ac:dyDescent="0.2">
      <c r="A330" s="172"/>
      <c r="B330" s="1" t="s">
        <v>520</v>
      </c>
      <c r="I330" s="174"/>
      <c r="J330" s="177" t="str">
        <f>ConcatenateWithSpaces($B$330:$H$330)</f>
        <v>Form: Constant</v>
      </c>
      <c r="K330" s="176"/>
    </row>
    <row r="331" spans="1:11" x14ac:dyDescent="0.2">
      <c r="A331" s="172"/>
      <c r="B331" s="1" t="s">
        <v>2</v>
      </c>
      <c r="C331" s="26">
        <f>1 * Fish!$J$15</f>
        <v>0</v>
      </c>
      <c r="I331" s="174"/>
      <c r="J331" s="177" t="str">
        <f>ConcatenateWithSpaces($B$331:$H$331)</f>
        <v>Value: 0</v>
      </c>
      <c r="K331" s="176"/>
    </row>
    <row r="332" spans="1:11" x14ac:dyDescent="0.2">
      <c r="A332" s="172"/>
      <c r="B332" s="1" t="s">
        <v>519</v>
      </c>
      <c r="C332" s="26" t="str">
        <f>Fish!$K$7</f>
        <v>FractionDietFishHerbivore</v>
      </c>
      <c r="I332" s="174"/>
      <c r="J332" s="177" t="str">
        <f>ConcatenateWithSpaces($B$332:$H$332)</f>
        <v>Property: FractionDietFishHerbivore</v>
      </c>
      <c r="K332" s="176"/>
    </row>
    <row r="333" spans="1:11" x14ac:dyDescent="0.2">
      <c r="A333" s="172"/>
      <c r="B333" s="1" t="s">
        <v>520</v>
      </c>
      <c r="I333" s="174"/>
      <c r="J333" s="177" t="str">
        <f>ConcatenateWithSpaces($B$333:$H$333)</f>
        <v>Form: Constant</v>
      </c>
      <c r="K333" s="176"/>
    </row>
    <row r="334" spans="1:11" x14ac:dyDescent="0.2">
      <c r="A334" s="172"/>
      <c r="B334" s="1" t="s">
        <v>2</v>
      </c>
      <c r="C334" s="26">
        <f>1 * Fish!$K$15</f>
        <v>1</v>
      </c>
      <c r="I334" s="174"/>
      <c r="J334" s="177" t="str">
        <f>ConcatenateWithSpaces($B$334:$H$334)</f>
        <v>Value: 1</v>
      </c>
      <c r="K334" s="176"/>
    </row>
    <row r="335" spans="1:11" x14ac:dyDescent="0.2">
      <c r="A335" s="172"/>
      <c r="B335" s="1" t="s">
        <v>519</v>
      </c>
      <c r="C335" s="26" t="str">
        <f>Fish!$L$7</f>
        <v>FractionDietFishBenthicOmnivore</v>
      </c>
      <c r="I335" s="174"/>
      <c r="J335" s="177" t="str">
        <f>ConcatenateWithSpaces($B$335:$H$335)</f>
        <v>Property: FractionDietFishBenthicOmnivore</v>
      </c>
      <c r="K335" s="176"/>
    </row>
    <row r="336" spans="1:11" x14ac:dyDescent="0.2">
      <c r="A336" s="172"/>
      <c r="B336" s="1" t="s">
        <v>520</v>
      </c>
      <c r="I336" s="174"/>
      <c r="J336" s="177" t="str">
        <f>ConcatenateWithSpaces($B$336:$H$336)</f>
        <v>Form: Constant</v>
      </c>
      <c r="K336" s="176"/>
    </row>
    <row r="337" spans="1:11" x14ac:dyDescent="0.2">
      <c r="A337" s="172"/>
      <c r="B337" s="1" t="s">
        <v>2</v>
      </c>
      <c r="C337" s="26">
        <f>1 * Fish!$L$15</f>
        <v>0</v>
      </c>
      <c r="I337" s="174"/>
      <c r="J337" s="177" t="str">
        <f>ConcatenateWithSpaces($B$337:$H$337)</f>
        <v>Value: 0</v>
      </c>
      <c r="K337" s="176"/>
    </row>
    <row r="338" spans="1:11" x14ac:dyDescent="0.2">
      <c r="A338" s="172"/>
      <c r="B338" s="1" t="s">
        <v>519</v>
      </c>
      <c r="C338" s="26" t="str">
        <f>Fish!$M$7</f>
        <v>FractionDietFishOmnivore</v>
      </c>
      <c r="I338" s="174"/>
      <c r="J338" s="177" t="str">
        <f>ConcatenateWithSpaces($B$338:$H$338)</f>
        <v>Property: FractionDietFishOmnivore</v>
      </c>
      <c r="K338" s="176"/>
    </row>
    <row r="339" spans="1:11" x14ac:dyDescent="0.2">
      <c r="A339" s="172"/>
      <c r="B339" s="1" t="s">
        <v>520</v>
      </c>
      <c r="I339" s="174"/>
      <c r="J339" s="177" t="str">
        <f>ConcatenateWithSpaces($B$339:$H$339)</f>
        <v>Form: Constant</v>
      </c>
      <c r="K339" s="176"/>
    </row>
    <row r="340" spans="1:11" x14ac:dyDescent="0.2">
      <c r="A340" s="172"/>
      <c r="B340" s="1" t="s">
        <v>2</v>
      </c>
      <c r="C340" s="26">
        <f>1 * Fish!$M$15</f>
        <v>0</v>
      </c>
      <c r="I340" s="174"/>
      <c r="J340" s="177" t="str">
        <f>ConcatenateWithSpaces($B$340:$H$340)</f>
        <v>Value: 0</v>
      </c>
      <c r="K340" s="176"/>
    </row>
    <row r="341" spans="1:11" x14ac:dyDescent="0.2">
      <c r="A341" s="172"/>
      <c r="B341" s="1" t="s">
        <v>519</v>
      </c>
      <c r="C341" s="26" t="str">
        <f>Fish!$N$7</f>
        <v>FractionDietFishBenthicCarnivore</v>
      </c>
      <c r="I341" s="174"/>
      <c r="J341" s="177" t="str">
        <f>ConcatenateWithSpaces($B$341:$H$341)</f>
        <v>Property: FractionDietFishBenthicCarnivore</v>
      </c>
      <c r="K341" s="176"/>
    </row>
    <row r="342" spans="1:11" x14ac:dyDescent="0.2">
      <c r="A342" s="172"/>
      <c r="B342" s="1" t="s">
        <v>520</v>
      </c>
      <c r="I342" s="174"/>
      <c r="J342" s="177" t="str">
        <f>ConcatenateWithSpaces($B$342:$H$342)</f>
        <v>Form: Constant</v>
      </c>
      <c r="K342" s="176"/>
    </row>
    <row r="343" spans="1:11" x14ac:dyDescent="0.2">
      <c r="A343" s="172"/>
      <c r="B343" s="1" t="s">
        <v>2</v>
      </c>
      <c r="C343" s="26">
        <f>1 * Fish!$N$15</f>
        <v>0</v>
      </c>
      <c r="I343" s="174"/>
      <c r="J343" s="177" t="str">
        <f>ConcatenateWithSpaces($B$343:$H$343)</f>
        <v>Value: 0</v>
      </c>
      <c r="K343" s="176"/>
    </row>
    <row r="344" spans="1:11" x14ac:dyDescent="0.2">
      <c r="A344" s="172"/>
      <c r="B344" s="1" t="s">
        <v>519</v>
      </c>
      <c r="C344" s="26" t="str">
        <f>Fish!$O$7</f>
        <v>FractionDietFishCarnivore</v>
      </c>
      <c r="I344" s="174"/>
      <c r="J344" s="177" t="str">
        <f>ConcatenateWithSpaces($B$344:$H$344)</f>
        <v>Property: FractionDietFishCarnivore</v>
      </c>
      <c r="K344" s="176"/>
    </row>
    <row r="345" spans="1:11" x14ac:dyDescent="0.2">
      <c r="A345" s="172"/>
      <c r="B345" s="1" t="s">
        <v>520</v>
      </c>
      <c r="I345" s="174"/>
      <c r="J345" s="177" t="str">
        <f>ConcatenateWithSpaces($B$345:$H$345)</f>
        <v>Form: Constant</v>
      </c>
      <c r="K345" s="176"/>
    </row>
    <row r="346" spans="1:11" x14ac:dyDescent="0.2">
      <c r="A346" s="172"/>
      <c r="B346" s="1" t="s">
        <v>2</v>
      </c>
      <c r="C346" s="26">
        <f>1 * Fish!$O$15</f>
        <v>0</v>
      </c>
      <c r="I346" s="174"/>
      <c r="J346" s="177" t="str">
        <f>ConcatenateWithSpaces($B$346:$H$346)</f>
        <v>Value: 0</v>
      </c>
      <c r="K346" s="176"/>
    </row>
    <row r="347" spans="1:11" x14ac:dyDescent="0.2">
      <c r="A347" s="172"/>
      <c r="I347" s="174"/>
      <c r="J347" s="177" t="str">
        <f>ConcatenateWithSpaces($B$347:$H$347)</f>
        <v/>
      </c>
      <c r="K347" s="176"/>
    </row>
    <row r="348" spans="1:11" x14ac:dyDescent="0.2">
      <c r="A348" s="172"/>
      <c r="B348" s="1" t="s">
        <v>378</v>
      </c>
      <c r="C348" s="26" t="str">
        <f>Fish!$D$16</f>
        <v>Benthic Carnivore</v>
      </c>
      <c r="D348" s="1" t="s">
        <v>531</v>
      </c>
      <c r="E348" s="26" t="str">
        <f>Fish!$E$16 &amp; "_" &amp; Fish!$C$16</f>
        <v>Sed_LakeCadillac</v>
      </c>
      <c r="I348" s="174"/>
      <c r="J348" s="177" t="str">
        <f>ConcatenateWithSpaces($B$348:$H$348)</f>
        <v>Compartment: Benthic Carnivore in Sed_LakeCadillac</v>
      </c>
      <c r="K348" s="176"/>
    </row>
    <row r="349" spans="1:11" x14ac:dyDescent="0.2">
      <c r="A349" s="172"/>
      <c r="B349" s="1" t="s">
        <v>532</v>
      </c>
      <c r="I349" s="174"/>
      <c r="J349" s="177" t="str">
        <f>ConcatenateWithSpaces($B$349:$H$349)</f>
        <v>Property: BiomassPerArea_kg_m2</v>
      </c>
      <c r="K349" s="176"/>
    </row>
    <row r="350" spans="1:11" x14ac:dyDescent="0.2">
      <c r="A350" s="172"/>
      <c r="B350" s="1" t="s">
        <v>521</v>
      </c>
      <c r="C350" s="26" t="str">
        <f>IF(ISERROR(FIND(",", $C$351)), "Constant", "InputFromFile")</f>
        <v>Constant</v>
      </c>
      <c r="I350" s="174"/>
      <c r="J350" s="177" t="str">
        <f>ConcatenateWithSpaces($B$350:$H$350)</f>
        <v>Form: Constant</v>
      </c>
      <c r="K350" s="176"/>
    </row>
    <row r="351" spans="1:11" x14ac:dyDescent="0.2">
      <c r="A351" s="172"/>
      <c r="B351" s="1" t="s">
        <v>2</v>
      </c>
      <c r="C351" s="26">
        <f>Fish!$P$16</f>
        <v>3.7550000000000002E-4</v>
      </c>
      <c r="I351" s="174"/>
      <c r="J351" s="177" t="str">
        <f>ConcatenateWithSpaces($B$351:$H$351)</f>
        <v>Value: 0.0003755</v>
      </c>
      <c r="K351" s="176"/>
    </row>
    <row r="352" spans="1:11" x14ac:dyDescent="0.2">
      <c r="A352" s="172"/>
      <c r="B352" s="1" t="s">
        <v>533</v>
      </c>
      <c r="I352" s="174"/>
      <c r="J352" s="177" t="str">
        <f>ConcatenateWithSpaces($B$352:$H$352)</f>
        <v>Property: BW</v>
      </c>
      <c r="K352" s="176"/>
    </row>
    <row r="353" spans="1:11" x14ac:dyDescent="0.2">
      <c r="A353" s="172"/>
      <c r="B353" s="1" t="s">
        <v>521</v>
      </c>
      <c r="C353" s="26" t="str">
        <f>IF(ISERROR(FIND(",", $C$354)), "Constant", "InputFromFile")</f>
        <v>Constant</v>
      </c>
      <c r="I353" s="174"/>
      <c r="J353" s="177" t="str">
        <f>ConcatenateWithSpaces($B$353:$H$353)</f>
        <v>Form: Constant</v>
      </c>
      <c r="K353" s="176"/>
    </row>
    <row r="354" spans="1:11" x14ac:dyDescent="0.2">
      <c r="A354" s="172"/>
      <c r="B354" s="1" t="s">
        <v>2</v>
      </c>
      <c r="C354" s="26">
        <f>Fish!$R$16</f>
        <v>2.5</v>
      </c>
      <c r="I354" s="174"/>
      <c r="J354" s="177" t="str">
        <f>ConcatenateWithSpaces($B$354:$H$354)</f>
        <v>Value: 2.5</v>
      </c>
      <c r="K354" s="176"/>
    </row>
    <row r="355" spans="1:11" x14ac:dyDescent="0.2">
      <c r="A355" s="172"/>
      <c r="B355" s="1" t="s">
        <v>519</v>
      </c>
      <c r="C355" s="26" t="str">
        <f>Fish!$G$7</f>
        <v>FractionDietAlgae</v>
      </c>
      <c r="I355" s="174"/>
      <c r="J355" s="177" t="str">
        <f>ConcatenateWithSpaces($B$355:$H$355)</f>
        <v>Property: FractionDietAlgae</v>
      </c>
      <c r="K355" s="176"/>
    </row>
    <row r="356" spans="1:11" x14ac:dyDescent="0.2">
      <c r="A356" s="172"/>
      <c r="B356" s="1" t="s">
        <v>520</v>
      </c>
      <c r="I356" s="174"/>
      <c r="J356" s="177" t="str">
        <f>ConcatenateWithSpaces($B$356:$H$356)</f>
        <v>Form: Constant</v>
      </c>
      <c r="K356" s="176"/>
    </row>
    <row r="357" spans="1:11" x14ac:dyDescent="0.2">
      <c r="A357" s="172"/>
      <c r="B357" s="1" t="s">
        <v>2</v>
      </c>
      <c r="C357" s="26">
        <f>1 * Fish!$G$16</f>
        <v>0</v>
      </c>
      <c r="I357" s="174"/>
      <c r="J357" s="177" t="str">
        <f>ConcatenateWithSpaces($B$357:$H$357)</f>
        <v>Value: 0</v>
      </c>
      <c r="K357" s="176"/>
    </row>
    <row r="358" spans="1:11" x14ac:dyDescent="0.2">
      <c r="A358" s="172"/>
      <c r="B358" s="1" t="s">
        <v>519</v>
      </c>
      <c r="C358" s="26" t="str">
        <f>Fish!$H$7</f>
        <v>FractionDietMacrophyte</v>
      </c>
      <c r="I358" s="174"/>
      <c r="J358" s="177" t="str">
        <f>ConcatenateWithSpaces($B$358:$H$358)</f>
        <v>Property: FractionDietMacrophyte</v>
      </c>
      <c r="K358" s="176"/>
    </row>
    <row r="359" spans="1:11" x14ac:dyDescent="0.2">
      <c r="A359" s="172"/>
      <c r="B359" s="1" t="s">
        <v>520</v>
      </c>
      <c r="I359" s="174"/>
      <c r="J359" s="177" t="str">
        <f>ConcatenateWithSpaces($B$359:$H$359)</f>
        <v>Form: Constant</v>
      </c>
      <c r="K359" s="176"/>
    </row>
    <row r="360" spans="1:11" x14ac:dyDescent="0.2">
      <c r="A360" s="172"/>
      <c r="B360" s="1" t="s">
        <v>2</v>
      </c>
      <c r="C360" s="26">
        <f>1 * Fish!$H$16</f>
        <v>0</v>
      </c>
      <c r="I360" s="174"/>
      <c r="J360" s="177" t="str">
        <f>ConcatenateWithSpaces($B$360:$H$360)</f>
        <v>Value: 0</v>
      </c>
      <c r="K360" s="176"/>
    </row>
    <row r="361" spans="1:11" x14ac:dyDescent="0.2">
      <c r="A361" s="172"/>
      <c r="B361" s="1" t="s">
        <v>519</v>
      </c>
      <c r="C361" s="26" t="str">
        <f>Fish!$I$7</f>
        <v>FractionDietZooplankton</v>
      </c>
      <c r="I361" s="174"/>
      <c r="J361" s="177" t="str">
        <f>ConcatenateWithSpaces($B$361:$H$361)</f>
        <v>Property: FractionDietZooplankton</v>
      </c>
      <c r="K361" s="176"/>
    </row>
    <row r="362" spans="1:11" x14ac:dyDescent="0.2">
      <c r="A362" s="172"/>
      <c r="B362" s="1" t="s">
        <v>520</v>
      </c>
      <c r="I362" s="174"/>
      <c r="J362" s="177" t="str">
        <f>ConcatenateWithSpaces($B$362:$H$362)</f>
        <v>Form: Constant</v>
      </c>
      <c r="K362" s="176"/>
    </row>
    <row r="363" spans="1:11" x14ac:dyDescent="0.2">
      <c r="A363" s="172"/>
      <c r="B363" s="1" t="s">
        <v>2</v>
      </c>
      <c r="C363" s="26">
        <f>1 * Fish!$I$16</f>
        <v>0</v>
      </c>
      <c r="I363" s="174"/>
      <c r="J363" s="177" t="str">
        <f>ConcatenateWithSpaces($B$363:$H$363)</f>
        <v>Value: 0</v>
      </c>
      <c r="K363" s="176"/>
    </row>
    <row r="364" spans="1:11" x14ac:dyDescent="0.2">
      <c r="A364" s="172"/>
      <c r="B364" s="1" t="s">
        <v>519</v>
      </c>
      <c r="C364" s="26" t="str">
        <f>Fish!$J$7</f>
        <v>FractionDietBenthicInvertebrate</v>
      </c>
      <c r="I364" s="174"/>
      <c r="J364" s="177" t="str">
        <f>ConcatenateWithSpaces($B$364:$H$364)</f>
        <v>Property: FractionDietBenthicInvertebrate</v>
      </c>
      <c r="K364" s="176"/>
    </row>
    <row r="365" spans="1:11" x14ac:dyDescent="0.2">
      <c r="A365" s="172"/>
      <c r="B365" s="1" t="s">
        <v>520</v>
      </c>
      <c r="I365" s="174"/>
      <c r="J365" s="177" t="str">
        <f>ConcatenateWithSpaces($B$365:$H$365)</f>
        <v>Form: Constant</v>
      </c>
      <c r="K365" s="176"/>
    </row>
    <row r="366" spans="1:11" x14ac:dyDescent="0.2">
      <c r="A366" s="172"/>
      <c r="B366" s="1" t="s">
        <v>2</v>
      </c>
      <c r="C366" s="26">
        <f>1 * Fish!$J$16</f>
        <v>0.5</v>
      </c>
      <c r="I366" s="174"/>
      <c r="J366" s="177" t="str">
        <f>ConcatenateWithSpaces($B$366:$H$366)</f>
        <v>Value: 0.5</v>
      </c>
      <c r="K366" s="176"/>
    </row>
    <row r="367" spans="1:11" x14ac:dyDescent="0.2">
      <c r="A367" s="172"/>
      <c r="B367" s="1" t="s">
        <v>519</v>
      </c>
      <c r="C367" s="26" t="str">
        <f>Fish!$K$7</f>
        <v>FractionDietFishHerbivore</v>
      </c>
      <c r="I367" s="174"/>
      <c r="J367" s="177" t="str">
        <f>ConcatenateWithSpaces($B$367:$H$367)</f>
        <v>Property: FractionDietFishHerbivore</v>
      </c>
      <c r="K367" s="176"/>
    </row>
    <row r="368" spans="1:11" x14ac:dyDescent="0.2">
      <c r="A368" s="172"/>
      <c r="B368" s="1" t="s">
        <v>520</v>
      </c>
      <c r="I368" s="174"/>
      <c r="J368" s="177" t="str">
        <f>ConcatenateWithSpaces($B$368:$H$368)</f>
        <v>Form: Constant</v>
      </c>
      <c r="K368" s="176"/>
    </row>
    <row r="369" spans="1:11" x14ac:dyDescent="0.2">
      <c r="A369" s="172"/>
      <c r="B369" s="1" t="s">
        <v>2</v>
      </c>
      <c r="C369" s="26">
        <f>1 * Fish!$K$16</f>
        <v>0</v>
      </c>
      <c r="I369" s="174"/>
      <c r="J369" s="177" t="str">
        <f>ConcatenateWithSpaces($B$369:$H$369)</f>
        <v>Value: 0</v>
      </c>
      <c r="K369" s="176"/>
    </row>
    <row r="370" spans="1:11" x14ac:dyDescent="0.2">
      <c r="A370" s="172"/>
      <c r="B370" s="1" t="s">
        <v>519</v>
      </c>
      <c r="C370" s="26" t="str">
        <f>Fish!$L$7</f>
        <v>FractionDietFishBenthicOmnivore</v>
      </c>
      <c r="I370" s="174"/>
      <c r="J370" s="177" t="str">
        <f>ConcatenateWithSpaces($B$370:$H$370)</f>
        <v>Property: FractionDietFishBenthicOmnivore</v>
      </c>
      <c r="K370" s="176"/>
    </row>
    <row r="371" spans="1:11" x14ac:dyDescent="0.2">
      <c r="A371" s="172"/>
      <c r="B371" s="1" t="s">
        <v>520</v>
      </c>
      <c r="I371" s="174"/>
      <c r="J371" s="177" t="str">
        <f>ConcatenateWithSpaces($B$371:$H$371)</f>
        <v>Form: Constant</v>
      </c>
      <c r="K371" s="176"/>
    </row>
    <row r="372" spans="1:11" x14ac:dyDescent="0.2">
      <c r="A372" s="172"/>
      <c r="B372" s="1" t="s">
        <v>2</v>
      </c>
      <c r="C372" s="26">
        <f>1 * Fish!$L$16</f>
        <v>0.5</v>
      </c>
      <c r="I372" s="174"/>
      <c r="J372" s="177" t="str">
        <f>ConcatenateWithSpaces($B$372:$H$372)</f>
        <v>Value: 0.5</v>
      </c>
      <c r="K372" s="176"/>
    </row>
    <row r="373" spans="1:11" x14ac:dyDescent="0.2">
      <c r="A373" s="172"/>
      <c r="B373" s="1" t="s">
        <v>519</v>
      </c>
      <c r="C373" s="26" t="str">
        <f>Fish!$M$7</f>
        <v>FractionDietFishOmnivore</v>
      </c>
      <c r="I373" s="174"/>
      <c r="J373" s="177" t="str">
        <f>ConcatenateWithSpaces($B$373:$H$373)</f>
        <v>Property: FractionDietFishOmnivore</v>
      </c>
      <c r="K373" s="176"/>
    </row>
    <row r="374" spans="1:11" x14ac:dyDescent="0.2">
      <c r="A374" s="172"/>
      <c r="B374" s="1" t="s">
        <v>520</v>
      </c>
      <c r="I374" s="174"/>
      <c r="J374" s="177" t="str">
        <f>ConcatenateWithSpaces($B$374:$H$374)</f>
        <v>Form: Constant</v>
      </c>
      <c r="K374" s="176"/>
    </row>
    <row r="375" spans="1:11" x14ac:dyDescent="0.2">
      <c r="A375" s="172"/>
      <c r="B375" s="1" t="s">
        <v>2</v>
      </c>
      <c r="C375" s="26">
        <f>1 * Fish!$M$16</f>
        <v>0</v>
      </c>
      <c r="I375" s="174"/>
      <c r="J375" s="177" t="str">
        <f>ConcatenateWithSpaces($B$375:$H$375)</f>
        <v>Value: 0</v>
      </c>
      <c r="K375" s="176"/>
    </row>
    <row r="376" spans="1:11" x14ac:dyDescent="0.2">
      <c r="A376" s="172"/>
      <c r="B376" s="1" t="s">
        <v>519</v>
      </c>
      <c r="C376" s="26" t="str">
        <f>Fish!$N$7</f>
        <v>FractionDietFishBenthicCarnivore</v>
      </c>
      <c r="I376" s="174"/>
      <c r="J376" s="177" t="str">
        <f>ConcatenateWithSpaces($B$376:$H$376)</f>
        <v>Property: FractionDietFishBenthicCarnivore</v>
      </c>
      <c r="K376" s="176"/>
    </row>
    <row r="377" spans="1:11" x14ac:dyDescent="0.2">
      <c r="A377" s="172"/>
      <c r="B377" s="1" t="s">
        <v>520</v>
      </c>
      <c r="I377" s="174"/>
      <c r="J377" s="177" t="str">
        <f>ConcatenateWithSpaces($B$377:$H$377)</f>
        <v>Form: Constant</v>
      </c>
      <c r="K377" s="176"/>
    </row>
    <row r="378" spans="1:11" x14ac:dyDescent="0.2">
      <c r="A378" s="172"/>
      <c r="B378" s="1" t="s">
        <v>2</v>
      </c>
      <c r="C378" s="26">
        <f>1 * Fish!$N$16</f>
        <v>0</v>
      </c>
      <c r="I378" s="174"/>
      <c r="J378" s="177" t="str">
        <f>ConcatenateWithSpaces($B$378:$H$378)</f>
        <v>Value: 0</v>
      </c>
      <c r="K378" s="176"/>
    </row>
    <row r="379" spans="1:11" x14ac:dyDescent="0.2">
      <c r="A379" s="172"/>
      <c r="B379" s="1" t="s">
        <v>519</v>
      </c>
      <c r="C379" s="26" t="str">
        <f>Fish!$O$7</f>
        <v>FractionDietFishCarnivore</v>
      </c>
      <c r="I379" s="174"/>
      <c r="J379" s="177" t="str">
        <f>ConcatenateWithSpaces($B$379:$H$379)</f>
        <v>Property: FractionDietFishCarnivore</v>
      </c>
      <c r="K379" s="176"/>
    </row>
    <row r="380" spans="1:11" x14ac:dyDescent="0.2">
      <c r="A380" s="172"/>
      <c r="B380" s="1" t="s">
        <v>520</v>
      </c>
      <c r="I380" s="174"/>
      <c r="J380" s="177" t="str">
        <f>ConcatenateWithSpaces($B$380:$H$380)</f>
        <v>Form: Constant</v>
      </c>
      <c r="K380" s="176"/>
    </row>
    <row r="381" spans="1:11" x14ac:dyDescent="0.2">
      <c r="A381" s="172"/>
      <c r="B381" s="1" t="s">
        <v>2</v>
      </c>
      <c r="C381" s="26">
        <f>1 * Fish!$O$16</f>
        <v>0</v>
      </c>
      <c r="I381" s="174"/>
      <c r="J381" s="177" t="str">
        <f>ConcatenateWithSpaces($B$381:$H$381)</f>
        <v>Value: 0</v>
      </c>
      <c r="K381" s="176"/>
    </row>
    <row r="382" spans="1:11" x14ac:dyDescent="0.2">
      <c r="A382" s="172"/>
      <c r="I382" s="174"/>
      <c r="J382" s="177" t="str">
        <f>ConcatenateWithSpaces($B$382:$H$382)</f>
        <v/>
      </c>
      <c r="K382" s="176"/>
    </row>
    <row r="383" spans="1:11" x14ac:dyDescent="0.2">
      <c r="A383" s="172"/>
      <c r="B383" s="1" t="s">
        <v>378</v>
      </c>
      <c r="C383" s="26" t="str">
        <f>Fish!$D$17</f>
        <v>Water Column Carnivore</v>
      </c>
      <c r="D383" s="1" t="s">
        <v>531</v>
      </c>
      <c r="E383" s="26" t="str">
        <f>Fish!$E$17 &amp; "_" &amp; Fish!$C$17</f>
        <v>SW_LakeCadillac</v>
      </c>
      <c r="I383" s="174"/>
      <c r="J383" s="177" t="str">
        <f>ConcatenateWithSpaces($B$383:$H$383)</f>
        <v>Compartment: Water Column Carnivore in SW_LakeCadillac</v>
      </c>
      <c r="K383" s="176"/>
    </row>
    <row r="384" spans="1:11" x14ac:dyDescent="0.2">
      <c r="A384" s="172"/>
      <c r="B384" s="1" t="s">
        <v>532</v>
      </c>
      <c r="I384" s="174"/>
      <c r="J384" s="177" t="str">
        <f>ConcatenateWithSpaces($B$384:$H$384)</f>
        <v>Property: BiomassPerArea_kg_m2</v>
      </c>
      <c r="K384" s="176"/>
    </row>
    <row r="385" spans="1:11" x14ac:dyDescent="0.2">
      <c r="A385" s="172"/>
      <c r="B385" s="1" t="s">
        <v>521</v>
      </c>
      <c r="C385" s="26" t="str">
        <f>IF(ISERROR(FIND(",", $C$386)), "Constant", "InputFromFile")</f>
        <v>Constant</v>
      </c>
      <c r="I385" s="174"/>
      <c r="J385" s="177" t="str">
        <f>ConcatenateWithSpaces($B$385:$H$385)</f>
        <v>Form: Constant</v>
      </c>
      <c r="K385" s="176"/>
    </row>
    <row r="386" spans="1:11" x14ac:dyDescent="0.2">
      <c r="A386" s="172"/>
      <c r="B386" s="1" t="s">
        <v>2</v>
      </c>
      <c r="C386" s="26">
        <f>Fish!$P$17</f>
        <v>5.2570000000000004E-4</v>
      </c>
      <c r="I386" s="174"/>
      <c r="J386" s="177" t="str">
        <f>ConcatenateWithSpaces($B$386:$H$386)</f>
        <v>Value: 0.0005257</v>
      </c>
      <c r="K386" s="176"/>
    </row>
    <row r="387" spans="1:11" x14ac:dyDescent="0.2">
      <c r="A387" s="172"/>
      <c r="B387" s="1" t="s">
        <v>533</v>
      </c>
      <c r="I387" s="174"/>
      <c r="J387" s="177" t="str">
        <f>ConcatenateWithSpaces($B$387:$H$387)</f>
        <v>Property: BW</v>
      </c>
      <c r="K387" s="176"/>
    </row>
    <row r="388" spans="1:11" x14ac:dyDescent="0.2">
      <c r="A388" s="172"/>
      <c r="B388" s="1" t="s">
        <v>521</v>
      </c>
      <c r="C388" s="26" t="str">
        <f>IF(ISERROR(FIND(",", $C$389)), "Constant", "InputFromFile")</f>
        <v>Constant</v>
      </c>
      <c r="I388" s="174"/>
      <c r="J388" s="177" t="str">
        <f>ConcatenateWithSpaces($B$388:$H$388)</f>
        <v>Form: Constant</v>
      </c>
      <c r="K388" s="176"/>
    </row>
    <row r="389" spans="1:11" x14ac:dyDescent="0.2">
      <c r="A389" s="172"/>
      <c r="B389" s="1" t="s">
        <v>2</v>
      </c>
      <c r="C389" s="26">
        <f>Fish!$R$17</f>
        <v>1.5</v>
      </c>
      <c r="I389" s="174"/>
      <c r="J389" s="177" t="str">
        <f>ConcatenateWithSpaces($B$389:$H$389)</f>
        <v>Value: 1.5</v>
      </c>
      <c r="K389" s="176"/>
    </row>
    <row r="390" spans="1:11" x14ac:dyDescent="0.2">
      <c r="A390" s="172"/>
      <c r="B390" s="1" t="s">
        <v>519</v>
      </c>
      <c r="C390" s="26" t="str">
        <f>Fish!$G$7</f>
        <v>FractionDietAlgae</v>
      </c>
      <c r="I390" s="174"/>
      <c r="J390" s="177" t="str">
        <f>ConcatenateWithSpaces($B$390:$H$390)</f>
        <v>Property: FractionDietAlgae</v>
      </c>
      <c r="K390" s="176"/>
    </row>
    <row r="391" spans="1:11" x14ac:dyDescent="0.2">
      <c r="A391" s="172"/>
      <c r="B391" s="1" t="s">
        <v>520</v>
      </c>
      <c r="I391" s="174"/>
      <c r="J391" s="177" t="str">
        <f>ConcatenateWithSpaces($B$391:$H$391)</f>
        <v>Form: Constant</v>
      </c>
      <c r="K391" s="176"/>
    </row>
    <row r="392" spans="1:11" x14ac:dyDescent="0.2">
      <c r="A392" s="172"/>
      <c r="B392" s="1" t="s">
        <v>2</v>
      </c>
      <c r="C392" s="26">
        <f>1 * Fish!$G$17</f>
        <v>0</v>
      </c>
      <c r="I392" s="174"/>
      <c r="J392" s="177" t="str">
        <f>ConcatenateWithSpaces($B$392:$H$392)</f>
        <v>Value: 0</v>
      </c>
      <c r="K392" s="176"/>
    </row>
    <row r="393" spans="1:11" x14ac:dyDescent="0.2">
      <c r="A393" s="172"/>
      <c r="B393" s="1" t="s">
        <v>519</v>
      </c>
      <c r="C393" s="26" t="str">
        <f>Fish!$H$7</f>
        <v>FractionDietMacrophyte</v>
      </c>
      <c r="I393" s="174"/>
      <c r="J393" s="177" t="str">
        <f>ConcatenateWithSpaces($B$393:$H$393)</f>
        <v>Property: FractionDietMacrophyte</v>
      </c>
      <c r="K393" s="176"/>
    </row>
    <row r="394" spans="1:11" x14ac:dyDescent="0.2">
      <c r="A394" s="172"/>
      <c r="B394" s="1" t="s">
        <v>520</v>
      </c>
      <c r="I394" s="174"/>
      <c r="J394" s="177" t="str">
        <f>ConcatenateWithSpaces($B$394:$H$394)</f>
        <v>Form: Constant</v>
      </c>
      <c r="K394" s="176"/>
    </row>
    <row r="395" spans="1:11" x14ac:dyDescent="0.2">
      <c r="A395" s="172"/>
      <c r="B395" s="1" t="s">
        <v>2</v>
      </c>
      <c r="C395" s="26">
        <f>1 * Fish!$H$17</f>
        <v>0</v>
      </c>
      <c r="I395" s="174"/>
      <c r="J395" s="177" t="str">
        <f>ConcatenateWithSpaces($B$395:$H$395)</f>
        <v>Value: 0</v>
      </c>
      <c r="K395" s="176"/>
    </row>
    <row r="396" spans="1:11" x14ac:dyDescent="0.2">
      <c r="A396" s="172"/>
      <c r="B396" s="1" t="s">
        <v>519</v>
      </c>
      <c r="C396" s="26" t="str">
        <f>Fish!$I$7</f>
        <v>FractionDietZooplankton</v>
      </c>
      <c r="I396" s="174"/>
      <c r="J396" s="177" t="str">
        <f>ConcatenateWithSpaces($B$396:$H$396)</f>
        <v>Property: FractionDietZooplankton</v>
      </c>
      <c r="K396" s="176"/>
    </row>
    <row r="397" spans="1:11" x14ac:dyDescent="0.2">
      <c r="A397" s="172"/>
      <c r="B397" s="1" t="s">
        <v>520</v>
      </c>
      <c r="I397" s="174"/>
      <c r="J397" s="177" t="str">
        <f>ConcatenateWithSpaces($B$397:$H$397)</f>
        <v>Form: Constant</v>
      </c>
      <c r="K397" s="176"/>
    </row>
    <row r="398" spans="1:11" x14ac:dyDescent="0.2">
      <c r="A398" s="172"/>
      <c r="B398" s="1" t="s">
        <v>2</v>
      </c>
      <c r="C398" s="26">
        <f>1 * Fish!$I$17</f>
        <v>0</v>
      </c>
      <c r="I398" s="174"/>
      <c r="J398" s="177" t="str">
        <f>ConcatenateWithSpaces($B$398:$H$398)</f>
        <v>Value: 0</v>
      </c>
      <c r="K398" s="176"/>
    </row>
    <row r="399" spans="1:11" x14ac:dyDescent="0.2">
      <c r="A399" s="172"/>
      <c r="B399" s="1" t="s">
        <v>519</v>
      </c>
      <c r="C399" s="26" t="str">
        <f>Fish!$J$7</f>
        <v>FractionDietBenthicInvertebrate</v>
      </c>
      <c r="I399" s="174"/>
      <c r="J399" s="177" t="str">
        <f>ConcatenateWithSpaces($B$399:$H$399)</f>
        <v>Property: FractionDietBenthicInvertebrate</v>
      </c>
      <c r="K399" s="176"/>
    </row>
    <row r="400" spans="1:11" x14ac:dyDescent="0.2">
      <c r="A400" s="172"/>
      <c r="B400" s="1" t="s">
        <v>520</v>
      </c>
      <c r="I400" s="174"/>
      <c r="J400" s="177" t="str">
        <f>ConcatenateWithSpaces($B$400:$H$400)</f>
        <v>Form: Constant</v>
      </c>
      <c r="K400" s="176"/>
    </row>
    <row r="401" spans="1:11" x14ac:dyDescent="0.2">
      <c r="A401" s="172"/>
      <c r="B401" s="1" t="s">
        <v>2</v>
      </c>
      <c r="C401" s="26">
        <f>1 * Fish!$J$17</f>
        <v>0</v>
      </c>
      <c r="I401" s="174"/>
      <c r="J401" s="177" t="str">
        <f>ConcatenateWithSpaces($B$401:$H$401)</f>
        <v>Value: 0</v>
      </c>
      <c r="K401" s="176"/>
    </row>
    <row r="402" spans="1:11" x14ac:dyDescent="0.2">
      <c r="A402" s="172"/>
      <c r="B402" s="1" t="s">
        <v>519</v>
      </c>
      <c r="C402" s="26" t="str">
        <f>Fish!$K$7</f>
        <v>FractionDietFishHerbivore</v>
      </c>
      <c r="I402" s="174"/>
      <c r="J402" s="177" t="str">
        <f>ConcatenateWithSpaces($B$402:$H$402)</f>
        <v>Property: FractionDietFishHerbivore</v>
      </c>
      <c r="K402" s="176"/>
    </row>
    <row r="403" spans="1:11" x14ac:dyDescent="0.2">
      <c r="A403" s="172"/>
      <c r="B403" s="1" t="s">
        <v>520</v>
      </c>
      <c r="I403" s="174"/>
      <c r="J403" s="177" t="str">
        <f>ConcatenateWithSpaces($B$403:$H$403)</f>
        <v>Form: Constant</v>
      </c>
      <c r="K403" s="176"/>
    </row>
    <row r="404" spans="1:11" x14ac:dyDescent="0.2">
      <c r="A404" s="172"/>
      <c r="B404" s="1" t="s">
        <v>2</v>
      </c>
      <c r="C404" s="26">
        <f>1 * Fish!$K$17</f>
        <v>0</v>
      </c>
      <c r="I404" s="174"/>
      <c r="J404" s="177" t="str">
        <f>ConcatenateWithSpaces($B$404:$H$404)</f>
        <v>Value: 0</v>
      </c>
      <c r="K404" s="176"/>
    </row>
    <row r="405" spans="1:11" x14ac:dyDescent="0.2">
      <c r="A405" s="172"/>
      <c r="B405" s="1" t="s">
        <v>519</v>
      </c>
      <c r="C405" s="26" t="str">
        <f>Fish!$L$7</f>
        <v>FractionDietFishBenthicOmnivore</v>
      </c>
      <c r="I405" s="174"/>
      <c r="J405" s="177" t="str">
        <f>ConcatenateWithSpaces($B$405:$H$405)</f>
        <v>Property: FractionDietFishBenthicOmnivore</v>
      </c>
      <c r="K405" s="176"/>
    </row>
    <row r="406" spans="1:11" x14ac:dyDescent="0.2">
      <c r="A406" s="172"/>
      <c r="B406" s="1" t="s">
        <v>520</v>
      </c>
      <c r="I406" s="174"/>
      <c r="J406" s="177" t="str">
        <f>ConcatenateWithSpaces($B$406:$H$406)</f>
        <v>Form: Constant</v>
      </c>
      <c r="K406" s="176"/>
    </row>
    <row r="407" spans="1:11" x14ac:dyDescent="0.2">
      <c r="A407" s="172"/>
      <c r="B407" s="1" t="s">
        <v>2</v>
      </c>
      <c r="C407" s="26">
        <f>1 * Fish!$L$17</f>
        <v>0.5</v>
      </c>
      <c r="I407" s="174"/>
      <c r="J407" s="177" t="str">
        <f>ConcatenateWithSpaces($B$407:$H$407)</f>
        <v>Value: 0.5</v>
      </c>
      <c r="K407" s="176"/>
    </row>
    <row r="408" spans="1:11" x14ac:dyDescent="0.2">
      <c r="A408" s="172"/>
      <c r="B408" s="1" t="s">
        <v>519</v>
      </c>
      <c r="C408" s="26" t="str">
        <f>Fish!$M$7</f>
        <v>FractionDietFishOmnivore</v>
      </c>
      <c r="I408" s="174"/>
      <c r="J408" s="177" t="str">
        <f>ConcatenateWithSpaces($B$408:$H$408)</f>
        <v>Property: FractionDietFishOmnivore</v>
      </c>
      <c r="K408" s="176"/>
    </row>
    <row r="409" spans="1:11" x14ac:dyDescent="0.2">
      <c r="A409" s="172"/>
      <c r="B409" s="1" t="s">
        <v>520</v>
      </c>
      <c r="I409" s="174"/>
      <c r="J409" s="177" t="str">
        <f>ConcatenateWithSpaces($B$409:$H$409)</f>
        <v>Form: Constant</v>
      </c>
      <c r="K409" s="176"/>
    </row>
    <row r="410" spans="1:11" x14ac:dyDescent="0.2">
      <c r="A410" s="172"/>
      <c r="B410" s="1" t="s">
        <v>2</v>
      </c>
      <c r="C410" s="26">
        <f>1 * Fish!$M$17</f>
        <v>0.5</v>
      </c>
      <c r="I410" s="174"/>
      <c r="J410" s="177" t="str">
        <f>ConcatenateWithSpaces($B$410:$H$410)</f>
        <v>Value: 0.5</v>
      </c>
      <c r="K410" s="176"/>
    </row>
    <row r="411" spans="1:11" x14ac:dyDescent="0.2">
      <c r="A411" s="172"/>
      <c r="B411" s="1" t="s">
        <v>519</v>
      </c>
      <c r="C411" s="26" t="str">
        <f>Fish!$N$7</f>
        <v>FractionDietFishBenthicCarnivore</v>
      </c>
      <c r="I411" s="174"/>
      <c r="J411" s="177" t="str">
        <f>ConcatenateWithSpaces($B$411:$H$411)</f>
        <v>Property: FractionDietFishBenthicCarnivore</v>
      </c>
      <c r="K411" s="176"/>
    </row>
    <row r="412" spans="1:11" x14ac:dyDescent="0.2">
      <c r="A412" s="172"/>
      <c r="B412" s="1" t="s">
        <v>520</v>
      </c>
      <c r="I412" s="174"/>
      <c r="J412" s="177" t="str">
        <f>ConcatenateWithSpaces($B$412:$H$412)</f>
        <v>Form: Constant</v>
      </c>
      <c r="K412" s="176"/>
    </row>
    <row r="413" spans="1:11" x14ac:dyDescent="0.2">
      <c r="A413" s="172"/>
      <c r="B413" s="1" t="s">
        <v>2</v>
      </c>
      <c r="C413" s="26">
        <f>1 * Fish!$N$17</f>
        <v>0</v>
      </c>
      <c r="I413" s="174"/>
      <c r="J413" s="177" t="str">
        <f>ConcatenateWithSpaces($B$413:$H$413)</f>
        <v>Value: 0</v>
      </c>
      <c r="K413" s="176"/>
    </row>
    <row r="414" spans="1:11" x14ac:dyDescent="0.2">
      <c r="A414" s="172"/>
      <c r="B414" s="1" t="s">
        <v>519</v>
      </c>
      <c r="C414" s="26" t="str">
        <f>Fish!$O$7</f>
        <v>FractionDietFishCarnivore</v>
      </c>
      <c r="I414" s="174"/>
      <c r="J414" s="177" t="str">
        <f>ConcatenateWithSpaces($B$414:$H$414)</f>
        <v>Property: FractionDietFishCarnivore</v>
      </c>
      <c r="K414" s="176"/>
    </row>
    <row r="415" spans="1:11" x14ac:dyDescent="0.2">
      <c r="A415" s="172"/>
      <c r="B415" s="1" t="s">
        <v>520</v>
      </c>
      <c r="I415" s="174"/>
      <c r="J415" s="177" t="str">
        <f>ConcatenateWithSpaces($B$415:$H$415)</f>
        <v>Form: Constant</v>
      </c>
      <c r="K415" s="176"/>
    </row>
    <row r="416" spans="1:11" x14ac:dyDescent="0.2">
      <c r="A416" s="172"/>
      <c r="B416" s="1" t="s">
        <v>2</v>
      </c>
      <c r="C416" s="26">
        <f>1 * Fish!$O$17</f>
        <v>0</v>
      </c>
      <c r="I416" s="174"/>
      <c r="J416" s="177" t="str">
        <f>ConcatenateWithSpaces($B$416:$H$416)</f>
        <v>Value: 0</v>
      </c>
      <c r="K416" s="176"/>
    </row>
    <row r="417" spans="1:11" x14ac:dyDescent="0.2">
      <c r="A417" s="172"/>
      <c r="I417" s="174"/>
      <c r="J417" s="177" t="str">
        <f>ConcatenateWithSpaces($B$417:$H$417)</f>
        <v/>
      </c>
      <c r="K417" s="176"/>
    </row>
    <row r="418" spans="1:11" x14ac:dyDescent="0.2">
      <c r="A418" s="172"/>
      <c r="B418" s="1" t="s">
        <v>378</v>
      </c>
      <c r="C418" s="26" t="str">
        <f>Fish!$D$18</f>
        <v>Macrophyte</v>
      </c>
      <c r="D418" s="1" t="s">
        <v>531</v>
      </c>
      <c r="E418" s="26" t="str">
        <f>Fish!$E$18 &amp; "_" &amp; Fish!$C$18</f>
        <v>SW_LakeMitchell</v>
      </c>
      <c r="I418" s="174"/>
      <c r="J418" s="177" t="str">
        <f>ConcatenateWithSpaces($B$418:$H$418)</f>
        <v>Compartment: Macrophyte in SW_LakeMitchell</v>
      </c>
      <c r="K418" s="176"/>
    </row>
    <row r="419" spans="1:11" x14ac:dyDescent="0.2">
      <c r="A419" s="172"/>
      <c r="B419" s="1" t="s">
        <v>532</v>
      </c>
      <c r="I419" s="174"/>
      <c r="J419" s="177" t="str">
        <f>ConcatenateWithSpaces($B$419:$H$419)</f>
        <v>Property: BiomassPerArea_kg_m2</v>
      </c>
      <c r="K419" s="176"/>
    </row>
    <row r="420" spans="1:11" x14ac:dyDescent="0.2">
      <c r="A420" s="172"/>
      <c r="B420" s="1" t="s">
        <v>521</v>
      </c>
      <c r="C420" s="26" t="str">
        <f>IF(ISERROR(FIND(",", $C$421)), "Constant", "InputFromFile")</f>
        <v>Constant</v>
      </c>
      <c r="I420" s="174"/>
      <c r="J420" s="177" t="str">
        <f>ConcatenateWithSpaces($B$420:$H$420)</f>
        <v>Form: Constant</v>
      </c>
      <c r="K420" s="176"/>
    </row>
    <row r="421" spans="1:11" x14ac:dyDescent="0.2">
      <c r="A421" s="172"/>
      <c r="B421" s="1" t="s">
        <v>2</v>
      </c>
      <c r="C421" s="26">
        <f>Fish!$P$18</f>
        <v>0.5</v>
      </c>
      <c r="I421" s="174"/>
      <c r="J421" s="177" t="str">
        <f>ConcatenateWithSpaces($B$421:$H$421)</f>
        <v>Value: 0.5</v>
      </c>
      <c r="K421" s="176"/>
    </row>
    <row r="422" spans="1:11" x14ac:dyDescent="0.2">
      <c r="A422" s="172"/>
      <c r="B422" s="1" t="s">
        <v>519</v>
      </c>
      <c r="C422" s="26" t="str">
        <f>Fish!$G$7</f>
        <v>FractionDietAlgae</v>
      </c>
      <c r="I422" s="174"/>
      <c r="J422" s="177" t="str">
        <f>ConcatenateWithSpaces($B$422:$H$422)</f>
        <v>Property: FractionDietAlgae</v>
      </c>
      <c r="K422" s="176"/>
    </row>
    <row r="423" spans="1:11" x14ac:dyDescent="0.2">
      <c r="A423" s="172"/>
      <c r="B423" s="1" t="s">
        <v>520</v>
      </c>
      <c r="I423" s="174"/>
      <c r="J423" s="177" t="str">
        <f>ConcatenateWithSpaces($B$423:$H$423)</f>
        <v>Form: Constant</v>
      </c>
      <c r="K423" s="176"/>
    </row>
    <row r="424" spans="1:11" x14ac:dyDescent="0.2">
      <c r="A424" s="172"/>
      <c r="B424" s="1" t="s">
        <v>2</v>
      </c>
      <c r="C424" s="26">
        <f>1 * Fish!$G$18</f>
        <v>0</v>
      </c>
      <c r="I424" s="174"/>
      <c r="J424" s="177" t="str">
        <f>ConcatenateWithSpaces($B$424:$H$424)</f>
        <v>Value: 0</v>
      </c>
      <c r="K424" s="176"/>
    </row>
    <row r="425" spans="1:11" x14ac:dyDescent="0.2">
      <c r="A425" s="172"/>
      <c r="B425" s="1" t="s">
        <v>519</v>
      </c>
      <c r="C425" s="26" t="str">
        <f>Fish!$H$7</f>
        <v>FractionDietMacrophyte</v>
      </c>
      <c r="I425" s="174"/>
      <c r="J425" s="177" t="str">
        <f>ConcatenateWithSpaces($B$425:$H$425)</f>
        <v>Property: FractionDietMacrophyte</v>
      </c>
      <c r="K425" s="176"/>
    </row>
    <row r="426" spans="1:11" x14ac:dyDescent="0.2">
      <c r="A426" s="172"/>
      <c r="B426" s="1" t="s">
        <v>520</v>
      </c>
      <c r="I426" s="174"/>
      <c r="J426" s="177" t="str">
        <f>ConcatenateWithSpaces($B$426:$H$426)</f>
        <v>Form: Constant</v>
      </c>
      <c r="K426" s="176"/>
    </row>
    <row r="427" spans="1:11" x14ac:dyDescent="0.2">
      <c r="A427" s="172"/>
      <c r="B427" s="1" t="s">
        <v>2</v>
      </c>
      <c r="C427" s="26">
        <f>1 * Fish!$H$18</f>
        <v>0</v>
      </c>
      <c r="I427" s="174"/>
      <c r="J427" s="177" t="str">
        <f>ConcatenateWithSpaces($B$427:$H$427)</f>
        <v>Value: 0</v>
      </c>
      <c r="K427" s="176"/>
    </row>
    <row r="428" spans="1:11" x14ac:dyDescent="0.2">
      <c r="A428" s="172"/>
      <c r="B428" s="1" t="s">
        <v>519</v>
      </c>
      <c r="C428" s="26" t="str">
        <f>Fish!$I$7</f>
        <v>FractionDietZooplankton</v>
      </c>
      <c r="I428" s="174"/>
      <c r="J428" s="177" t="str">
        <f>ConcatenateWithSpaces($B$428:$H$428)</f>
        <v>Property: FractionDietZooplankton</v>
      </c>
      <c r="K428" s="176"/>
    </row>
    <row r="429" spans="1:11" x14ac:dyDescent="0.2">
      <c r="A429" s="172"/>
      <c r="B429" s="1" t="s">
        <v>520</v>
      </c>
      <c r="I429" s="174"/>
      <c r="J429" s="177" t="str">
        <f>ConcatenateWithSpaces($B$429:$H$429)</f>
        <v>Form: Constant</v>
      </c>
      <c r="K429" s="176"/>
    </row>
    <row r="430" spans="1:11" x14ac:dyDescent="0.2">
      <c r="A430" s="172"/>
      <c r="B430" s="1" t="s">
        <v>2</v>
      </c>
      <c r="C430" s="26">
        <f>1 * Fish!$I$18</f>
        <v>0</v>
      </c>
      <c r="I430" s="174"/>
      <c r="J430" s="177" t="str">
        <f>ConcatenateWithSpaces($B$430:$H$430)</f>
        <v>Value: 0</v>
      </c>
      <c r="K430" s="176"/>
    </row>
    <row r="431" spans="1:11" x14ac:dyDescent="0.2">
      <c r="A431" s="172"/>
      <c r="B431" s="1" t="s">
        <v>519</v>
      </c>
      <c r="C431" s="26" t="str">
        <f>Fish!$J$7</f>
        <v>FractionDietBenthicInvertebrate</v>
      </c>
      <c r="I431" s="174"/>
      <c r="J431" s="177" t="str">
        <f>ConcatenateWithSpaces($B$431:$H$431)</f>
        <v>Property: FractionDietBenthicInvertebrate</v>
      </c>
      <c r="K431" s="176"/>
    </row>
    <row r="432" spans="1:11" x14ac:dyDescent="0.2">
      <c r="A432" s="172"/>
      <c r="B432" s="1" t="s">
        <v>520</v>
      </c>
      <c r="I432" s="174"/>
      <c r="J432" s="177" t="str">
        <f>ConcatenateWithSpaces($B$432:$H$432)</f>
        <v>Form: Constant</v>
      </c>
      <c r="K432" s="176"/>
    </row>
    <row r="433" spans="1:11" x14ac:dyDescent="0.2">
      <c r="A433" s="172"/>
      <c r="B433" s="1" t="s">
        <v>2</v>
      </c>
      <c r="C433" s="26">
        <f>1 * Fish!$J$18</f>
        <v>0</v>
      </c>
      <c r="I433" s="174"/>
      <c r="J433" s="177" t="str">
        <f>ConcatenateWithSpaces($B$433:$H$433)</f>
        <v>Value: 0</v>
      </c>
      <c r="K433" s="176"/>
    </row>
    <row r="434" spans="1:11" x14ac:dyDescent="0.2">
      <c r="A434" s="172"/>
      <c r="B434" s="1" t="s">
        <v>519</v>
      </c>
      <c r="C434" s="26" t="str">
        <f>Fish!$K$7</f>
        <v>FractionDietFishHerbivore</v>
      </c>
      <c r="I434" s="174"/>
      <c r="J434" s="177" t="str">
        <f>ConcatenateWithSpaces($B$434:$H$434)</f>
        <v>Property: FractionDietFishHerbivore</v>
      </c>
      <c r="K434" s="176"/>
    </row>
    <row r="435" spans="1:11" x14ac:dyDescent="0.2">
      <c r="A435" s="172"/>
      <c r="B435" s="1" t="s">
        <v>520</v>
      </c>
      <c r="I435" s="174"/>
      <c r="J435" s="177" t="str">
        <f>ConcatenateWithSpaces($B$435:$H$435)</f>
        <v>Form: Constant</v>
      </c>
      <c r="K435" s="176"/>
    </row>
    <row r="436" spans="1:11" x14ac:dyDescent="0.2">
      <c r="A436" s="172"/>
      <c r="B436" s="1" t="s">
        <v>2</v>
      </c>
      <c r="C436" s="26">
        <f>1 * Fish!$K$18</f>
        <v>0</v>
      </c>
      <c r="I436" s="174"/>
      <c r="J436" s="177" t="str">
        <f>ConcatenateWithSpaces($B$436:$H$436)</f>
        <v>Value: 0</v>
      </c>
      <c r="K436" s="176"/>
    </row>
    <row r="437" spans="1:11" x14ac:dyDescent="0.2">
      <c r="A437" s="172"/>
      <c r="B437" s="1" t="s">
        <v>519</v>
      </c>
      <c r="C437" s="26" t="str">
        <f>Fish!$L$7</f>
        <v>FractionDietFishBenthicOmnivore</v>
      </c>
      <c r="I437" s="174"/>
      <c r="J437" s="177" t="str">
        <f>ConcatenateWithSpaces($B$437:$H$437)</f>
        <v>Property: FractionDietFishBenthicOmnivore</v>
      </c>
      <c r="K437" s="176"/>
    </row>
    <row r="438" spans="1:11" x14ac:dyDescent="0.2">
      <c r="A438" s="172"/>
      <c r="B438" s="1" t="s">
        <v>520</v>
      </c>
      <c r="I438" s="174"/>
      <c r="J438" s="177" t="str">
        <f>ConcatenateWithSpaces($B$438:$H$438)</f>
        <v>Form: Constant</v>
      </c>
      <c r="K438" s="176"/>
    </row>
    <row r="439" spans="1:11" x14ac:dyDescent="0.2">
      <c r="A439" s="172"/>
      <c r="B439" s="1" t="s">
        <v>2</v>
      </c>
      <c r="C439" s="26">
        <f>1 * Fish!$L$18</f>
        <v>0</v>
      </c>
      <c r="I439" s="174"/>
      <c r="J439" s="177" t="str">
        <f>ConcatenateWithSpaces($B$439:$H$439)</f>
        <v>Value: 0</v>
      </c>
      <c r="K439" s="176"/>
    </row>
    <row r="440" spans="1:11" x14ac:dyDescent="0.2">
      <c r="A440" s="172"/>
      <c r="B440" s="1" t="s">
        <v>519</v>
      </c>
      <c r="C440" s="26" t="str">
        <f>Fish!$M$7</f>
        <v>FractionDietFishOmnivore</v>
      </c>
      <c r="I440" s="174"/>
      <c r="J440" s="177" t="str">
        <f>ConcatenateWithSpaces($B$440:$H$440)</f>
        <v>Property: FractionDietFishOmnivore</v>
      </c>
      <c r="K440" s="176"/>
    </row>
    <row r="441" spans="1:11" x14ac:dyDescent="0.2">
      <c r="A441" s="172"/>
      <c r="B441" s="1" t="s">
        <v>520</v>
      </c>
      <c r="I441" s="174"/>
      <c r="J441" s="177" t="str">
        <f>ConcatenateWithSpaces($B$441:$H$441)</f>
        <v>Form: Constant</v>
      </c>
      <c r="K441" s="176"/>
    </row>
    <row r="442" spans="1:11" x14ac:dyDescent="0.2">
      <c r="A442" s="172"/>
      <c r="B442" s="1" t="s">
        <v>2</v>
      </c>
      <c r="C442" s="26">
        <f>1 * Fish!$M$18</f>
        <v>0</v>
      </c>
      <c r="I442" s="174"/>
      <c r="J442" s="177" t="str">
        <f>ConcatenateWithSpaces($B$442:$H$442)</f>
        <v>Value: 0</v>
      </c>
      <c r="K442" s="176"/>
    </row>
    <row r="443" spans="1:11" x14ac:dyDescent="0.2">
      <c r="A443" s="172"/>
      <c r="B443" s="1" t="s">
        <v>519</v>
      </c>
      <c r="C443" s="26" t="str">
        <f>Fish!$N$7</f>
        <v>FractionDietFishBenthicCarnivore</v>
      </c>
      <c r="I443" s="174"/>
      <c r="J443" s="177" t="str">
        <f>ConcatenateWithSpaces($B$443:$H$443)</f>
        <v>Property: FractionDietFishBenthicCarnivore</v>
      </c>
      <c r="K443" s="176"/>
    </row>
    <row r="444" spans="1:11" x14ac:dyDescent="0.2">
      <c r="A444" s="172"/>
      <c r="B444" s="1" t="s">
        <v>520</v>
      </c>
      <c r="I444" s="174"/>
      <c r="J444" s="177" t="str">
        <f>ConcatenateWithSpaces($B$444:$H$444)</f>
        <v>Form: Constant</v>
      </c>
      <c r="K444" s="176"/>
    </row>
    <row r="445" spans="1:11" x14ac:dyDescent="0.2">
      <c r="A445" s="172"/>
      <c r="B445" s="1" t="s">
        <v>2</v>
      </c>
      <c r="C445" s="26">
        <f>1 * Fish!$N$18</f>
        <v>0</v>
      </c>
      <c r="I445" s="174"/>
      <c r="J445" s="177" t="str">
        <f>ConcatenateWithSpaces($B$445:$H$445)</f>
        <v>Value: 0</v>
      </c>
      <c r="K445" s="176"/>
    </row>
    <row r="446" spans="1:11" x14ac:dyDescent="0.2">
      <c r="A446" s="172"/>
      <c r="B446" s="1" t="s">
        <v>519</v>
      </c>
      <c r="C446" s="26" t="str">
        <f>Fish!$O$7</f>
        <v>FractionDietFishCarnivore</v>
      </c>
      <c r="I446" s="174"/>
      <c r="J446" s="177" t="str">
        <f>ConcatenateWithSpaces($B$446:$H$446)</f>
        <v>Property: FractionDietFishCarnivore</v>
      </c>
      <c r="K446" s="176"/>
    </row>
    <row r="447" spans="1:11" x14ac:dyDescent="0.2">
      <c r="A447" s="172"/>
      <c r="B447" s="1" t="s">
        <v>520</v>
      </c>
      <c r="I447" s="174"/>
      <c r="J447" s="177" t="str">
        <f>ConcatenateWithSpaces($B$447:$H$447)</f>
        <v>Form: Constant</v>
      </c>
      <c r="K447" s="176"/>
    </row>
    <row r="448" spans="1:11" x14ac:dyDescent="0.2">
      <c r="A448" s="172"/>
      <c r="B448" s="1" t="s">
        <v>2</v>
      </c>
      <c r="C448" s="26">
        <f>1 * Fish!$O$18</f>
        <v>0</v>
      </c>
      <c r="I448" s="174"/>
      <c r="J448" s="177" t="str">
        <f>ConcatenateWithSpaces($B$448:$H$448)</f>
        <v>Value: 0</v>
      </c>
      <c r="K448" s="176"/>
    </row>
    <row r="449" spans="1:11" x14ac:dyDescent="0.2">
      <c r="A449" s="172"/>
      <c r="I449" s="174"/>
      <c r="J449" s="177" t="str">
        <f>ConcatenateWithSpaces($B$449:$H$449)</f>
        <v/>
      </c>
      <c r="K449" s="176"/>
    </row>
    <row r="450" spans="1:11" x14ac:dyDescent="0.2">
      <c r="A450" s="172"/>
      <c r="B450" s="1" t="s">
        <v>378</v>
      </c>
      <c r="C450" s="26" t="str">
        <f>Fish!$D$19</f>
        <v>Zooplankton</v>
      </c>
      <c r="D450" s="1" t="s">
        <v>531</v>
      </c>
      <c r="E450" s="26" t="str">
        <f>Fish!$E$19 &amp; "_" &amp; Fish!$C$19</f>
        <v>SW_LakeMitchell</v>
      </c>
      <c r="I450" s="174"/>
      <c r="J450" s="177" t="str">
        <f>ConcatenateWithSpaces($B$450:$H$450)</f>
        <v>Compartment: Zooplankton in SW_LakeMitchell</v>
      </c>
      <c r="K450" s="176"/>
    </row>
    <row r="451" spans="1:11" x14ac:dyDescent="0.2">
      <c r="A451" s="172"/>
      <c r="B451" s="1" t="s">
        <v>532</v>
      </c>
      <c r="I451" s="174"/>
      <c r="J451" s="177" t="str">
        <f>ConcatenateWithSpaces($B$451:$H$451)</f>
        <v>Property: BiomassPerArea_kg_m2</v>
      </c>
      <c r="K451" s="176"/>
    </row>
    <row r="452" spans="1:11" x14ac:dyDescent="0.2">
      <c r="A452" s="172"/>
      <c r="B452" s="1" t="s">
        <v>521</v>
      </c>
      <c r="C452" s="26" t="str">
        <f>IF(ISERROR(FIND(",", $C$453)), "Constant", "InputFromFile")</f>
        <v>Constant</v>
      </c>
      <c r="I452" s="174"/>
      <c r="J452" s="177" t="str">
        <f>ConcatenateWithSpaces($B$452:$H$452)</f>
        <v>Form: Constant</v>
      </c>
      <c r="K452" s="176"/>
    </row>
    <row r="453" spans="1:11" x14ac:dyDescent="0.2">
      <c r="A453" s="172"/>
      <c r="B453" s="1" t="s">
        <v>2</v>
      </c>
      <c r="C453" s="26">
        <f>Fish!$P$19</f>
        <v>2.556311067871311E-2</v>
      </c>
      <c r="I453" s="174"/>
      <c r="J453" s="177" t="str">
        <f>ConcatenateWithSpaces($B$453:$H$453)</f>
        <v>Value: 2.55631106787131E-02</v>
      </c>
      <c r="K453" s="176"/>
    </row>
    <row r="454" spans="1:11" x14ac:dyDescent="0.2">
      <c r="A454" s="172"/>
      <c r="B454" s="1" t="s">
        <v>533</v>
      </c>
      <c r="I454" s="174"/>
      <c r="J454" s="177" t="str">
        <f>ConcatenateWithSpaces($B$454:$H$454)</f>
        <v>Property: BW</v>
      </c>
      <c r="K454" s="176"/>
    </row>
    <row r="455" spans="1:11" x14ac:dyDescent="0.2">
      <c r="A455" s="172"/>
      <c r="B455" s="1" t="s">
        <v>521</v>
      </c>
      <c r="C455" s="26" t="str">
        <f>IF(ISERROR(FIND(",", $C$456)), "Constant", "InputFromFile")</f>
        <v>Constant</v>
      </c>
      <c r="I455" s="174"/>
      <c r="J455" s="177" t="str">
        <f>ConcatenateWithSpaces($B$455:$H$455)</f>
        <v>Form: Constant</v>
      </c>
      <c r="K455" s="176"/>
    </row>
    <row r="456" spans="1:11" x14ac:dyDescent="0.2">
      <c r="A456" s="172"/>
      <c r="B456" s="1" t="s">
        <v>2</v>
      </c>
      <c r="C456" s="248">
        <f>Fish!$R$19</f>
        <v>5.7000000000000001E-8</v>
      </c>
      <c r="I456" s="174"/>
      <c r="J456" s="177" t="str">
        <f>ConcatenateWithSpaces($B$456:$H$456)</f>
        <v>Value: 0.000000057</v>
      </c>
      <c r="K456" s="176"/>
    </row>
    <row r="457" spans="1:11" x14ac:dyDescent="0.2">
      <c r="A457" s="172"/>
      <c r="B457" s="1" t="s">
        <v>519</v>
      </c>
      <c r="C457" s="26" t="str">
        <f>Fish!$G$7</f>
        <v>FractionDietAlgae</v>
      </c>
      <c r="I457" s="174"/>
      <c r="J457" s="177" t="str">
        <f>ConcatenateWithSpaces($B$457:$H$457)</f>
        <v>Property: FractionDietAlgae</v>
      </c>
      <c r="K457" s="176"/>
    </row>
    <row r="458" spans="1:11" x14ac:dyDescent="0.2">
      <c r="A458" s="172"/>
      <c r="B458" s="1" t="s">
        <v>520</v>
      </c>
      <c r="I458" s="174"/>
      <c r="J458" s="177" t="str">
        <f>ConcatenateWithSpaces($B$458:$H$458)</f>
        <v>Form: Constant</v>
      </c>
      <c r="K458" s="176"/>
    </row>
    <row r="459" spans="1:11" x14ac:dyDescent="0.2">
      <c r="A459" s="172"/>
      <c r="B459" s="1" t="s">
        <v>2</v>
      </c>
      <c r="C459" s="26">
        <f>1 * Fish!$G$19</f>
        <v>1</v>
      </c>
      <c r="I459" s="174"/>
      <c r="J459" s="177" t="str">
        <f>ConcatenateWithSpaces($B$459:$H$459)</f>
        <v>Value: 1</v>
      </c>
      <c r="K459" s="176"/>
    </row>
    <row r="460" spans="1:11" x14ac:dyDescent="0.2">
      <c r="A460" s="172"/>
      <c r="B460" s="1" t="s">
        <v>519</v>
      </c>
      <c r="C460" s="26" t="str">
        <f>Fish!$H$7</f>
        <v>FractionDietMacrophyte</v>
      </c>
      <c r="I460" s="174"/>
      <c r="J460" s="177" t="str">
        <f>ConcatenateWithSpaces($B$460:$H$460)</f>
        <v>Property: FractionDietMacrophyte</v>
      </c>
      <c r="K460" s="176"/>
    </row>
    <row r="461" spans="1:11" x14ac:dyDescent="0.2">
      <c r="A461" s="172"/>
      <c r="B461" s="1" t="s">
        <v>520</v>
      </c>
      <c r="I461" s="174"/>
      <c r="J461" s="177" t="str">
        <f>ConcatenateWithSpaces($B$461:$H$461)</f>
        <v>Form: Constant</v>
      </c>
      <c r="K461" s="176"/>
    </row>
    <row r="462" spans="1:11" x14ac:dyDescent="0.2">
      <c r="A462" s="172"/>
      <c r="B462" s="1" t="s">
        <v>2</v>
      </c>
      <c r="C462" s="26">
        <f>1 * Fish!$H$19</f>
        <v>0</v>
      </c>
      <c r="I462" s="174"/>
      <c r="J462" s="177" t="str">
        <f>ConcatenateWithSpaces($B$462:$H$462)</f>
        <v>Value: 0</v>
      </c>
      <c r="K462" s="176"/>
    </row>
    <row r="463" spans="1:11" x14ac:dyDescent="0.2">
      <c r="A463" s="172"/>
      <c r="B463" s="1" t="s">
        <v>519</v>
      </c>
      <c r="C463" s="26" t="str">
        <f>Fish!$I$7</f>
        <v>FractionDietZooplankton</v>
      </c>
      <c r="I463" s="174"/>
      <c r="J463" s="177" t="str">
        <f>ConcatenateWithSpaces($B$463:$H$463)</f>
        <v>Property: FractionDietZooplankton</v>
      </c>
      <c r="K463" s="176"/>
    </row>
    <row r="464" spans="1:11" x14ac:dyDescent="0.2">
      <c r="A464" s="172"/>
      <c r="B464" s="1" t="s">
        <v>520</v>
      </c>
      <c r="I464" s="174"/>
      <c r="J464" s="177" t="str">
        <f>ConcatenateWithSpaces($B$464:$H$464)</f>
        <v>Form: Constant</v>
      </c>
      <c r="K464" s="176"/>
    </row>
    <row r="465" spans="1:11" x14ac:dyDescent="0.2">
      <c r="A465" s="172"/>
      <c r="B465" s="1" t="s">
        <v>2</v>
      </c>
      <c r="C465" s="26">
        <f>1 * Fish!$I$19</f>
        <v>0</v>
      </c>
      <c r="I465" s="174"/>
      <c r="J465" s="177" t="str">
        <f>ConcatenateWithSpaces($B$465:$H$465)</f>
        <v>Value: 0</v>
      </c>
      <c r="K465" s="176"/>
    </row>
    <row r="466" spans="1:11" x14ac:dyDescent="0.2">
      <c r="A466" s="172"/>
      <c r="B466" s="1" t="s">
        <v>519</v>
      </c>
      <c r="C466" s="26" t="str">
        <f>Fish!$J$7</f>
        <v>FractionDietBenthicInvertebrate</v>
      </c>
      <c r="I466" s="174"/>
      <c r="J466" s="177" t="str">
        <f>ConcatenateWithSpaces($B$466:$H$466)</f>
        <v>Property: FractionDietBenthicInvertebrate</v>
      </c>
      <c r="K466" s="176"/>
    </row>
    <row r="467" spans="1:11" x14ac:dyDescent="0.2">
      <c r="A467" s="172"/>
      <c r="B467" s="1" t="s">
        <v>520</v>
      </c>
      <c r="I467" s="174"/>
      <c r="J467" s="177" t="str">
        <f>ConcatenateWithSpaces($B$467:$H$467)</f>
        <v>Form: Constant</v>
      </c>
      <c r="K467" s="176"/>
    </row>
    <row r="468" spans="1:11" x14ac:dyDescent="0.2">
      <c r="A468" s="172"/>
      <c r="B468" s="1" t="s">
        <v>2</v>
      </c>
      <c r="C468" s="26">
        <f>1 * Fish!$J$19</f>
        <v>0</v>
      </c>
      <c r="I468" s="174"/>
      <c r="J468" s="177" t="str">
        <f>ConcatenateWithSpaces($B$468:$H$468)</f>
        <v>Value: 0</v>
      </c>
      <c r="K468" s="176"/>
    </row>
    <row r="469" spans="1:11" x14ac:dyDescent="0.2">
      <c r="A469" s="172"/>
      <c r="B469" s="1" t="s">
        <v>519</v>
      </c>
      <c r="C469" s="26" t="str">
        <f>Fish!$K$7</f>
        <v>FractionDietFishHerbivore</v>
      </c>
      <c r="I469" s="174"/>
      <c r="J469" s="177" t="str">
        <f>ConcatenateWithSpaces($B$469:$H$469)</f>
        <v>Property: FractionDietFishHerbivore</v>
      </c>
      <c r="K469" s="176"/>
    </row>
    <row r="470" spans="1:11" x14ac:dyDescent="0.2">
      <c r="A470" s="172"/>
      <c r="B470" s="1" t="s">
        <v>520</v>
      </c>
      <c r="I470" s="174"/>
      <c r="J470" s="177" t="str">
        <f>ConcatenateWithSpaces($B$470:$H$470)</f>
        <v>Form: Constant</v>
      </c>
      <c r="K470" s="176"/>
    </row>
    <row r="471" spans="1:11" x14ac:dyDescent="0.2">
      <c r="A471" s="172"/>
      <c r="B471" s="1" t="s">
        <v>2</v>
      </c>
      <c r="C471" s="26">
        <f>1 * Fish!$K$19</f>
        <v>0</v>
      </c>
      <c r="I471" s="174"/>
      <c r="J471" s="177" t="str">
        <f>ConcatenateWithSpaces($B$471:$H$471)</f>
        <v>Value: 0</v>
      </c>
      <c r="K471" s="176"/>
    </row>
    <row r="472" spans="1:11" x14ac:dyDescent="0.2">
      <c r="A472" s="172"/>
      <c r="B472" s="1" t="s">
        <v>519</v>
      </c>
      <c r="C472" s="26" t="str">
        <f>Fish!$L$7</f>
        <v>FractionDietFishBenthicOmnivore</v>
      </c>
      <c r="I472" s="174"/>
      <c r="J472" s="177" t="str">
        <f>ConcatenateWithSpaces($B$472:$H$472)</f>
        <v>Property: FractionDietFishBenthicOmnivore</v>
      </c>
      <c r="K472" s="176"/>
    </row>
    <row r="473" spans="1:11" x14ac:dyDescent="0.2">
      <c r="A473" s="172"/>
      <c r="B473" s="1" t="s">
        <v>520</v>
      </c>
      <c r="I473" s="174"/>
      <c r="J473" s="177" t="str">
        <f>ConcatenateWithSpaces($B$473:$H$473)</f>
        <v>Form: Constant</v>
      </c>
      <c r="K473" s="176"/>
    </row>
    <row r="474" spans="1:11" x14ac:dyDescent="0.2">
      <c r="A474" s="172"/>
      <c r="B474" s="1" t="s">
        <v>2</v>
      </c>
      <c r="C474" s="26">
        <f>1 * Fish!$L$19</f>
        <v>0</v>
      </c>
      <c r="I474" s="174"/>
      <c r="J474" s="177" t="str">
        <f>ConcatenateWithSpaces($B$474:$H$474)</f>
        <v>Value: 0</v>
      </c>
      <c r="K474" s="176"/>
    </row>
    <row r="475" spans="1:11" x14ac:dyDescent="0.2">
      <c r="A475" s="172"/>
      <c r="B475" s="1" t="s">
        <v>519</v>
      </c>
      <c r="C475" s="26" t="str">
        <f>Fish!$M$7</f>
        <v>FractionDietFishOmnivore</v>
      </c>
      <c r="I475" s="174"/>
      <c r="J475" s="177" t="str">
        <f>ConcatenateWithSpaces($B$475:$H$475)</f>
        <v>Property: FractionDietFishOmnivore</v>
      </c>
      <c r="K475" s="176"/>
    </row>
    <row r="476" spans="1:11" x14ac:dyDescent="0.2">
      <c r="A476" s="172"/>
      <c r="B476" s="1" t="s">
        <v>520</v>
      </c>
      <c r="I476" s="174"/>
      <c r="J476" s="177" t="str">
        <f>ConcatenateWithSpaces($B$476:$H$476)</f>
        <v>Form: Constant</v>
      </c>
      <c r="K476" s="176"/>
    </row>
    <row r="477" spans="1:11" x14ac:dyDescent="0.2">
      <c r="A477" s="172"/>
      <c r="B477" s="1" t="s">
        <v>2</v>
      </c>
      <c r="C477" s="26">
        <f>1 * Fish!$M$19</f>
        <v>0</v>
      </c>
      <c r="I477" s="174"/>
      <c r="J477" s="177" t="str">
        <f>ConcatenateWithSpaces($B$477:$H$477)</f>
        <v>Value: 0</v>
      </c>
      <c r="K477" s="176"/>
    </row>
    <row r="478" spans="1:11" x14ac:dyDescent="0.2">
      <c r="A478" s="172"/>
      <c r="B478" s="1" t="s">
        <v>519</v>
      </c>
      <c r="C478" s="26" t="str">
        <f>Fish!$N$7</f>
        <v>FractionDietFishBenthicCarnivore</v>
      </c>
      <c r="I478" s="174"/>
      <c r="J478" s="177" t="str">
        <f>ConcatenateWithSpaces($B$478:$H$478)</f>
        <v>Property: FractionDietFishBenthicCarnivore</v>
      </c>
      <c r="K478" s="176"/>
    </row>
    <row r="479" spans="1:11" x14ac:dyDescent="0.2">
      <c r="A479" s="172"/>
      <c r="B479" s="1" t="s">
        <v>520</v>
      </c>
      <c r="I479" s="174"/>
      <c r="J479" s="177" t="str">
        <f>ConcatenateWithSpaces($B$479:$H$479)</f>
        <v>Form: Constant</v>
      </c>
      <c r="K479" s="176"/>
    </row>
    <row r="480" spans="1:11" x14ac:dyDescent="0.2">
      <c r="A480" s="172"/>
      <c r="B480" s="1" t="s">
        <v>2</v>
      </c>
      <c r="C480" s="26">
        <f>1 * Fish!$N$19</f>
        <v>0</v>
      </c>
      <c r="I480" s="174"/>
      <c r="J480" s="177" t="str">
        <f>ConcatenateWithSpaces($B$480:$H$480)</f>
        <v>Value: 0</v>
      </c>
      <c r="K480" s="176"/>
    </row>
    <row r="481" spans="1:11" x14ac:dyDescent="0.2">
      <c r="A481" s="172"/>
      <c r="B481" s="1" t="s">
        <v>519</v>
      </c>
      <c r="C481" s="26" t="str">
        <f>Fish!$O$7</f>
        <v>FractionDietFishCarnivore</v>
      </c>
      <c r="I481" s="174"/>
      <c r="J481" s="177" t="str">
        <f>ConcatenateWithSpaces($B$481:$H$481)</f>
        <v>Property: FractionDietFishCarnivore</v>
      </c>
      <c r="K481" s="176"/>
    </row>
    <row r="482" spans="1:11" x14ac:dyDescent="0.2">
      <c r="A482" s="172"/>
      <c r="B482" s="1" t="s">
        <v>520</v>
      </c>
      <c r="I482" s="174"/>
      <c r="J482" s="177" t="str">
        <f>ConcatenateWithSpaces($B$482:$H$482)</f>
        <v>Form: Constant</v>
      </c>
      <c r="K482" s="176"/>
    </row>
    <row r="483" spans="1:11" x14ac:dyDescent="0.2">
      <c r="A483" s="172"/>
      <c r="B483" s="1" t="s">
        <v>2</v>
      </c>
      <c r="C483" s="26">
        <f>1 * Fish!$O$19</f>
        <v>0</v>
      </c>
      <c r="I483" s="174"/>
      <c r="J483" s="177" t="str">
        <f>ConcatenateWithSpaces($B$483:$H$483)</f>
        <v>Value: 0</v>
      </c>
      <c r="K483" s="176"/>
    </row>
    <row r="484" spans="1:11" x14ac:dyDescent="0.2">
      <c r="A484" s="172"/>
      <c r="I484" s="174"/>
      <c r="J484" s="177" t="str">
        <f>ConcatenateWithSpaces($B$484:$H$484)</f>
        <v/>
      </c>
      <c r="K484" s="176"/>
    </row>
    <row r="485" spans="1:11" x14ac:dyDescent="0.2">
      <c r="A485" s="172"/>
      <c r="B485" s="1" t="s">
        <v>378</v>
      </c>
      <c r="C485" s="26" t="str">
        <f>Fish!$D$20</f>
        <v>Benthic Invertebrate</v>
      </c>
      <c r="D485" s="1" t="s">
        <v>531</v>
      </c>
      <c r="E485" s="26" t="str">
        <f>Fish!$E$20 &amp; "_" &amp; Fish!$C$20</f>
        <v>Sed_LakeMitchell</v>
      </c>
      <c r="I485" s="174"/>
      <c r="J485" s="177" t="str">
        <f>ConcatenateWithSpaces($B$485:$H$485)</f>
        <v>Compartment: Benthic Invertebrate in Sed_LakeMitchell</v>
      </c>
      <c r="K485" s="176"/>
    </row>
    <row r="486" spans="1:11" x14ac:dyDescent="0.2">
      <c r="A486" s="172"/>
      <c r="B486" s="1" t="s">
        <v>532</v>
      </c>
      <c r="I486" s="174"/>
      <c r="J486" s="177" t="str">
        <f>ConcatenateWithSpaces($B$486:$H$486)</f>
        <v>Property: BiomassPerArea_kg_m2</v>
      </c>
      <c r="K486" s="176"/>
    </row>
    <row r="487" spans="1:11" x14ac:dyDescent="0.2">
      <c r="A487" s="172"/>
      <c r="B487" s="1" t="s">
        <v>521</v>
      </c>
      <c r="C487" s="26" t="str">
        <f>IF(ISERROR(FIND(",", $C$488)), "Constant", "InputFromFile")</f>
        <v>Constant</v>
      </c>
      <c r="I487" s="174"/>
      <c r="J487" s="177" t="str">
        <f>ConcatenateWithSpaces($B$487:$H$487)</f>
        <v>Form: Constant</v>
      </c>
      <c r="K487" s="176"/>
    </row>
    <row r="488" spans="1:11" x14ac:dyDescent="0.2">
      <c r="A488" s="172"/>
      <c r="B488" s="1" t="s">
        <v>2</v>
      </c>
      <c r="C488" s="26">
        <f>Fish!$P$20</f>
        <v>7.9620046160715097E-3</v>
      </c>
      <c r="I488" s="174"/>
      <c r="J488" s="177" t="str">
        <f>ConcatenateWithSpaces($B$488:$H$488)</f>
        <v>Value: 7.96200461607151E-03</v>
      </c>
      <c r="K488" s="176"/>
    </row>
    <row r="489" spans="1:11" x14ac:dyDescent="0.2">
      <c r="A489" s="172"/>
      <c r="B489" s="1" t="s">
        <v>533</v>
      </c>
      <c r="I489" s="174"/>
      <c r="J489" s="177" t="str">
        <f>ConcatenateWithSpaces($B$489:$H$489)</f>
        <v>Property: BW</v>
      </c>
      <c r="K489" s="176"/>
    </row>
    <row r="490" spans="1:11" x14ac:dyDescent="0.2">
      <c r="A490" s="172"/>
      <c r="B490" s="1" t="s">
        <v>521</v>
      </c>
      <c r="C490" s="26" t="str">
        <f>IF(ISERROR(FIND(",", $C$491)), "Constant", "InputFromFile")</f>
        <v>Constant</v>
      </c>
      <c r="I490" s="174"/>
      <c r="J490" s="177" t="str">
        <f>ConcatenateWithSpaces($B$490:$H$490)</f>
        <v>Form: Constant</v>
      </c>
      <c r="K490" s="176"/>
    </row>
    <row r="491" spans="1:11" x14ac:dyDescent="0.2">
      <c r="A491" s="172"/>
      <c r="B491" s="1" t="s">
        <v>2</v>
      </c>
      <c r="C491" s="248">
        <f>Fish!$R$20</f>
        <v>2.5500000000000002E-4</v>
      </c>
      <c r="I491" s="174"/>
      <c r="J491" s="177" t="str">
        <f>ConcatenateWithSpaces($B$491:$H$491)</f>
        <v>Value: 0.000255</v>
      </c>
      <c r="K491" s="176"/>
    </row>
    <row r="492" spans="1:11" x14ac:dyDescent="0.2">
      <c r="A492" s="172"/>
      <c r="B492" s="1" t="s">
        <v>519</v>
      </c>
      <c r="C492" s="26" t="str">
        <f>Fish!$G$7</f>
        <v>FractionDietAlgae</v>
      </c>
      <c r="I492" s="174"/>
      <c r="J492" s="177" t="str">
        <f>ConcatenateWithSpaces($B$492:$H$492)</f>
        <v>Property: FractionDietAlgae</v>
      </c>
      <c r="K492" s="176"/>
    </row>
    <row r="493" spans="1:11" x14ac:dyDescent="0.2">
      <c r="A493" s="172"/>
      <c r="B493" s="1" t="s">
        <v>520</v>
      </c>
      <c r="I493" s="174"/>
      <c r="J493" s="177" t="str">
        <f>ConcatenateWithSpaces($B$493:$H$493)</f>
        <v>Form: Constant</v>
      </c>
      <c r="K493" s="176"/>
    </row>
    <row r="494" spans="1:11" x14ac:dyDescent="0.2">
      <c r="A494" s="172"/>
      <c r="B494" s="1" t="s">
        <v>2</v>
      </c>
      <c r="C494" s="26">
        <f>1 * Fish!$G$20</f>
        <v>0</v>
      </c>
      <c r="I494" s="174"/>
      <c r="J494" s="177" t="str">
        <f>ConcatenateWithSpaces($B$494:$H$494)</f>
        <v>Value: 0</v>
      </c>
      <c r="K494" s="176"/>
    </row>
    <row r="495" spans="1:11" x14ac:dyDescent="0.2">
      <c r="A495" s="172"/>
      <c r="B495" s="1" t="s">
        <v>519</v>
      </c>
      <c r="C495" s="26" t="str">
        <f>Fish!$H$7</f>
        <v>FractionDietMacrophyte</v>
      </c>
      <c r="I495" s="174"/>
      <c r="J495" s="177" t="str">
        <f>ConcatenateWithSpaces($B$495:$H$495)</f>
        <v>Property: FractionDietMacrophyte</v>
      </c>
      <c r="K495" s="176"/>
    </row>
    <row r="496" spans="1:11" x14ac:dyDescent="0.2">
      <c r="A496" s="172"/>
      <c r="B496" s="1" t="s">
        <v>520</v>
      </c>
      <c r="I496" s="174"/>
      <c r="J496" s="177" t="str">
        <f>ConcatenateWithSpaces($B$496:$H$496)</f>
        <v>Form: Constant</v>
      </c>
      <c r="K496" s="176"/>
    </row>
    <row r="497" spans="1:11" x14ac:dyDescent="0.2">
      <c r="A497" s="172"/>
      <c r="B497" s="1" t="s">
        <v>2</v>
      </c>
      <c r="C497" s="26">
        <f>1 * Fish!$H$20</f>
        <v>0</v>
      </c>
      <c r="I497" s="174"/>
      <c r="J497" s="177" t="str">
        <f>ConcatenateWithSpaces($B$497:$H$497)</f>
        <v>Value: 0</v>
      </c>
      <c r="K497" s="176"/>
    </row>
    <row r="498" spans="1:11" x14ac:dyDescent="0.2">
      <c r="A498" s="172"/>
      <c r="B498" s="1" t="s">
        <v>519</v>
      </c>
      <c r="C498" s="26" t="str">
        <f>Fish!$I$7</f>
        <v>FractionDietZooplankton</v>
      </c>
      <c r="I498" s="174"/>
      <c r="J498" s="177" t="str">
        <f>ConcatenateWithSpaces($B$498:$H$498)</f>
        <v>Property: FractionDietZooplankton</v>
      </c>
      <c r="K498" s="176"/>
    </row>
    <row r="499" spans="1:11" x14ac:dyDescent="0.2">
      <c r="A499" s="172"/>
      <c r="B499" s="1" t="s">
        <v>520</v>
      </c>
      <c r="I499" s="174"/>
      <c r="J499" s="177" t="str">
        <f>ConcatenateWithSpaces($B$499:$H$499)</f>
        <v>Form: Constant</v>
      </c>
      <c r="K499" s="176"/>
    </row>
    <row r="500" spans="1:11" x14ac:dyDescent="0.2">
      <c r="A500" s="172"/>
      <c r="B500" s="1" t="s">
        <v>2</v>
      </c>
      <c r="C500" s="26">
        <f>1 * Fish!$I$20</f>
        <v>0</v>
      </c>
      <c r="I500" s="174"/>
      <c r="J500" s="177" t="str">
        <f>ConcatenateWithSpaces($B$500:$H$500)</f>
        <v>Value: 0</v>
      </c>
      <c r="K500" s="176"/>
    </row>
    <row r="501" spans="1:11" ht="13.5" thickBot="1" x14ac:dyDescent="0.25">
      <c r="A501" s="251"/>
      <c r="B501" s="1" t="s">
        <v>519</v>
      </c>
      <c r="C501" s="26" t="str">
        <f>Fish!$J$7</f>
        <v>FractionDietBenthicInvertebrate</v>
      </c>
      <c r="I501" s="250"/>
      <c r="J501" s="177" t="str">
        <f>ConcatenateWithSpaces($B$501:$H$501)</f>
        <v>Property: FractionDietBenthicInvertebrate</v>
      </c>
      <c r="K501" s="249"/>
    </row>
    <row r="502" spans="1:11" x14ac:dyDescent="0.2">
      <c r="B502" s="1" t="s">
        <v>520</v>
      </c>
      <c r="J502" s="177" t="str">
        <f>ConcatenateWithSpaces($B$502:$H$502)</f>
        <v>Form: Constant</v>
      </c>
    </row>
    <row r="503" spans="1:11" x14ac:dyDescent="0.2">
      <c r="B503" s="1" t="s">
        <v>2</v>
      </c>
      <c r="C503" s="26">
        <f>1 * Fish!$J$20</f>
        <v>0</v>
      </c>
      <c r="J503" s="177" t="str">
        <f>ConcatenateWithSpaces($B$503:$H$503)</f>
        <v>Value: 0</v>
      </c>
    </row>
    <row r="504" spans="1:11" x14ac:dyDescent="0.2">
      <c r="B504" s="1" t="s">
        <v>519</v>
      </c>
      <c r="C504" s="26" t="str">
        <f>Fish!$K$7</f>
        <v>FractionDietFishHerbivore</v>
      </c>
      <c r="J504" s="177" t="str">
        <f>ConcatenateWithSpaces($B$504:$H$504)</f>
        <v>Property: FractionDietFishHerbivore</v>
      </c>
    </row>
    <row r="505" spans="1:11" x14ac:dyDescent="0.2">
      <c r="B505" s="1" t="s">
        <v>520</v>
      </c>
      <c r="J505" s="177" t="str">
        <f>ConcatenateWithSpaces($B$505:$H$505)</f>
        <v>Form: Constant</v>
      </c>
    </row>
    <row r="506" spans="1:11" x14ac:dyDescent="0.2">
      <c r="B506" s="1" t="s">
        <v>2</v>
      </c>
      <c r="C506" s="26">
        <f>1 * Fish!$K$20</f>
        <v>0</v>
      </c>
      <c r="J506" s="177" t="str">
        <f>ConcatenateWithSpaces($B$506:$H$506)</f>
        <v>Value: 0</v>
      </c>
    </row>
    <row r="507" spans="1:11" x14ac:dyDescent="0.2">
      <c r="B507" s="1" t="s">
        <v>519</v>
      </c>
      <c r="C507" s="26" t="str">
        <f>Fish!$L$7</f>
        <v>FractionDietFishBenthicOmnivore</v>
      </c>
      <c r="J507" s="177" t="str">
        <f>ConcatenateWithSpaces($B$507:$H$507)</f>
        <v>Property: FractionDietFishBenthicOmnivore</v>
      </c>
    </row>
    <row r="508" spans="1:11" x14ac:dyDescent="0.2">
      <c r="B508" s="1" t="s">
        <v>520</v>
      </c>
      <c r="J508" s="177" t="str">
        <f>ConcatenateWithSpaces($B$508:$H$508)</f>
        <v>Form: Constant</v>
      </c>
    </row>
    <row r="509" spans="1:11" x14ac:dyDescent="0.2">
      <c r="B509" s="1" t="s">
        <v>2</v>
      </c>
      <c r="C509" s="26">
        <f>1 * Fish!$L$20</f>
        <v>0</v>
      </c>
      <c r="J509" s="177" t="str">
        <f>ConcatenateWithSpaces($B$509:$H$509)</f>
        <v>Value: 0</v>
      </c>
    </row>
    <row r="510" spans="1:11" x14ac:dyDescent="0.2">
      <c r="B510" s="1" t="s">
        <v>519</v>
      </c>
      <c r="C510" s="26" t="str">
        <f>Fish!$M$7</f>
        <v>FractionDietFishOmnivore</v>
      </c>
      <c r="J510" s="177" t="str">
        <f>ConcatenateWithSpaces($B$510:$H$510)</f>
        <v>Property: FractionDietFishOmnivore</v>
      </c>
    </row>
    <row r="511" spans="1:11" x14ac:dyDescent="0.2">
      <c r="B511" s="1" t="s">
        <v>520</v>
      </c>
      <c r="J511" s="177" t="str">
        <f>ConcatenateWithSpaces($B$511:$H$511)</f>
        <v>Form: Constant</v>
      </c>
    </row>
    <row r="512" spans="1:11" x14ac:dyDescent="0.2">
      <c r="B512" s="1" t="s">
        <v>2</v>
      </c>
      <c r="C512" s="26">
        <f>1 * Fish!$M$20</f>
        <v>0</v>
      </c>
      <c r="J512" s="177" t="str">
        <f>ConcatenateWithSpaces($B$512:$H$512)</f>
        <v>Value: 0</v>
      </c>
    </row>
    <row r="513" spans="2:10" x14ac:dyDescent="0.2">
      <c r="B513" s="1" t="s">
        <v>519</v>
      </c>
      <c r="C513" s="26" t="str">
        <f>Fish!$N$7</f>
        <v>FractionDietFishBenthicCarnivore</v>
      </c>
      <c r="J513" s="177" t="str">
        <f>ConcatenateWithSpaces($B$513:$H$513)</f>
        <v>Property: FractionDietFishBenthicCarnivore</v>
      </c>
    </row>
    <row r="514" spans="2:10" x14ac:dyDescent="0.2">
      <c r="B514" s="1" t="s">
        <v>520</v>
      </c>
      <c r="J514" s="177" t="str">
        <f>ConcatenateWithSpaces($B$514:$H$514)</f>
        <v>Form: Constant</v>
      </c>
    </row>
    <row r="515" spans="2:10" x14ac:dyDescent="0.2">
      <c r="B515" s="1" t="s">
        <v>2</v>
      </c>
      <c r="C515" s="26">
        <f>1 * Fish!$N$20</f>
        <v>0</v>
      </c>
      <c r="J515" s="177" t="str">
        <f>ConcatenateWithSpaces($B$515:$H$515)</f>
        <v>Value: 0</v>
      </c>
    </row>
    <row r="516" spans="2:10" x14ac:dyDescent="0.2">
      <c r="B516" s="1" t="s">
        <v>519</v>
      </c>
      <c r="C516" s="26" t="str">
        <f>Fish!$O$7</f>
        <v>FractionDietFishCarnivore</v>
      </c>
      <c r="J516" s="177" t="str">
        <f>ConcatenateWithSpaces($B$516:$H$516)</f>
        <v>Property: FractionDietFishCarnivore</v>
      </c>
    </row>
    <row r="517" spans="2:10" x14ac:dyDescent="0.2">
      <c r="B517" s="1" t="s">
        <v>520</v>
      </c>
      <c r="J517" s="177" t="str">
        <f>ConcatenateWithSpaces($B$517:$H$517)</f>
        <v>Form: Constant</v>
      </c>
    </row>
    <row r="518" spans="2:10" x14ac:dyDescent="0.2">
      <c r="B518" s="1" t="s">
        <v>2</v>
      </c>
      <c r="C518" s="26">
        <f>1 * Fish!$O$20</f>
        <v>0</v>
      </c>
      <c r="J518" s="177" t="str">
        <f>ConcatenateWithSpaces($B$518:$H$518)</f>
        <v>Value: 0</v>
      </c>
    </row>
    <row r="519" spans="2:10" x14ac:dyDescent="0.2">
      <c r="J519" s="177" t="str">
        <f>ConcatenateWithSpaces($B$519:$H$519)</f>
        <v/>
      </c>
    </row>
    <row r="520" spans="2:10" x14ac:dyDescent="0.2">
      <c r="B520" s="1" t="s">
        <v>378</v>
      </c>
      <c r="C520" s="26" t="str">
        <f>Fish!$D$21</f>
        <v>Water Column Herbivore</v>
      </c>
      <c r="D520" s="1" t="s">
        <v>531</v>
      </c>
      <c r="E520" s="26" t="str">
        <f>Fish!$E$21 &amp; "_" &amp; Fish!$C$21</f>
        <v>SW_LakeMitchell</v>
      </c>
      <c r="J520" s="177" t="str">
        <f>ConcatenateWithSpaces($B$520:$H$520)</f>
        <v>Compartment: Water Column Herbivore in SW_LakeMitchell</v>
      </c>
    </row>
    <row r="521" spans="2:10" x14ac:dyDescent="0.2">
      <c r="B521" s="1" t="s">
        <v>532</v>
      </c>
      <c r="J521" s="177" t="str">
        <f>ConcatenateWithSpaces($B$521:$H$521)</f>
        <v>Property: BiomassPerArea_kg_m2</v>
      </c>
    </row>
    <row r="522" spans="2:10" x14ac:dyDescent="0.2">
      <c r="B522" s="1" t="s">
        <v>521</v>
      </c>
      <c r="C522" s="26" t="str">
        <f>IF(ISERROR(FIND(",", $C$523)), "Constant", "InputFromFile")</f>
        <v>Constant</v>
      </c>
      <c r="J522" s="177" t="str">
        <f>ConcatenateWithSpaces($B$522:$H$522)</f>
        <v>Form: Constant</v>
      </c>
    </row>
    <row r="523" spans="2:10" x14ac:dyDescent="0.2">
      <c r="B523" s="1" t="s">
        <v>2</v>
      </c>
      <c r="C523" s="26">
        <f>Fish!$P$21</f>
        <v>1.74E-3</v>
      </c>
      <c r="J523" s="177" t="str">
        <f>ConcatenateWithSpaces($B$523:$H$523)</f>
        <v>Value: 0.00174</v>
      </c>
    </row>
    <row r="524" spans="2:10" x14ac:dyDescent="0.2">
      <c r="B524" s="1" t="s">
        <v>533</v>
      </c>
      <c r="J524" s="177" t="str">
        <f>ConcatenateWithSpaces($B$524:$H$524)</f>
        <v>Property: BW</v>
      </c>
    </row>
    <row r="525" spans="2:10" x14ac:dyDescent="0.2">
      <c r="B525" s="1" t="s">
        <v>521</v>
      </c>
      <c r="C525" s="26" t="str">
        <f>IF(ISERROR(FIND(",", $C$526)), "Constant", "InputFromFile")</f>
        <v>Constant</v>
      </c>
      <c r="J525" s="177" t="str">
        <f>ConcatenateWithSpaces($B$525:$H$525)</f>
        <v>Form: Constant</v>
      </c>
    </row>
    <row r="526" spans="2:10" x14ac:dyDescent="0.2">
      <c r="B526" s="1" t="s">
        <v>2</v>
      </c>
      <c r="C526" s="26">
        <f>Fish!$R$21</f>
        <v>7.0000000000000007E-2</v>
      </c>
      <c r="J526" s="177" t="str">
        <f>ConcatenateWithSpaces($B$526:$H$526)</f>
        <v>Value: 0.07</v>
      </c>
    </row>
    <row r="527" spans="2:10" x14ac:dyDescent="0.2">
      <c r="B527" s="1" t="s">
        <v>519</v>
      </c>
      <c r="C527" s="26" t="str">
        <f>Fish!$G$7</f>
        <v>FractionDietAlgae</v>
      </c>
      <c r="J527" s="177" t="str">
        <f>ConcatenateWithSpaces($B$527:$H$527)</f>
        <v>Property: FractionDietAlgae</v>
      </c>
    </row>
    <row r="528" spans="2:10" x14ac:dyDescent="0.2">
      <c r="B528" s="1" t="s">
        <v>520</v>
      </c>
      <c r="J528" s="177" t="str">
        <f>ConcatenateWithSpaces($B$528:$H$528)</f>
        <v>Form: Constant</v>
      </c>
    </row>
    <row r="529" spans="2:10" x14ac:dyDescent="0.2">
      <c r="B529" s="1" t="s">
        <v>2</v>
      </c>
      <c r="C529" s="26">
        <f>1 * Fish!$G$21</f>
        <v>0</v>
      </c>
      <c r="J529" s="177" t="str">
        <f>ConcatenateWithSpaces($B$529:$H$529)</f>
        <v>Value: 0</v>
      </c>
    </row>
    <row r="530" spans="2:10" x14ac:dyDescent="0.2">
      <c r="B530" s="1" t="s">
        <v>519</v>
      </c>
      <c r="C530" s="26" t="str">
        <f>Fish!$H$7</f>
        <v>FractionDietMacrophyte</v>
      </c>
      <c r="J530" s="177" t="str">
        <f>ConcatenateWithSpaces($B$530:$H$530)</f>
        <v>Property: FractionDietMacrophyte</v>
      </c>
    </row>
    <row r="531" spans="2:10" x14ac:dyDescent="0.2">
      <c r="B531" s="1" t="s">
        <v>520</v>
      </c>
      <c r="J531" s="177" t="str">
        <f>ConcatenateWithSpaces($B$531:$H$531)</f>
        <v>Form: Constant</v>
      </c>
    </row>
    <row r="532" spans="2:10" x14ac:dyDescent="0.2">
      <c r="B532" s="1" t="s">
        <v>2</v>
      </c>
      <c r="C532" s="26">
        <f>1 * Fish!$H$21</f>
        <v>0</v>
      </c>
      <c r="J532" s="177" t="str">
        <f>ConcatenateWithSpaces($B$532:$H$532)</f>
        <v>Value: 0</v>
      </c>
    </row>
    <row r="533" spans="2:10" x14ac:dyDescent="0.2">
      <c r="B533" s="1" t="s">
        <v>519</v>
      </c>
      <c r="C533" s="26" t="str">
        <f>Fish!$I$7</f>
        <v>FractionDietZooplankton</v>
      </c>
      <c r="J533" s="177" t="str">
        <f>ConcatenateWithSpaces($B$533:$H$533)</f>
        <v>Property: FractionDietZooplankton</v>
      </c>
    </row>
    <row r="534" spans="2:10" x14ac:dyDescent="0.2">
      <c r="B534" s="1" t="s">
        <v>520</v>
      </c>
      <c r="J534" s="177" t="str">
        <f>ConcatenateWithSpaces($B$534:$H$534)</f>
        <v>Form: Constant</v>
      </c>
    </row>
    <row r="535" spans="2:10" x14ac:dyDescent="0.2">
      <c r="B535" s="1" t="s">
        <v>2</v>
      </c>
      <c r="C535" s="26">
        <f>1 * Fish!$I$21</f>
        <v>1</v>
      </c>
      <c r="J535" s="177" t="str">
        <f>ConcatenateWithSpaces($B$535:$H$535)</f>
        <v>Value: 1</v>
      </c>
    </row>
    <row r="536" spans="2:10" x14ac:dyDescent="0.2">
      <c r="B536" s="1" t="s">
        <v>519</v>
      </c>
      <c r="C536" s="26" t="str">
        <f>Fish!$J$7</f>
        <v>FractionDietBenthicInvertebrate</v>
      </c>
      <c r="J536" s="177" t="str">
        <f>ConcatenateWithSpaces($B$536:$H$536)</f>
        <v>Property: FractionDietBenthicInvertebrate</v>
      </c>
    </row>
    <row r="537" spans="2:10" x14ac:dyDescent="0.2">
      <c r="B537" s="1" t="s">
        <v>520</v>
      </c>
      <c r="J537" s="177" t="str">
        <f>ConcatenateWithSpaces($B$537:$H$537)</f>
        <v>Form: Constant</v>
      </c>
    </row>
    <row r="538" spans="2:10" x14ac:dyDescent="0.2">
      <c r="B538" s="1" t="s">
        <v>2</v>
      </c>
      <c r="C538" s="26">
        <f>1 * Fish!$J$21</f>
        <v>0</v>
      </c>
      <c r="J538" s="177" t="str">
        <f>ConcatenateWithSpaces($B$538:$H$538)</f>
        <v>Value: 0</v>
      </c>
    </row>
    <row r="539" spans="2:10" x14ac:dyDescent="0.2">
      <c r="B539" s="1" t="s">
        <v>519</v>
      </c>
      <c r="C539" s="26" t="str">
        <f>Fish!$K$7</f>
        <v>FractionDietFishHerbivore</v>
      </c>
      <c r="J539" s="177" t="str">
        <f>ConcatenateWithSpaces($B$539:$H$539)</f>
        <v>Property: FractionDietFishHerbivore</v>
      </c>
    </row>
    <row r="540" spans="2:10" x14ac:dyDescent="0.2">
      <c r="B540" s="1" t="s">
        <v>520</v>
      </c>
      <c r="J540" s="177" t="str">
        <f>ConcatenateWithSpaces($B$540:$H$540)</f>
        <v>Form: Constant</v>
      </c>
    </row>
    <row r="541" spans="2:10" x14ac:dyDescent="0.2">
      <c r="B541" s="1" t="s">
        <v>2</v>
      </c>
      <c r="C541" s="26">
        <f>1 * Fish!$K$21</f>
        <v>0</v>
      </c>
      <c r="J541" s="177" t="str">
        <f>ConcatenateWithSpaces($B$541:$H$541)</f>
        <v>Value: 0</v>
      </c>
    </row>
    <row r="542" spans="2:10" x14ac:dyDescent="0.2">
      <c r="B542" s="1" t="s">
        <v>519</v>
      </c>
      <c r="C542" s="26" t="str">
        <f>Fish!$L$7</f>
        <v>FractionDietFishBenthicOmnivore</v>
      </c>
      <c r="J542" s="177" t="str">
        <f>ConcatenateWithSpaces($B$542:$H$542)</f>
        <v>Property: FractionDietFishBenthicOmnivore</v>
      </c>
    </row>
    <row r="543" spans="2:10" x14ac:dyDescent="0.2">
      <c r="B543" s="1" t="s">
        <v>520</v>
      </c>
      <c r="J543" s="177" t="str">
        <f>ConcatenateWithSpaces($B$543:$H$543)</f>
        <v>Form: Constant</v>
      </c>
    </row>
    <row r="544" spans="2:10" x14ac:dyDescent="0.2">
      <c r="B544" s="1" t="s">
        <v>2</v>
      </c>
      <c r="C544" s="26">
        <f>1 * Fish!$L$21</f>
        <v>0</v>
      </c>
      <c r="J544" s="177" t="str">
        <f>ConcatenateWithSpaces($B$544:$H$544)</f>
        <v>Value: 0</v>
      </c>
    </row>
    <row r="545" spans="2:10" x14ac:dyDescent="0.2">
      <c r="B545" s="1" t="s">
        <v>519</v>
      </c>
      <c r="C545" s="26" t="str">
        <f>Fish!$M$7</f>
        <v>FractionDietFishOmnivore</v>
      </c>
      <c r="J545" s="177" t="str">
        <f>ConcatenateWithSpaces($B$545:$H$545)</f>
        <v>Property: FractionDietFishOmnivore</v>
      </c>
    </row>
    <row r="546" spans="2:10" x14ac:dyDescent="0.2">
      <c r="B546" s="1" t="s">
        <v>520</v>
      </c>
      <c r="J546" s="177" t="str">
        <f>ConcatenateWithSpaces($B$546:$H$546)</f>
        <v>Form: Constant</v>
      </c>
    </row>
    <row r="547" spans="2:10" x14ac:dyDescent="0.2">
      <c r="B547" s="1" t="s">
        <v>2</v>
      </c>
      <c r="C547" s="26">
        <f>1 * Fish!$M$21</f>
        <v>0</v>
      </c>
      <c r="J547" s="177" t="str">
        <f>ConcatenateWithSpaces($B$547:$H$547)</f>
        <v>Value: 0</v>
      </c>
    </row>
    <row r="548" spans="2:10" x14ac:dyDescent="0.2">
      <c r="B548" s="1" t="s">
        <v>519</v>
      </c>
      <c r="C548" s="26" t="str">
        <f>Fish!$N$7</f>
        <v>FractionDietFishBenthicCarnivore</v>
      </c>
      <c r="J548" s="177" t="str">
        <f>ConcatenateWithSpaces($B$548:$H$548)</f>
        <v>Property: FractionDietFishBenthicCarnivore</v>
      </c>
    </row>
    <row r="549" spans="2:10" x14ac:dyDescent="0.2">
      <c r="B549" s="1" t="s">
        <v>520</v>
      </c>
      <c r="J549" s="177" t="str">
        <f>ConcatenateWithSpaces($B$549:$H$549)</f>
        <v>Form: Constant</v>
      </c>
    </row>
    <row r="550" spans="2:10" x14ac:dyDescent="0.2">
      <c r="B550" s="1" t="s">
        <v>2</v>
      </c>
      <c r="C550" s="26">
        <f>1 * Fish!$N$21</f>
        <v>0</v>
      </c>
      <c r="J550" s="177" t="str">
        <f>ConcatenateWithSpaces($B$550:$H$550)</f>
        <v>Value: 0</v>
      </c>
    </row>
    <row r="551" spans="2:10" x14ac:dyDescent="0.2">
      <c r="B551" s="1" t="s">
        <v>519</v>
      </c>
      <c r="C551" s="26" t="str">
        <f>Fish!$O$7</f>
        <v>FractionDietFishCarnivore</v>
      </c>
      <c r="J551" s="177" t="str">
        <f>ConcatenateWithSpaces($B$551:$H$551)</f>
        <v>Property: FractionDietFishCarnivore</v>
      </c>
    </row>
    <row r="552" spans="2:10" x14ac:dyDescent="0.2">
      <c r="B552" s="1" t="s">
        <v>520</v>
      </c>
      <c r="J552" s="177" t="str">
        <f>ConcatenateWithSpaces($B$552:$H$552)</f>
        <v>Form: Constant</v>
      </c>
    </row>
    <row r="553" spans="2:10" x14ac:dyDescent="0.2">
      <c r="B553" s="1" t="s">
        <v>2</v>
      </c>
      <c r="C553" s="26">
        <f>1 * Fish!$O$21</f>
        <v>0</v>
      </c>
      <c r="J553" s="177" t="str">
        <f>ConcatenateWithSpaces($B$553:$H$553)</f>
        <v>Value: 0</v>
      </c>
    </row>
    <row r="554" spans="2:10" x14ac:dyDescent="0.2">
      <c r="J554" s="177" t="str">
        <f>ConcatenateWithSpaces($B$554:$H$554)</f>
        <v/>
      </c>
    </row>
    <row r="555" spans="2:10" x14ac:dyDescent="0.2">
      <c r="B555" s="1" t="s">
        <v>378</v>
      </c>
      <c r="C555" s="26" t="str">
        <f>Fish!$D$22</f>
        <v>Benthic Omnivore</v>
      </c>
      <c r="D555" s="1" t="s">
        <v>531</v>
      </c>
      <c r="E555" s="26" t="str">
        <f>Fish!$E$22 &amp; "_" &amp; Fish!$C$22</f>
        <v>Sed_LakeMitchell</v>
      </c>
      <c r="J555" s="177" t="str">
        <f>ConcatenateWithSpaces($B$555:$H$555)</f>
        <v>Compartment: Benthic Omnivore in Sed_LakeMitchell</v>
      </c>
    </row>
    <row r="556" spans="2:10" x14ac:dyDescent="0.2">
      <c r="B556" s="1" t="s">
        <v>532</v>
      </c>
      <c r="J556" s="177" t="str">
        <f>ConcatenateWithSpaces($B$556:$H$556)</f>
        <v>Property: BiomassPerArea_kg_m2</v>
      </c>
    </row>
    <row r="557" spans="2:10" x14ac:dyDescent="0.2">
      <c r="B557" s="1" t="s">
        <v>521</v>
      </c>
      <c r="C557" s="26" t="str">
        <f>IF(ISERROR(FIND(",", $C$558)), "Constant", "InputFromFile")</f>
        <v>Constant</v>
      </c>
      <c r="J557" s="177" t="str">
        <f>ConcatenateWithSpaces($B$557:$H$557)</f>
        <v>Form: Constant</v>
      </c>
    </row>
    <row r="558" spans="2:10" x14ac:dyDescent="0.2">
      <c r="B558" s="1" t="s">
        <v>2</v>
      </c>
      <c r="C558" s="26">
        <f>Fish!$P$22</f>
        <v>1.4499999999999999E-3</v>
      </c>
      <c r="J558" s="177" t="str">
        <f>ConcatenateWithSpaces($B$558:$H$558)</f>
        <v>Value: 0.00145</v>
      </c>
    </row>
    <row r="559" spans="2:10" x14ac:dyDescent="0.2">
      <c r="B559" s="1" t="s">
        <v>533</v>
      </c>
      <c r="J559" s="177" t="str">
        <f>ConcatenateWithSpaces($B$559:$H$559)</f>
        <v>Property: BW</v>
      </c>
    </row>
    <row r="560" spans="2:10" x14ac:dyDescent="0.2">
      <c r="B560" s="1" t="s">
        <v>521</v>
      </c>
      <c r="C560" s="26" t="str">
        <f>IF(ISERROR(FIND(",", $C$561)), "Constant", "InputFromFile")</f>
        <v>Constant</v>
      </c>
      <c r="J560" s="177" t="str">
        <f>ConcatenateWithSpaces($B$560:$H$560)</f>
        <v>Form: Constant</v>
      </c>
    </row>
    <row r="561" spans="2:10" x14ac:dyDescent="0.2">
      <c r="B561" s="1" t="s">
        <v>2</v>
      </c>
      <c r="C561" s="179">
        <f>Fish!$R$22</f>
        <v>0.75</v>
      </c>
      <c r="J561" s="177" t="str">
        <f>ConcatenateWithSpaces($B$561:$H$561)</f>
        <v>Value: 0.75</v>
      </c>
    </row>
    <row r="562" spans="2:10" x14ac:dyDescent="0.2">
      <c r="B562" s="1" t="s">
        <v>519</v>
      </c>
      <c r="C562" s="26" t="str">
        <f>Fish!$G$7</f>
        <v>FractionDietAlgae</v>
      </c>
      <c r="J562" s="177" t="str">
        <f>ConcatenateWithSpaces($B$562:$H$562)</f>
        <v>Property: FractionDietAlgae</v>
      </c>
    </row>
    <row r="563" spans="2:10" x14ac:dyDescent="0.2">
      <c r="B563" s="1" t="s">
        <v>520</v>
      </c>
      <c r="J563" s="177" t="str">
        <f>ConcatenateWithSpaces($B$563:$H$563)</f>
        <v>Form: Constant</v>
      </c>
    </row>
    <row r="564" spans="2:10" x14ac:dyDescent="0.2">
      <c r="B564" s="1" t="s">
        <v>2</v>
      </c>
      <c r="C564" s="26">
        <f>1 * Fish!$G$22</f>
        <v>0</v>
      </c>
      <c r="J564" s="177" t="str">
        <f>ConcatenateWithSpaces($B$564:$H$564)</f>
        <v>Value: 0</v>
      </c>
    </row>
    <row r="565" spans="2:10" x14ac:dyDescent="0.2">
      <c r="B565" s="1" t="s">
        <v>519</v>
      </c>
      <c r="C565" s="26" t="str">
        <f>Fish!$H$7</f>
        <v>FractionDietMacrophyte</v>
      </c>
      <c r="J565" s="177" t="str">
        <f>ConcatenateWithSpaces($B$565:$H$565)</f>
        <v>Property: FractionDietMacrophyte</v>
      </c>
    </row>
    <row r="566" spans="2:10" x14ac:dyDescent="0.2">
      <c r="B566" s="1" t="s">
        <v>520</v>
      </c>
      <c r="J566" s="177" t="str">
        <f>ConcatenateWithSpaces($B$566:$H$566)</f>
        <v>Form: Constant</v>
      </c>
    </row>
    <row r="567" spans="2:10" x14ac:dyDescent="0.2">
      <c r="B567" s="1" t="s">
        <v>2</v>
      </c>
      <c r="C567" s="26">
        <f>1 * Fish!$H$22</f>
        <v>0</v>
      </c>
      <c r="J567" s="177" t="str">
        <f>ConcatenateWithSpaces($B$567:$H$567)</f>
        <v>Value: 0</v>
      </c>
    </row>
    <row r="568" spans="2:10" x14ac:dyDescent="0.2">
      <c r="B568" s="1" t="s">
        <v>519</v>
      </c>
      <c r="C568" s="26" t="str">
        <f>Fish!$I$7</f>
        <v>FractionDietZooplankton</v>
      </c>
      <c r="J568" s="177" t="str">
        <f>ConcatenateWithSpaces($B$568:$H$568)</f>
        <v>Property: FractionDietZooplankton</v>
      </c>
    </row>
    <row r="569" spans="2:10" x14ac:dyDescent="0.2">
      <c r="B569" s="1" t="s">
        <v>520</v>
      </c>
      <c r="J569" s="177" t="str">
        <f>ConcatenateWithSpaces($B$569:$H$569)</f>
        <v>Form: Constant</v>
      </c>
    </row>
    <row r="570" spans="2:10" x14ac:dyDescent="0.2">
      <c r="B570" s="1" t="s">
        <v>2</v>
      </c>
      <c r="C570" s="26">
        <f>1 * Fish!$I$22</f>
        <v>0</v>
      </c>
      <c r="J570" s="177" t="str">
        <f>ConcatenateWithSpaces($B$570:$H$570)</f>
        <v>Value: 0</v>
      </c>
    </row>
    <row r="571" spans="2:10" x14ac:dyDescent="0.2">
      <c r="B571" s="1" t="s">
        <v>519</v>
      </c>
      <c r="C571" s="26" t="str">
        <f>Fish!$J$7</f>
        <v>FractionDietBenthicInvertebrate</v>
      </c>
      <c r="J571" s="177" t="str">
        <f>ConcatenateWithSpaces($B$571:$H$571)</f>
        <v>Property: FractionDietBenthicInvertebrate</v>
      </c>
    </row>
    <row r="572" spans="2:10" x14ac:dyDescent="0.2">
      <c r="B572" s="1" t="s">
        <v>520</v>
      </c>
      <c r="J572" s="177" t="str">
        <f>ConcatenateWithSpaces($B$572:$H$572)</f>
        <v>Form: Constant</v>
      </c>
    </row>
    <row r="573" spans="2:10" x14ac:dyDescent="0.2">
      <c r="B573" s="1" t="s">
        <v>2</v>
      </c>
      <c r="C573" s="26">
        <f>1 * Fish!$J$22</f>
        <v>1</v>
      </c>
      <c r="J573" s="177" t="str">
        <f>ConcatenateWithSpaces($B$573:$H$573)</f>
        <v>Value: 1</v>
      </c>
    </row>
    <row r="574" spans="2:10" x14ac:dyDescent="0.2">
      <c r="B574" s="1" t="s">
        <v>519</v>
      </c>
      <c r="C574" s="26" t="str">
        <f>Fish!$K$7</f>
        <v>FractionDietFishHerbivore</v>
      </c>
      <c r="J574" s="177" t="str">
        <f>ConcatenateWithSpaces($B$574:$H$574)</f>
        <v>Property: FractionDietFishHerbivore</v>
      </c>
    </row>
    <row r="575" spans="2:10" x14ac:dyDescent="0.2">
      <c r="B575" s="1" t="s">
        <v>520</v>
      </c>
      <c r="J575" s="177" t="str">
        <f>ConcatenateWithSpaces($B$575:$H$575)</f>
        <v>Form: Constant</v>
      </c>
    </row>
    <row r="576" spans="2:10" x14ac:dyDescent="0.2">
      <c r="B576" s="1" t="s">
        <v>2</v>
      </c>
      <c r="C576" s="26">
        <f>1 * Fish!$K$22</f>
        <v>0</v>
      </c>
      <c r="J576" s="177" t="str">
        <f>ConcatenateWithSpaces($B$576:$H$576)</f>
        <v>Value: 0</v>
      </c>
    </row>
    <row r="577" spans="2:10" x14ac:dyDescent="0.2">
      <c r="B577" s="1" t="s">
        <v>519</v>
      </c>
      <c r="C577" s="26" t="str">
        <f>Fish!$L$7</f>
        <v>FractionDietFishBenthicOmnivore</v>
      </c>
      <c r="J577" s="177" t="str">
        <f>ConcatenateWithSpaces($B$577:$H$577)</f>
        <v>Property: FractionDietFishBenthicOmnivore</v>
      </c>
    </row>
    <row r="578" spans="2:10" x14ac:dyDescent="0.2">
      <c r="B578" s="1" t="s">
        <v>520</v>
      </c>
      <c r="J578" s="177" t="str">
        <f>ConcatenateWithSpaces($B$578:$H$578)</f>
        <v>Form: Constant</v>
      </c>
    </row>
    <row r="579" spans="2:10" x14ac:dyDescent="0.2">
      <c r="B579" s="1" t="s">
        <v>2</v>
      </c>
      <c r="C579" s="26">
        <f>1 * Fish!$L$22</f>
        <v>0</v>
      </c>
      <c r="J579" s="177" t="str">
        <f>ConcatenateWithSpaces($B$579:$H$579)</f>
        <v>Value: 0</v>
      </c>
    </row>
    <row r="580" spans="2:10" x14ac:dyDescent="0.2">
      <c r="B580" s="1" t="s">
        <v>519</v>
      </c>
      <c r="C580" s="26" t="str">
        <f>Fish!$M$7</f>
        <v>FractionDietFishOmnivore</v>
      </c>
      <c r="J580" s="177" t="str">
        <f>ConcatenateWithSpaces($B$580:$H$580)</f>
        <v>Property: FractionDietFishOmnivore</v>
      </c>
    </row>
    <row r="581" spans="2:10" x14ac:dyDescent="0.2">
      <c r="B581" s="1" t="s">
        <v>520</v>
      </c>
      <c r="J581" s="177" t="str">
        <f>ConcatenateWithSpaces($B$581:$H$581)</f>
        <v>Form: Constant</v>
      </c>
    </row>
    <row r="582" spans="2:10" x14ac:dyDescent="0.2">
      <c r="B582" s="1" t="s">
        <v>2</v>
      </c>
      <c r="C582" s="26">
        <f>1 * Fish!$M$22</f>
        <v>0</v>
      </c>
      <c r="J582" s="177" t="str">
        <f>ConcatenateWithSpaces($B$582:$H$582)</f>
        <v>Value: 0</v>
      </c>
    </row>
    <row r="583" spans="2:10" x14ac:dyDescent="0.2">
      <c r="B583" s="1" t="s">
        <v>519</v>
      </c>
      <c r="C583" s="26" t="str">
        <f>Fish!$N$7</f>
        <v>FractionDietFishBenthicCarnivore</v>
      </c>
      <c r="J583" s="177" t="str">
        <f>ConcatenateWithSpaces($B$583:$H$583)</f>
        <v>Property: FractionDietFishBenthicCarnivore</v>
      </c>
    </row>
    <row r="584" spans="2:10" x14ac:dyDescent="0.2">
      <c r="B584" s="1" t="s">
        <v>520</v>
      </c>
      <c r="J584" s="177" t="str">
        <f>ConcatenateWithSpaces($B$584:$H$584)</f>
        <v>Form: Constant</v>
      </c>
    </row>
    <row r="585" spans="2:10" x14ac:dyDescent="0.2">
      <c r="B585" s="1" t="s">
        <v>2</v>
      </c>
      <c r="C585" s="26">
        <f>1 * Fish!$N$22</f>
        <v>0</v>
      </c>
      <c r="J585" s="177" t="str">
        <f>ConcatenateWithSpaces($B$585:$H$585)</f>
        <v>Value: 0</v>
      </c>
    </row>
    <row r="586" spans="2:10" x14ac:dyDescent="0.2">
      <c r="B586" s="1" t="s">
        <v>519</v>
      </c>
      <c r="C586" s="26" t="str">
        <f>Fish!$O$7</f>
        <v>FractionDietFishCarnivore</v>
      </c>
      <c r="J586" s="177" t="str">
        <f>ConcatenateWithSpaces($B$586:$H$586)</f>
        <v>Property: FractionDietFishCarnivore</v>
      </c>
    </row>
    <row r="587" spans="2:10" x14ac:dyDescent="0.2">
      <c r="B587" s="1" t="s">
        <v>520</v>
      </c>
      <c r="J587" s="177" t="str">
        <f>ConcatenateWithSpaces($B$587:$H$587)</f>
        <v>Form: Constant</v>
      </c>
    </row>
    <row r="588" spans="2:10" x14ac:dyDescent="0.2">
      <c r="B588" s="1" t="s">
        <v>2</v>
      </c>
      <c r="C588" s="26">
        <f>1 * Fish!$O$22</f>
        <v>0</v>
      </c>
      <c r="J588" s="177" t="str">
        <f>ConcatenateWithSpaces($B$588:$H$588)</f>
        <v>Value: 0</v>
      </c>
    </row>
    <row r="589" spans="2:10" x14ac:dyDescent="0.2">
      <c r="J589" s="177" t="str">
        <f>ConcatenateWithSpaces($B$589:$H$589)</f>
        <v/>
      </c>
    </row>
    <row r="590" spans="2:10" x14ac:dyDescent="0.2">
      <c r="B590" s="1" t="s">
        <v>378</v>
      </c>
      <c r="C590" s="26" t="str">
        <f>Fish!$D$23</f>
        <v>Water Column Omnivore</v>
      </c>
      <c r="D590" s="1" t="s">
        <v>531</v>
      </c>
      <c r="E590" s="26" t="str">
        <f>Fish!$E$23 &amp; "_" &amp; Fish!$C$23</f>
        <v>SW_LakeMitchell</v>
      </c>
      <c r="J590" s="177" t="str">
        <f>ConcatenateWithSpaces($B$590:$H$590)</f>
        <v>Compartment: Water Column Omnivore in SW_LakeMitchell</v>
      </c>
    </row>
    <row r="591" spans="2:10" x14ac:dyDescent="0.2">
      <c r="B591" s="1" t="s">
        <v>532</v>
      </c>
      <c r="J591" s="177" t="str">
        <f>ConcatenateWithSpaces($B$591:$H$591)</f>
        <v>Property: BiomassPerArea_kg_m2</v>
      </c>
    </row>
    <row r="592" spans="2:10" x14ac:dyDescent="0.2">
      <c r="B592" s="1" t="s">
        <v>521</v>
      </c>
      <c r="C592" s="26" t="str">
        <f>IF(ISERROR(FIND(",", $C$593)), "Constant", "InputFromFile")</f>
        <v>Constant</v>
      </c>
      <c r="J592" s="177" t="str">
        <f>ConcatenateWithSpaces($B$592:$H$592)</f>
        <v>Form: Constant</v>
      </c>
    </row>
    <row r="593" spans="2:10" x14ac:dyDescent="0.2">
      <c r="B593" s="1" t="s">
        <v>2</v>
      </c>
      <c r="C593" s="26">
        <f>Fish!$P$23</f>
        <v>1.4499999999999999E-3</v>
      </c>
      <c r="J593" s="177" t="str">
        <f>ConcatenateWithSpaces($B$593:$H$593)</f>
        <v>Value: 0.00145</v>
      </c>
    </row>
    <row r="594" spans="2:10" x14ac:dyDescent="0.2">
      <c r="B594" s="1" t="s">
        <v>533</v>
      </c>
      <c r="J594" s="177" t="str">
        <f>ConcatenateWithSpaces($B$594:$H$594)</f>
        <v>Property: BW</v>
      </c>
    </row>
    <row r="595" spans="2:10" x14ac:dyDescent="0.2">
      <c r="B595" s="1" t="s">
        <v>521</v>
      </c>
      <c r="C595" s="26" t="str">
        <f>IF(ISERROR(FIND(",", $C$596)), "Constant", "InputFromFile")</f>
        <v>Constant</v>
      </c>
      <c r="J595" s="177" t="str">
        <f>ConcatenateWithSpaces($B$595:$H$595)</f>
        <v>Form: Constant</v>
      </c>
    </row>
    <row r="596" spans="2:10" x14ac:dyDescent="0.2">
      <c r="B596" s="1" t="s">
        <v>2</v>
      </c>
      <c r="C596" s="179">
        <f>Fish!$R$23</f>
        <v>0.5</v>
      </c>
      <c r="J596" s="177" t="str">
        <f>ConcatenateWithSpaces($B$596:$H$596)</f>
        <v>Value: 0.5</v>
      </c>
    </row>
    <row r="597" spans="2:10" x14ac:dyDescent="0.2">
      <c r="B597" s="1" t="s">
        <v>519</v>
      </c>
      <c r="C597" s="26" t="str">
        <f>Fish!$G$7</f>
        <v>FractionDietAlgae</v>
      </c>
      <c r="J597" s="177" t="str">
        <f>ConcatenateWithSpaces($B$597:$H$597)</f>
        <v>Property: FractionDietAlgae</v>
      </c>
    </row>
    <row r="598" spans="2:10" x14ac:dyDescent="0.2">
      <c r="B598" s="1" t="s">
        <v>520</v>
      </c>
      <c r="J598" s="177" t="str">
        <f>ConcatenateWithSpaces($B$598:$H$598)</f>
        <v>Form: Constant</v>
      </c>
    </row>
    <row r="599" spans="2:10" x14ac:dyDescent="0.2">
      <c r="B599" s="1" t="s">
        <v>2</v>
      </c>
      <c r="C599" s="26">
        <f>1 * Fish!$G$23</f>
        <v>0</v>
      </c>
      <c r="J599" s="177" t="str">
        <f>ConcatenateWithSpaces($B$599:$H$599)</f>
        <v>Value: 0</v>
      </c>
    </row>
    <row r="600" spans="2:10" x14ac:dyDescent="0.2">
      <c r="B600" s="1" t="s">
        <v>519</v>
      </c>
      <c r="C600" s="26" t="str">
        <f>Fish!$H$7</f>
        <v>FractionDietMacrophyte</v>
      </c>
      <c r="J600" s="177" t="str">
        <f>ConcatenateWithSpaces($B$600:$H$600)</f>
        <v>Property: FractionDietMacrophyte</v>
      </c>
    </row>
    <row r="601" spans="2:10" x14ac:dyDescent="0.2">
      <c r="B601" s="1" t="s">
        <v>520</v>
      </c>
      <c r="J601" s="177" t="str">
        <f>ConcatenateWithSpaces($B$601:$H$601)</f>
        <v>Form: Constant</v>
      </c>
    </row>
    <row r="602" spans="2:10" x14ac:dyDescent="0.2">
      <c r="B602" s="1" t="s">
        <v>2</v>
      </c>
      <c r="C602" s="26">
        <f>1 * Fish!$H$23</f>
        <v>0</v>
      </c>
      <c r="J602" s="177" t="str">
        <f>ConcatenateWithSpaces($B$602:$H$602)</f>
        <v>Value: 0</v>
      </c>
    </row>
    <row r="603" spans="2:10" x14ac:dyDescent="0.2">
      <c r="B603" s="1" t="s">
        <v>519</v>
      </c>
      <c r="C603" s="26" t="str">
        <f>Fish!$I$7</f>
        <v>FractionDietZooplankton</v>
      </c>
      <c r="J603" s="177" t="str">
        <f>ConcatenateWithSpaces($B$603:$H$603)</f>
        <v>Property: FractionDietZooplankton</v>
      </c>
    </row>
    <row r="604" spans="2:10" x14ac:dyDescent="0.2">
      <c r="B604" s="1" t="s">
        <v>520</v>
      </c>
      <c r="J604" s="177" t="str">
        <f>ConcatenateWithSpaces($B$604:$H$604)</f>
        <v>Form: Constant</v>
      </c>
    </row>
    <row r="605" spans="2:10" x14ac:dyDescent="0.2">
      <c r="B605" s="1" t="s">
        <v>2</v>
      </c>
      <c r="C605" s="26">
        <f>1 * Fish!$I$23</f>
        <v>0</v>
      </c>
      <c r="J605" s="177" t="str">
        <f>ConcatenateWithSpaces($B$605:$H$605)</f>
        <v>Value: 0</v>
      </c>
    </row>
    <row r="606" spans="2:10" x14ac:dyDescent="0.2">
      <c r="B606" s="1" t="s">
        <v>519</v>
      </c>
      <c r="C606" s="26" t="str">
        <f>Fish!$J$7</f>
        <v>FractionDietBenthicInvertebrate</v>
      </c>
      <c r="J606" s="177" t="str">
        <f>ConcatenateWithSpaces($B$606:$H$606)</f>
        <v>Property: FractionDietBenthicInvertebrate</v>
      </c>
    </row>
    <row r="607" spans="2:10" x14ac:dyDescent="0.2">
      <c r="B607" s="1" t="s">
        <v>520</v>
      </c>
      <c r="J607" s="177" t="str">
        <f>ConcatenateWithSpaces($B$607:$H$607)</f>
        <v>Form: Constant</v>
      </c>
    </row>
    <row r="608" spans="2:10" x14ac:dyDescent="0.2">
      <c r="B608" s="1" t="s">
        <v>2</v>
      </c>
      <c r="C608" s="26">
        <f>1 * Fish!$J$23</f>
        <v>0.5</v>
      </c>
      <c r="J608" s="177" t="str">
        <f>ConcatenateWithSpaces($B$608:$H$608)</f>
        <v>Value: 0.5</v>
      </c>
    </row>
    <row r="609" spans="2:10" x14ac:dyDescent="0.2">
      <c r="B609" s="1" t="s">
        <v>519</v>
      </c>
      <c r="C609" s="26" t="str">
        <f>Fish!$K$7</f>
        <v>FractionDietFishHerbivore</v>
      </c>
      <c r="J609" s="177" t="str">
        <f>ConcatenateWithSpaces($B$609:$H$609)</f>
        <v>Property: FractionDietFishHerbivore</v>
      </c>
    </row>
    <row r="610" spans="2:10" x14ac:dyDescent="0.2">
      <c r="B610" s="1" t="s">
        <v>520</v>
      </c>
      <c r="J610" s="177" t="str">
        <f>ConcatenateWithSpaces($B$610:$H$610)</f>
        <v>Form: Constant</v>
      </c>
    </row>
    <row r="611" spans="2:10" x14ac:dyDescent="0.2">
      <c r="B611" s="1" t="s">
        <v>2</v>
      </c>
      <c r="C611" s="26">
        <f>1 * Fish!$K$23</f>
        <v>0.5</v>
      </c>
      <c r="J611" s="177" t="str">
        <f>ConcatenateWithSpaces($B$611:$H$611)</f>
        <v>Value: 0.5</v>
      </c>
    </row>
    <row r="612" spans="2:10" x14ac:dyDescent="0.2">
      <c r="B612" s="1" t="s">
        <v>519</v>
      </c>
      <c r="C612" s="26" t="str">
        <f>Fish!$L$7</f>
        <v>FractionDietFishBenthicOmnivore</v>
      </c>
      <c r="J612" s="177" t="str">
        <f>ConcatenateWithSpaces($B$612:$H$612)</f>
        <v>Property: FractionDietFishBenthicOmnivore</v>
      </c>
    </row>
    <row r="613" spans="2:10" x14ac:dyDescent="0.2">
      <c r="B613" s="1" t="s">
        <v>520</v>
      </c>
      <c r="J613" s="177" t="str">
        <f>ConcatenateWithSpaces($B$613:$H$613)</f>
        <v>Form: Constant</v>
      </c>
    </row>
    <row r="614" spans="2:10" x14ac:dyDescent="0.2">
      <c r="B614" s="1" t="s">
        <v>2</v>
      </c>
      <c r="C614" s="26">
        <f>1 * Fish!$L$23</f>
        <v>0</v>
      </c>
      <c r="J614" s="177" t="str">
        <f>ConcatenateWithSpaces($B$614:$H$614)</f>
        <v>Value: 0</v>
      </c>
    </row>
    <row r="615" spans="2:10" x14ac:dyDescent="0.2">
      <c r="B615" s="1" t="s">
        <v>519</v>
      </c>
      <c r="C615" s="26" t="str">
        <f>Fish!$M$7</f>
        <v>FractionDietFishOmnivore</v>
      </c>
      <c r="J615" s="177" t="str">
        <f>ConcatenateWithSpaces($B$615:$H$615)</f>
        <v>Property: FractionDietFishOmnivore</v>
      </c>
    </row>
    <row r="616" spans="2:10" x14ac:dyDescent="0.2">
      <c r="B616" s="1" t="s">
        <v>520</v>
      </c>
      <c r="J616" s="177" t="str">
        <f>ConcatenateWithSpaces($B$616:$H$616)</f>
        <v>Form: Constant</v>
      </c>
    </row>
    <row r="617" spans="2:10" x14ac:dyDescent="0.2">
      <c r="B617" s="1" t="s">
        <v>2</v>
      </c>
      <c r="C617" s="26">
        <f>1 * Fish!$M$23</f>
        <v>0</v>
      </c>
      <c r="J617" s="177" t="str">
        <f>ConcatenateWithSpaces($B$617:$H$617)</f>
        <v>Value: 0</v>
      </c>
    </row>
    <row r="618" spans="2:10" x14ac:dyDescent="0.2">
      <c r="B618" s="1" t="s">
        <v>519</v>
      </c>
      <c r="C618" s="26" t="str">
        <f>Fish!$N$7</f>
        <v>FractionDietFishBenthicCarnivore</v>
      </c>
      <c r="J618" s="177" t="str">
        <f>ConcatenateWithSpaces($B$618:$H$618)</f>
        <v>Property: FractionDietFishBenthicCarnivore</v>
      </c>
    </row>
    <row r="619" spans="2:10" x14ac:dyDescent="0.2">
      <c r="B619" s="1" t="s">
        <v>520</v>
      </c>
      <c r="J619" s="177" t="str">
        <f>ConcatenateWithSpaces($B$619:$H$619)</f>
        <v>Form: Constant</v>
      </c>
    </row>
    <row r="620" spans="2:10" x14ac:dyDescent="0.2">
      <c r="B620" s="1" t="s">
        <v>2</v>
      </c>
      <c r="C620" s="26">
        <f>1 * Fish!$N$23</f>
        <v>0</v>
      </c>
      <c r="J620" s="177" t="str">
        <f>ConcatenateWithSpaces($B$620:$H$620)</f>
        <v>Value: 0</v>
      </c>
    </row>
    <row r="621" spans="2:10" x14ac:dyDescent="0.2">
      <c r="B621" s="1" t="s">
        <v>519</v>
      </c>
      <c r="C621" s="26" t="str">
        <f>Fish!$O$7</f>
        <v>FractionDietFishCarnivore</v>
      </c>
      <c r="J621" s="177" t="str">
        <f>ConcatenateWithSpaces($B$621:$H$621)</f>
        <v>Property: FractionDietFishCarnivore</v>
      </c>
    </row>
    <row r="622" spans="2:10" x14ac:dyDescent="0.2">
      <c r="B622" s="1" t="s">
        <v>520</v>
      </c>
      <c r="J622" s="177" t="str">
        <f>ConcatenateWithSpaces($B$622:$H$622)</f>
        <v>Form: Constant</v>
      </c>
    </row>
    <row r="623" spans="2:10" x14ac:dyDescent="0.2">
      <c r="B623" s="1" t="s">
        <v>2</v>
      </c>
      <c r="C623" s="26">
        <f>1 * Fish!$O$23</f>
        <v>0</v>
      </c>
      <c r="J623" s="177" t="str">
        <f>ConcatenateWithSpaces($B$623:$H$623)</f>
        <v>Value: 0</v>
      </c>
    </row>
    <row r="624" spans="2:10" x14ac:dyDescent="0.2">
      <c r="J624" s="177" t="str">
        <f>ConcatenateWithSpaces($B$624:$H$624)</f>
        <v/>
      </c>
    </row>
    <row r="625" spans="2:10" x14ac:dyDescent="0.2">
      <c r="B625" s="1" t="s">
        <v>378</v>
      </c>
      <c r="C625" s="26" t="str">
        <f>Fish!$D$24</f>
        <v>Benthic Carnivore</v>
      </c>
      <c r="D625" s="1" t="s">
        <v>531</v>
      </c>
      <c r="E625" s="26" t="str">
        <f>Fish!$E$24 &amp; "_" &amp; Fish!$C$24</f>
        <v>Sed_LakeMitchell</v>
      </c>
      <c r="J625" s="177" t="str">
        <f>ConcatenateWithSpaces($B$625:$H$625)</f>
        <v>Compartment: Benthic Carnivore in Sed_LakeMitchell</v>
      </c>
    </row>
    <row r="626" spans="2:10" x14ac:dyDescent="0.2">
      <c r="B626" s="1" t="s">
        <v>532</v>
      </c>
      <c r="J626" s="177" t="str">
        <f>ConcatenateWithSpaces($B$626:$H$626)</f>
        <v>Property: BiomassPerArea_kg_m2</v>
      </c>
    </row>
    <row r="627" spans="2:10" x14ac:dyDescent="0.2">
      <c r="B627" s="1" t="s">
        <v>521</v>
      </c>
      <c r="C627" s="26" t="str">
        <f>IF(ISERROR(FIND(",", $C$628)), "Constant", "InputFromFile")</f>
        <v>Constant</v>
      </c>
      <c r="J627" s="177" t="str">
        <f>ConcatenateWithSpaces($B$627:$H$627)</f>
        <v>Form: Constant</v>
      </c>
    </row>
    <row r="628" spans="2:10" x14ac:dyDescent="0.2">
      <c r="B628" s="1" t="s">
        <v>2</v>
      </c>
      <c r="C628" s="26">
        <f>Fish!$P$24</f>
        <v>2.9E-4</v>
      </c>
      <c r="J628" s="177" t="str">
        <f>ConcatenateWithSpaces($B$628:$H$628)</f>
        <v>Value: 0.00029</v>
      </c>
    </row>
    <row r="629" spans="2:10" x14ac:dyDescent="0.2">
      <c r="B629" s="1" t="s">
        <v>533</v>
      </c>
      <c r="J629" s="177" t="str">
        <f>ConcatenateWithSpaces($B$629:$H$629)</f>
        <v>Property: BW</v>
      </c>
    </row>
    <row r="630" spans="2:10" x14ac:dyDescent="0.2">
      <c r="B630" s="1" t="s">
        <v>521</v>
      </c>
      <c r="C630" s="26" t="str">
        <f>IF(ISERROR(FIND(",", $C$631)), "Constant", "InputFromFile")</f>
        <v>Constant</v>
      </c>
      <c r="J630" s="177" t="str">
        <f>ConcatenateWithSpaces($B$630:$H$630)</f>
        <v>Form: Constant</v>
      </c>
    </row>
    <row r="631" spans="2:10" x14ac:dyDescent="0.2">
      <c r="B631" s="1" t="s">
        <v>2</v>
      </c>
      <c r="C631" s="26">
        <f>Fish!$R$24</f>
        <v>2.5</v>
      </c>
      <c r="J631" s="177" t="str">
        <f>ConcatenateWithSpaces($B$631:$H$631)</f>
        <v>Value: 2.5</v>
      </c>
    </row>
    <row r="632" spans="2:10" x14ac:dyDescent="0.2">
      <c r="B632" s="1" t="s">
        <v>519</v>
      </c>
      <c r="C632" s="26" t="str">
        <f>Fish!$G$7</f>
        <v>FractionDietAlgae</v>
      </c>
      <c r="J632" s="177" t="str">
        <f>ConcatenateWithSpaces($B$632:$H$632)</f>
        <v>Property: FractionDietAlgae</v>
      </c>
    </row>
    <row r="633" spans="2:10" x14ac:dyDescent="0.2">
      <c r="B633" s="1" t="s">
        <v>520</v>
      </c>
      <c r="J633" s="177" t="str">
        <f>ConcatenateWithSpaces($B$633:$H$633)</f>
        <v>Form: Constant</v>
      </c>
    </row>
    <row r="634" spans="2:10" x14ac:dyDescent="0.2">
      <c r="B634" s="1" t="s">
        <v>2</v>
      </c>
      <c r="C634" s="26">
        <f>1 * Fish!$G$24</f>
        <v>0</v>
      </c>
      <c r="J634" s="177" t="str">
        <f>ConcatenateWithSpaces($B$634:$H$634)</f>
        <v>Value: 0</v>
      </c>
    </row>
    <row r="635" spans="2:10" x14ac:dyDescent="0.2">
      <c r="B635" s="1" t="s">
        <v>519</v>
      </c>
      <c r="C635" s="26" t="str">
        <f>Fish!$H$7</f>
        <v>FractionDietMacrophyte</v>
      </c>
      <c r="J635" s="177" t="str">
        <f>ConcatenateWithSpaces($B$635:$H$635)</f>
        <v>Property: FractionDietMacrophyte</v>
      </c>
    </row>
    <row r="636" spans="2:10" x14ac:dyDescent="0.2">
      <c r="B636" s="1" t="s">
        <v>520</v>
      </c>
      <c r="J636" s="177" t="str">
        <f>ConcatenateWithSpaces($B$636:$H$636)</f>
        <v>Form: Constant</v>
      </c>
    </row>
    <row r="637" spans="2:10" x14ac:dyDescent="0.2">
      <c r="B637" s="1" t="s">
        <v>2</v>
      </c>
      <c r="C637" s="26">
        <f>1 * Fish!$H$24</f>
        <v>0</v>
      </c>
      <c r="J637" s="177" t="str">
        <f>ConcatenateWithSpaces($B$637:$H$637)</f>
        <v>Value: 0</v>
      </c>
    </row>
    <row r="638" spans="2:10" x14ac:dyDescent="0.2">
      <c r="B638" s="1" t="s">
        <v>519</v>
      </c>
      <c r="C638" s="26" t="str">
        <f>Fish!$I$7</f>
        <v>FractionDietZooplankton</v>
      </c>
      <c r="J638" s="177" t="str">
        <f>ConcatenateWithSpaces($B$638:$H$638)</f>
        <v>Property: FractionDietZooplankton</v>
      </c>
    </row>
    <row r="639" spans="2:10" x14ac:dyDescent="0.2">
      <c r="B639" s="1" t="s">
        <v>520</v>
      </c>
      <c r="J639" s="177" t="str">
        <f>ConcatenateWithSpaces($B$639:$H$639)</f>
        <v>Form: Constant</v>
      </c>
    </row>
    <row r="640" spans="2:10" x14ac:dyDescent="0.2">
      <c r="B640" s="1" t="s">
        <v>2</v>
      </c>
      <c r="C640" s="26">
        <f>1 * Fish!$I$24</f>
        <v>0</v>
      </c>
      <c r="J640" s="177" t="str">
        <f>ConcatenateWithSpaces($B$640:$H$640)</f>
        <v>Value: 0</v>
      </c>
    </row>
    <row r="641" spans="2:10" x14ac:dyDescent="0.2">
      <c r="B641" s="1" t="s">
        <v>519</v>
      </c>
      <c r="C641" s="26" t="str">
        <f>Fish!$J$7</f>
        <v>FractionDietBenthicInvertebrate</v>
      </c>
      <c r="J641" s="177" t="str">
        <f>ConcatenateWithSpaces($B$641:$H$641)</f>
        <v>Property: FractionDietBenthicInvertebrate</v>
      </c>
    </row>
    <row r="642" spans="2:10" x14ac:dyDescent="0.2">
      <c r="B642" s="1" t="s">
        <v>520</v>
      </c>
      <c r="J642" s="177" t="str">
        <f>ConcatenateWithSpaces($B$642:$H$642)</f>
        <v>Form: Constant</v>
      </c>
    </row>
    <row r="643" spans="2:10" x14ac:dyDescent="0.2">
      <c r="B643" s="1" t="s">
        <v>2</v>
      </c>
      <c r="C643" s="26">
        <f>1 * Fish!$J$24</f>
        <v>0.5</v>
      </c>
      <c r="J643" s="177" t="str">
        <f>ConcatenateWithSpaces($B$643:$H$643)</f>
        <v>Value: 0.5</v>
      </c>
    </row>
    <row r="644" spans="2:10" x14ac:dyDescent="0.2">
      <c r="B644" s="1" t="s">
        <v>519</v>
      </c>
      <c r="C644" s="26" t="str">
        <f>Fish!$K$7</f>
        <v>FractionDietFishHerbivore</v>
      </c>
      <c r="J644" s="177" t="str">
        <f>ConcatenateWithSpaces($B$644:$H$644)</f>
        <v>Property: FractionDietFishHerbivore</v>
      </c>
    </row>
    <row r="645" spans="2:10" x14ac:dyDescent="0.2">
      <c r="B645" s="1" t="s">
        <v>520</v>
      </c>
      <c r="J645" s="177" t="str">
        <f>ConcatenateWithSpaces($B$645:$H$645)</f>
        <v>Form: Constant</v>
      </c>
    </row>
    <row r="646" spans="2:10" x14ac:dyDescent="0.2">
      <c r="B646" s="1" t="s">
        <v>2</v>
      </c>
      <c r="C646" s="26">
        <f>1 * Fish!$K$24</f>
        <v>0</v>
      </c>
      <c r="J646" s="177" t="str">
        <f>ConcatenateWithSpaces($B$646:$H$646)</f>
        <v>Value: 0</v>
      </c>
    </row>
    <row r="647" spans="2:10" x14ac:dyDescent="0.2">
      <c r="B647" s="1" t="s">
        <v>519</v>
      </c>
      <c r="C647" s="26" t="str">
        <f>Fish!$L$7</f>
        <v>FractionDietFishBenthicOmnivore</v>
      </c>
      <c r="J647" s="177" t="str">
        <f>ConcatenateWithSpaces($B$647:$H$647)</f>
        <v>Property: FractionDietFishBenthicOmnivore</v>
      </c>
    </row>
    <row r="648" spans="2:10" x14ac:dyDescent="0.2">
      <c r="B648" s="1" t="s">
        <v>520</v>
      </c>
      <c r="J648" s="177" t="str">
        <f>ConcatenateWithSpaces($B$648:$H$648)</f>
        <v>Form: Constant</v>
      </c>
    </row>
    <row r="649" spans="2:10" x14ac:dyDescent="0.2">
      <c r="B649" s="1" t="s">
        <v>2</v>
      </c>
      <c r="C649" s="26">
        <f>1 * Fish!$L$24</f>
        <v>0.5</v>
      </c>
      <c r="J649" s="177" t="str">
        <f>ConcatenateWithSpaces($B$649:$H$649)</f>
        <v>Value: 0.5</v>
      </c>
    </row>
    <row r="650" spans="2:10" x14ac:dyDescent="0.2">
      <c r="B650" s="1" t="s">
        <v>519</v>
      </c>
      <c r="C650" s="26" t="str">
        <f>Fish!$M$7</f>
        <v>FractionDietFishOmnivore</v>
      </c>
      <c r="J650" s="177" t="str">
        <f>ConcatenateWithSpaces($B$650:$H$650)</f>
        <v>Property: FractionDietFishOmnivore</v>
      </c>
    </row>
    <row r="651" spans="2:10" x14ac:dyDescent="0.2">
      <c r="B651" s="1" t="s">
        <v>520</v>
      </c>
      <c r="J651" s="177" t="str">
        <f>ConcatenateWithSpaces($B$651:$H$651)</f>
        <v>Form: Constant</v>
      </c>
    </row>
    <row r="652" spans="2:10" x14ac:dyDescent="0.2">
      <c r="B652" s="1" t="s">
        <v>2</v>
      </c>
      <c r="C652" s="26">
        <f>1 * Fish!$M$24</f>
        <v>0</v>
      </c>
      <c r="J652" s="177" t="str">
        <f>ConcatenateWithSpaces($B$652:$H$652)</f>
        <v>Value: 0</v>
      </c>
    </row>
    <row r="653" spans="2:10" x14ac:dyDescent="0.2">
      <c r="B653" s="1" t="s">
        <v>519</v>
      </c>
      <c r="C653" s="26" t="str">
        <f>Fish!$N$7</f>
        <v>FractionDietFishBenthicCarnivore</v>
      </c>
      <c r="J653" s="177" t="str">
        <f>ConcatenateWithSpaces($B$653:$H$653)</f>
        <v>Property: FractionDietFishBenthicCarnivore</v>
      </c>
    </row>
    <row r="654" spans="2:10" x14ac:dyDescent="0.2">
      <c r="B654" s="1" t="s">
        <v>520</v>
      </c>
      <c r="J654" s="177" t="str">
        <f>ConcatenateWithSpaces($B$654:$H$654)</f>
        <v>Form: Constant</v>
      </c>
    </row>
    <row r="655" spans="2:10" x14ac:dyDescent="0.2">
      <c r="B655" s="1" t="s">
        <v>2</v>
      </c>
      <c r="C655" s="26">
        <f>1 * Fish!$N$24</f>
        <v>0</v>
      </c>
      <c r="J655" s="177" t="str">
        <f>ConcatenateWithSpaces($B$655:$H$655)</f>
        <v>Value: 0</v>
      </c>
    </row>
    <row r="656" spans="2:10" x14ac:dyDescent="0.2">
      <c r="B656" s="1" t="s">
        <v>519</v>
      </c>
      <c r="C656" s="26" t="str">
        <f>Fish!$O$7</f>
        <v>FractionDietFishCarnivore</v>
      </c>
      <c r="J656" s="177" t="str">
        <f>ConcatenateWithSpaces($B$656:$H$656)</f>
        <v>Property: FractionDietFishCarnivore</v>
      </c>
    </row>
    <row r="657" spans="2:10" x14ac:dyDescent="0.2">
      <c r="B657" s="1" t="s">
        <v>520</v>
      </c>
      <c r="J657" s="177" t="str">
        <f>ConcatenateWithSpaces($B$657:$H$657)</f>
        <v>Form: Constant</v>
      </c>
    </row>
    <row r="658" spans="2:10" x14ac:dyDescent="0.2">
      <c r="B658" s="1" t="s">
        <v>2</v>
      </c>
      <c r="C658" s="26">
        <f>1 * Fish!$O$24</f>
        <v>0</v>
      </c>
      <c r="J658" s="177" t="str">
        <f>ConcatenateWithSpaces($B$658:$H$658)</f>
        <v>Value: 0</v>
      </c>
    </row>
    <row r="659" spans="2:10" x14ac:dyDescent="0.2">
      <c r="J659" s="177" t="str">
        <f>ConcatenateWithSpaces($B$659:$H$659)</f>
        <v/>
      </c>
    </row>
    <row r="660" spans="2:10" x14ac:dyDescent="0.2">
      <c r="B660" s="1" t="s">
        <v>378</v>
      </c>
      <c r="C660" s="26" t="str">
        <f>Fish!$D$25</f>
        <v>Water Column Carnivore</v>
      </c>
      <c r="D660" s="1" t="s">
        <v>531</v>
      </c>
      <c r="E660" s="26" t="str">
        <f>Fish!$E$25 &amp; "_" &amp; Fish!$C$25</f>
        <v>SW_LakeMitchell</v>
      </c>
      <c r="J660" s="177" t="str">
        <f>ConcatenateWithSpaces($B$660:$H$660)</f>
        <v>Compartment: Water Column Carnivore in SW_LakeMitchell</v>
      </c>
    </row>
    <row r="661" spans="2:10" x14ac:dyDescent="0.2">
      <c r="B661" s="1" t="s">
        <v>532</v>
      </c>
      <c r="J661" s="177" t="str">
        <f>ConcatenateWithSpaces($B$661:$H$661)</f>
        <v>Property: BiomassPerArea_kg_m2</v>
      </c>
    </row>
    <row r="662" spans="2:10" x14ac:dyDescent="0.2">
      <c r="B662" s="1" t="s">
        <v>521</v>
      </c>
      <c r="C662" s="26" t="str">
        <f>IF(ISERROR(FIND(",", $C$663)), "Constant", "InputFromFile")</f>
        <v>Constant</v>
      </c>
      <c r="J662" s="177" t="str">
        <f>ConcatenateWithSpaces($B$662:$H$662)</f>
        <v>Form: Constant</v>
      </c>
    </row>
    <row r="663" spans="2:10" x14ac:dyDescent="0.2">
      <c r="B663" s="1" t="s">
        <v>2</v>
      </c>
      <c r="C663" s="26">
        <f>Fish!$P$25</f>
        <v>8.7000000000000001E-4</v>
      </c>
      <c r="J663" s="177" t="str">
        <f>ConcatenateWithSpaces($B$663:$H$663)</f>
        <v>Value: 0.00087</v>
      </c>
    </row>
    <row r="664" spans="2:10" x14ac:dyDescent="0.2">
      <c r="B664" s="1" t="s">
        <v>533</v>
      </c>
      <c r="J664" s="177" t="str">
        <f>ConcatenateWithSpaces($B$664:$H$664)</f>
        <v>Property: BW</v>
      </c>
    </row>
    <row r="665" spans="2:10" x14ac:dyDescent="0.2">
      <c r="B665" s="1" t="s">
        <v>521</v>
      </c>
      <c r="C665" s="26" t="str">
        <f>IF(ISERROR(FIND(",", $C$666)), "Constant", "InputFromFile")</f>
        <v>Constant</v>
      </c>
      <c r="J665" s="177" t="str">
        <f>ConcatenateWithSpaces($B$665:$H$665)</f>
        <v>Form: Constant</v>
      </c>
    </row>
    <row r="666" spans="2:10" x14ac:dyDescent="0.2">
      <c r="B666" s="1" t="s">
        <v>2</v>
      </c>
      <c r="C666" s="26">
        <f>Fish!$R$25</f>
        <v>1</v>
      </c>
      <c r="J666" s="177" t="str">
        <f>ConcatenateWithSpaces($B$666:$H$666)</f>
        <v>Value: 1</v>
      </c>
    </row>
    <row r="667" spans="2:10" x14ac:dyDescent="0.2">
      <c r="B667" s="1" t="s">
        <v>519</v>
      </c>
      <c r="C667" s="26" t="str">
        <f>Fish!$G$7</f>
        <v>FractionDietAlgae</v>
      </c>
      <c r="J667" s="177" t="str">
        <f>ConcatenateWithSpaces($B$667:$H$667)</f>
        <v>Property: FractionDietAlgae</v>
      </c>
    </row>
    <row r="668" spans="2:10" x14ac:dyDescent="0.2">
      <c r="B668" s="1" t="s">
        <v>520</v>
      </c>
      <c r="J668" s="177" t="str">
        <f>ConcatenateWithSpaces($B$668:$H$668)</f>
        <v>Form: Constant</v>
      </c>
    </row>
    <row r="669" spans="2:10" x14ac:dyDescent="0.2">
      <c r="B669" s="1" t="s">
        <v>2</v>
      </c>
      <c r="C669" s="26">
        <f>1 * Fish!$G$25</f>
        <v>0</v>
      </c>
      <c r="J669" s="177" t="str">
        <f>ConcatenateWithSpaces($B$669:$H$669)</f>
        <v>Value: 0</v>
      </c>
    </row>
    <row r="670" spans="2:10" x14ac:dyDescent="0.2">
      <c r="B670" s="1" t="s">
        <v>519</v>
      </c>
      <c r="C670" s="26" t="str">
        <f>Fish!$H$7</f>
        <v>FractionDietMacrophyte</v>
      </c>
      <c r="J670" s="177" t="str">
        <f>ConcatenateWithSpaces($B$670:$H$670)</f>
        <v>Property: FractionDietMacrophyte</v>
      </c>
    </row>
    <row r="671" spans="2:10" x14ac:dyDescent="0.2">
      <c r="B671" s="1" t="s">
        <v>520</v>
      </c>
      <c r="J671" s="177" t="str">
        <f>ConcatenateWithSpaces($B$671:$H$671)</f>
        <v>Form: Constant</v>
      </c>
    </row>
    <row r="672" spans="2:10" x14ac:dyDescent="0.2">
      <c r="B672" s="1" t="s">
        <v>2</v>
      </c>
      <c r="C672" s="26">
        <f>1 * Fish!$H$25</f>
        <v>0</v>
      </c>
      <c r="J672" s="177" t="str">
        <f>ConcatenateWithSpaces($B$672:$H$672)</f>
        <v>Value: 0</v>
      </c>
    </row>
    <row r="673" spans="2:10" x14ac:dyDescent="0.2">
      <c r="B673" s="1" t="s">
        <v>519</v>
      </c>
      <c r="C673" s="26" t="str">
        <f>Fish!$I$7</f>
        <v>FractionDietZooplankton</v>
      </c>
      <c r="J673" s="177" t="str">
        <f>ConcatenateWithSpaces($B$673:$H$673)</f>
        <v>Property: FractionDietZooplankton</v>
      </c>
    </row>
    <row r="674" spans="2:10" x14ac:dyDescent="0.2">
      <c r="B674" s="1" t="s">
        <v>520</v>
      </c>
      <c r="J674" s="177" t="str">
        <f>ConcatenateWithSpaces($B$674:$H$674)</f>
        <v>Form: Constant</v>
      </c>
    </row>
    <row r="675" spans="2:10" x14ac:dyDescent="0.2">
      <c r="B675" s="1" t="s">
        <v>2</v>
      </c>
      <c r="C675" s="26">
        <f>1 * Fish!$I$25</f>
        <v>0</v>
      </c>
      <c r="J675" s="177" t="str">
        <f>ConcatenateWithSpaces($B$675:$H$675)</f>
        <v>Value: 0</v>
      </c>
    </row>
    <row r="676" spans="2:10" x14ac:dyDescent="0.2">
      <c r="B676" s="1" t="s">
        <v>519</v>
      </c>
      <c r="C676" s="26" t="str">
        <f>Fish!$J$7</f>
        <v>FractionDietBenthicInvertebrate</v>
      </c>
      <c r="J676" s="177" t="str">
        <f>ConcatenateWithSpaces($B$676:$H$676)</f>
        <v>Property: FractionDietBenthicInvertebrate</v>
      </c>
    </row>
    <row r="677" spans="2:10" x14ac:dyDescent="0.2">
      <c r="B677" s="1" t="s">
        <v>520</v>
      </c>
      <c r="J677" s="177" t="str">
        <f>ConcatenateWithSpaces($B$677:$H$677)</f>
        <v>Form: Constant</v>
      </c>
    </row>
    <row r="678" spans="2:10" x14ac:dyDescent="0.2">
      <c r="B678" s="1" t="s">
        <v>2</v>
      </c>
      <c r="C678" s="26">
        <f>1 * Fish!$J$25</f>
        <v>0</v>
      </c>
      <c r="J678" s="177" t="str">
        <f>ConcatenateWithSpaces($B$678:$H$678)</f>
        <v>Value: 0</v>
      </c>
    </row>
    <row r="679" spans="2:10" x14ac:dyDescent="0.2">
      <c r="B679" s="1" t="s">
        <v>519</v>
      </c>
      <c r="C679" s="26" t="str">
        <f>Fish!$K$7</f>
        <v>FractionDietFishHerbivore</v>
      </c>
      <c r="J679" s="177" t="str">
        <f>ConcatenateWithSpaces($B$679:$H$679)</f>
        <v>Property: FractionDietFishHerbivore</v>
      </c>
    </row>
    <row r="680" spans="2:10" x14ac:dyDescent="0.2">
      <c r="B680" s="1" t="s">
        <v>520</v>
      </c>
      <c r="J680" s="177" t="str">
        <f>ConcatenateWithSpaces($B$680:$H$680)</f>
        <v>Form: Constant</v>
      </c>
    </row>
    <row r="681" spans="2:10" x14ac:dyDescent="0.2">
      <c r="B681" s="1" t="s">
        <v>2</v>
      </c>
      <c r="C681" s="26">
        <f>1 * Fish!$K$25</f>
        <v>0.25</v>
      </c>
      <c r="J681" s="177" t="str">
        <f>ConcatenateWithSpaces($B$681:$H$681)</f>
        <v>Value: 0.25</v>
      </c>
    </row>
    <row r="682" spans="2:10" x14ac:dyDescent="0.2">
      <c r="B682" s="1" t="s">
        <v>519</v>
      </c>
      <c r="C682" s="26" t="str">
        <f>Fish!$L$7</f>
        <v>FractionDietFishBenthicOmnivore</v>
      </c>
      <c r="J682" s="177" t="str">
        <f>ConcatenateWithSpaces($B$682:$H$682)</f>
        <v>Property: FractionDietFishBenthicOmnivore</v>
      </c>
    </row>
    <row r="683" spans="2:10" x14ac:dyDescent="0.2">
      <c r="B683" s="1" t="s">
        <v>520</v>
      </c>
      <c r="J683" s="177" t="str">
        <f>ConcatenateWithSpaces($B$683:$H$683)</f>
        <v>Form: Constant</v>
      </c>
    </row>
    <row r="684" spans="2:10" x14ac:dyDescent="0.2">
      <c r="B684" s="1" t="s">
        <v>2</v>
      </c>
      <c r="C684" s="26">
        <f>1 * Fish!$L$25</f>
        <v>0.25</v>
      </c>
      <c r="J684" s="177" t="str">
        <f>ConcatenateWithSpaces($B$684:$H$684)</f>
        <v>Value: 0.25</v>
      </c>
    </row>
    <row r="685" spans="2:10" x14ac:dyDescent="0.2">
      <c r="B685" s="1" t="s">
        <v>519</v>
      </c>
      <c r="C685" s="26" t="str">
        <f>Fish!$M$7</f>
        <v>FractionDietFishOmnivore</v>
      </c>
      <c r="J685" s="177" t="str">
        <f>ConcatenateWithSpaces($B$685:$H$685)</f>
        <v>Property: FractionDietFishOmnivore</v>
      </c>
    </row>
    <row r="686" spans="2:10" x14ac:dyDescent="0.2">
      <c r="B686" s="1" t="s">
        <v>520</v>
      </c>
      <c r="J686" s="177" t="str">
        <f>ConcatenateWithSpaces($B$686:$H$686)</f>
        <v>Form: Constant</v>
      </c>
    </row>
    <row r="687" spans="2:10" x14ac:dyDescent="0.2">
      <c r="B687" s="1" t="s">
        <v>2</v>
      </c>
      <c r="C687" s="26">
        <f>1 * Fish!$M$25</f>
        <v>0.5</v>
      </c>
      <c r="J687" s="177" t="str">
        <f>ConcatenateWithSpaces($B$687:$H$687)</f>
        <v>Value: 0.5</v>
      </c>
    </row>
    <row r="688" spans="2:10" x14ac:dyDescent="0.2">
      <c r="B688" s="1" t="s">
        <v>519</v>
      </c>
      <c r="C688" s="26" t="str">
        <f>Fish!$N$7</f>
        <v>FractionDietFishBenthicCarnivore</v>
      </c>
      <c r="J688" s="177" t="str">
        <f>ConcatenateWithSpaces($B$688:$H$688)</f>
        <v>Property: FractionDietFishBenthicCarnivore</v>
      </c>
    </row>
    <row r="689" spans="2:10" x14ac:dyDescent="0.2">
      <c r="B689" s="1" t="s">
        <v>520</v>
      </c>
      <c r="J689" s="177" t="str">
        <f>ConcatenateWithSpaces($B$689:$H$689)</f>
        <v>Form: Constant</v>
      </c>
    </row>
    <row r="690" spans="2:10" x14ac:dyDescent="0.2">
      <c r="B690" s="1" t="s">
        <v>2</v>
      </c>
      <c r="C690" s="26">
        <f>1 * Fish!$N$25</f>
        <v>0</v>
      </c>
      <c r="J690" s="177" t="str">
        <f>ConcatenateWithSpaces($B$690:$H$690)</f>
        <v>Value: 0</v>
      </c>
    </row>
    <row r="691" spans="2:10" x14ac:dyDescent="0.2">
      <c r="B691" s="1" t="s">
        <v>519</v>
      </c>
      <c r="C691" s="26" t="str">
        <f>Fish!$O$7</f>
        <v>FractionDietFishCarnivore</v>
      </c>
      <c r="J691" s="177" t="str">
        <f>ConcatenateWithSpaces($B$691:$H$691)</f>
        <v>Property: FractionDietFishCarnivore</v>
      </c>
    </row>
    <row r="692" spans="2:10" x14ac:dyDescent="0.2">
      <c r="B692" s="1" t="s">
        <v>520</v>
      </c>
      <c r="J692" s="177" t="str">
        <f>ConcatenateWithSpaces($B$692:$H$692)</f>
        <v>Form: Constant</v>
      </c>
    </row>
    <row r="693" spans="2:10" x14ac:dyDescent="0.2">
      <c r="B693" s="1" t="s">
        <v>2</v>
      </c>
      <c r="C693" s="26">
        <f>1 * Fish!$O$25</f>
        <v>0</v>
      </c>
      <c r="J693" s="177" t="str">
        <f>ConcatenateWithSpaces($B$693:$H$693)</f>
        <v>Value: 0</v>
      </c>
    </row>
    <row r="694" spans="2:10" x14ac:dyDescent="0.2">
      <c r="J694" s="177" t="str">
        <f>ConcatenateWithSpaces($B$694:$H$694)</f>
        <v/>
      </c>
    </row>
    <row r="695" spans="2:10" x14ac:dyDescent="0.2">
      <c r="B695" s="1" t="s">
        <v>540</v>
      </c>
      <c r="J695" s="177" t="str">
        <f>ConcatenateWithSpaces($B$695:$H$695)</f>
        <v>// ----------------------------------------------------------------------------</v>
      </c>
    </row>
    <row r="696" spans="2:10" x14ac:dyDescent="0.2">
      <c r="B696" s="1" t="s">
        <v>760</v>
      </c>
      <c r="J696" s="177" t="str">
        <f>ConcatenateWithSpaces($B$696:$H$696)</f>
        <v>// Surface soil properties</v>
      </c>
    </row>
    <row r="697" spans="2:10" x14ac:dyDescent="0.2">
      <c r="B697" s="1" t="s">
        <v>540</v>
      </c>
      <c r="J697" s="177" t="str">
        <f>ConcatenateWithSpaces($B$697:$H$697)</f>
        <v>// ----------------------------------------------------------------------------</v>
      </c>
    </row>
    <row r="698" spans="2:10" x14ac:dyDescent="0.2">
      <c r="J698" s="177" t="str">
        <f>ConcatenateWithSpaces($B$698:$H$698)</f>
        <v/>
      </c>
    </row>
    <row r="699" spans="2:10" x14ac:dyDescent="0.2">
      <c r="B699" s="1" t="s">
        <v>378</v>
      </c>
      <c r="C699" s="26" t="str">
        <f>"Soil - Surface in SurfSoil_" &amp; Soil!$F$6</f>
        <v>Soil - Surface in SurfSoil_E1</v>
      </c>
      <c r="J699" s="177" t="str">
        <f>ConcatenateWithSpaces($B$699:$H$699)</f>
        <v>Compartment: Soil - Surface in SurfSoil_E1</v>
      </c>
    </row>
    <row r="700" spans="2:10" x14ac:dyDescent="0.2">
      <c r="B700" s="1" t="s">
        <v>761</v>
      </c>
      <c r="J700" s="177" t="str">
        <f>ConcatenateWithSpaces($B$700:$H$700)</f>
        <v>Property: VolumeFraction_vapor</v>
      </c>
    </row>
    <row r="701" spans="2:10" x14ac:dyDescent="0.2">
      <c r="B701" s="1" t="s">
        <v>521</v>
      </c>
      <c r="C701" s="26" t="str">
        <f>IF(ISERROR(FIND(",", $C$702)), "Constant", "InputFromFile")</f>
        <v>Constant</v>
      </c>
      <c r="J701" s="177" t="str">
        <f>ConcatenateWithSpaces($B$701:$H$701)</f>
        <v>Form: Constant</v>
      </c>
    </row>
    <row r="702" spans="2:10" x14ac:dyDescent="0.2">
      <c r="B702" s="1" t="s">
        <v>2</v>
      </c>
      <c r="C702" s="26">
        <f>Soil!$F$11</f>
        <v>0.28000000000000003</v>
      </c>
      <c r="J702" s="177" t="str">
        <f>ConcatenateWithSpaces($B$702:$H$702)</f>
        <v>Value: 0.28</v>
      </c>
    </row>
    <row r="703" spans="2:10" x14ac:dyDescent="0.2">
      <c r="B703" s="1" t="s">
        <v>762</v>
      </c>
      <c r="J703" s="177" t="str">
        <f>ConcatenateWithSpaces($B$703:$H$703)</f>
        <v>Property: AverageVerticalVelocity</v>
      </c>
    </row>
    <row r="704" spans="2:10" x14ac:dyDescent="0.2">
      <c r="B704" s="1" t="s">
        <v>521</v>
      </c>
      <c r="C704" s="26" t="str">
        <f>IF(ISERROR(FIND(",", $C$705)), "Constant", "InputFromFile")</f>
        <v>Constant</v>
      </c>
      <c r="J704" s="177" t="str">
        <f>ConcatenateWithSpaces($B$704:$H$704)</f>
        <v>Form: Constant</v>
      </c>
    </row>
    <row r="705" spans="2:10" x14ac:dyDescent="0.2">
      <c r="B705" s="1" t="s">
        <v>2</v>
      </c>
      <c r="C705" s="248">
        <f>Soil!$F$12</f>
        <v>4.2958904109589049E-4</v>
      </c>
      <c r="J705" s="177" t="str">
        <f>ConcatenateWithSpaces($B$705:$H$705)</f>
        <v>Value: 4.2958904109589E-04</v>
      </c>
    </row>
    <row r="706" spans="2:10" x14ac:dyDescent="0.2">
      <c r="B706" s="1" t="s">
        <v>763</v>
      </c>
      <c r="J706" s="177" t="str">
        <f>ConcatenateWithSpaces($B$706:$H$706)</f>
        <v>Property: AirSoilBoundaryThickness</v>
      </c>
    </row>
    <row r="707" spans="2:10" x14ac:dyDescent="0.2">
      <c r="B707" s="1" t="s">
        <v>521</v>
      </c>
      <c r="C707" s="26" t="str">
        <f>IF(ISERROR(FIND(",", $C$708)), "Constant", "InputFromFile")</f>
        <v>Constant</v>
      </c>
      <c r="J707" s="177" t="str">
        <f>ConcatenateWithSpaces($B$707:$H$707)</f>
        <v>Form: Constant</v>
      </c>
    </row>
    <row r="708" spans="2:10" x14ac:dyDescent="0.2">
      <c r="B708" s="1" t="s">
        <v>2</v>
      </c>
      <c r="C708" s="26">
        <f>Soil!$F$13</f>
        <v>5.0000000000000001E-3</v>
      </c>
      <c r="J708" s="177" t="str">
        <f>ConcatenateWithSpaces($B$708:$H$708)</f>
        <v>Value: 0.005</v>
      </c>
    </row>
    <row r="709" spans="2:10" x14ac:dyDescent="0.2">
      <c r="B709" s="1" t="s">
        <v>4</v>
      </c>
      <c r="J709" s="177" t="str">
        <f>ConcatenateWithSpaces($B$709:$H$709)</f>
        <v>Property: rho</v>
      </c>
    </row>
    <row r="710" spans="2:10" x14ac:dyDescent="0.2">
      <c r="B710" s="1" t="s">
        <v>521</v>
      </c>
      <c r="C710" s="26" t="str">
        <f>IF(ISERROR(FIND(",", $C$711)), "Constant", "InputFromFile")</f>
        <v>Constant</v>
      </c>
      <c r="J710" s="177" t="str">
        <f>ConcatenateWithSpaces($B$710:$H$710)</f>
        <v>Form: Constant</v>
      </c>
    </row>
    <row r="711" spans="2:10" x14ac:dyDescent="0.2">
      <c r="B711" s="1" t="s">
        <v>2</v>
      </c>
      <c r="C711" s="26">
        <f>Soil!$F$14</f>
        <v>2600</v>
      </c>
      <c r="J711" s="177" t="str">
        <f>ConcatenateWithSpaces($B$711:$H$711)</f>
        <v>Value: 2600</v>
      </c>
    </row>
    <row r="712" spans="2:10" x14ac:dyDescent="0.2">
      <c r="B712" s="1" t="s">
        <v>764</v>
      </c>
      <c r="J712" s="177" t="str">
        <f>ConcatenateWithSpaces($B$712:$H$712)</f>
        <v>Property: Fractionofareaavailableforerosion</v>
      </c>
    </row>
    <row r="713" spans="2:10" x14ac:dyDescent="0.2">
      <c r="B713" s="1" t="s">
        <v>521</v>
      </c>
      <c r="C713" s="26" t="str">
        <f>IF(ISERROR(FIND(",", $C$714)), "Constant", "InputFromFile")</f>
        <v>Constant</v>
      </c>
      <c r="J713" s="177" t="str">
        <f>ConcatenateWithSpaces($B$713:$H$713)</f>
        <v>Form: Constant</v>
      </c>
    </row>
    <row r="714" spans="2:10" x14ac:dyDescent="0.2">
      <c r="B714" s="1" t="s">
        <v>2</v>
      </c>
      <c r="C714" s="26">
        <f>Soil!$F$15</f>
        <v>1</v>
      </c>
      <c r="J714" s="177" t="str">
        <f>ConcatenateWithSpaces($B$714:$H$714)</f>
        <v>Value: 1</v>
      </c>
    </row>
    <row r="715" spans="2:10" x14ac:dyDescent="0.2">
      <c r="B715" s="1" t="s">
        <v>765</v>
      </c>
      <c r="J715" s="177" t="str">
        <f>ConcatenateWithSpaces($B$715:$H$715)</f>
        <v>Property: FractionofAreaAvailableforRunoff</v>
      </c>
    </row>
    <row r="716" spans="2:10" x14ac:dyDescent="0.2">
      <c r="B716" s="1" t="s">
        <v>521</v>
      </c>
      <c r="C716" s="26" t="str">
        <f>IF(ISERROR(FIND(",", $C$717)), "Constant", "InputFromFile")</f>
        <v>Constant</v>
      </c>
      <c r="J716" s="177" t="str">
        <f>ConcatenateWithSpaces($B$716:$H$716)</f>
        <v>Form: Constant</v>
      </c>
    </row>
    <row r="717" spans="2:10" x14ac:dyDescent="0.2">
      <c r="B717" s="1" t="s">
        <v>2</v>
      </c>
      <c r="C717" s="26">
        <f>Soil!$F$16</f>
        <v>1</v>
      </c>
      <c r="J717" s="177" t="str">
        <f>ConcatenateWithSpaces($B$717:$H$717)</f>
        <v>Value: 1</v>
      </c>
    </row>
    <row r="718" spans="2:10" x14ac:dyDescent="0.2">
      <c r="B718" s="1" t="s">
        <v>766</v>
      </c>
      <c r="J718" s="177" t="str">
        <f>ConcatenateWithSpaces($B$718:$H$718)</f>
        <v>Property: Fractionofareaavailableforverticaldiffusion</v>
      </c>
    </row>
    <row r="719" spans="2:10" x14ac:dyDescent="0.2">
      <c r="B719" s="1" t="s">
        <v>521</v>
      </c>
      <c r="C719" s="26" t="str">
        <f>IF(ISERROR(FIND(",", $C$720)), "Constant", "InputFromFile")</f>
        <v>Constant</v>
      </c>
      <c r="J719" s="177" t="str">
        <f>ConcatenateWithSpaces($B$719:$H$719)</f>
        <v>Form: Constant</v>
      </c>
    </row>
    <row r="720" spans="2:10" x14ac:dyDescent="0.2">
      <c r="B720" s="1" t="s">
        <v>2</v>
      </c>
      <c r="C720" s="26">
        <f>Soil!$F$17</f>
        <v>1</v>
      </c>
      <c r="J720" s="177" t="str">
        <f>ConcatenateWithSpaces($B$720:$H$720)</f>
        <v>Value: 1</v>
      </c>
    </row>
    <row r="721" spans="2:10" x14ac:dyDescent="0.2">
      <c r="B721" s="1" t="s">
        <v>767</v>
      </c>
      <c r="J721" s="177" t="str">
        <f>ConcatenateWithSpaces($B$721:$H$721)</f>
        <v>Property: FractionSand</v>
      </c>
    </row>
    <row r="722" spans="2:10" x14ac:dyDescent="0.2">
      <c r="B722" s="1" t="s">
        <v>521</v>
      </c>
      <c r="C722" s="26" t="str">
        <f>IF(ISERROR(FIND(",", $C$723)), "Constant", "InputFromFile")</f>
        <v>Constant</v>
      </c>
      <c r="J722" s="177" t="str">
        <f>ConcatenateWithSpaces($B$722:$H$722)</f>
        <v>Form: Constant</v>
      </c>
    </row>
    <row r="723" spans="2:10" x14ac:dyDescent="0.2">
      <c r="B723" s="1" t="s">
        <v>2</v>
      </c>
      <c r="C723" s="26">
        <f>Soil!$F$18</f>
        <v>0.8756776882467352</v>
      </c>
      <c r="J723" s="177" t="str">
        <f>ConcatenateWithSpaces($B$723:$H$723)</f>
        <v>Value: 0.875677688246735</v>
      </c>
    </row>
    <row r="724" spans="2:10" x14ac:dyDescent="0.2">
      <c r="B724" s="1" t="s">
        <v>261</v>
      </c>
      <c r="J724" s="177" t="str">
        <f>ConcatenateWithSpaces($B$724:$H$724)</f>
        <v>Property: OrganicCarbonContent</v>
      </c>
    </row>
    <row r="725" spans="2:10" x14ac:dyDescent="0.2">
      <c r="B725" s="1" t="s">
        <v>521</v>
      </c>
      <c r="C725" s="26" t="str">
        <f>IF(ISERROR(FIND(",", $C$726)), "Constant", "InputFromFile")</f>
        <v>Constant</v>
      </c>
      <c r="J725" s="177" t="str">
        <f>ConcatenateWithSpaces($B$725:$H$725)</f>
        <v>Form: Constant</v>
      </c>
    </row>
    <row r="726" spans="2:10" x14ac:dyDescent="0.2">
      <c r="B726" s="1" t="s">
        <v>2</v>
      </c>
      <c r="C726" s="26">
        <f>Soil!$F$19</f>
        <v>9.9593607168953394E-2</v>
      </c>
      <c r="J726" s="177" t="str">
        <f>ConcatenateWithSpaces($B$726:$H$726)</f>
        <v>Value: 9.95936071689534E-02</v>
      </c>
    </row>
    <row r="727" spans="2:10" x14ac:dyDescent="0.2">
      <c r="B727" s="1" t="s">
        <v>260</v>
      </c>
      <c r="J727" s="177" t="str">
        <f>ConcatenateWithSpaces($B$727:$H$727)</f>
        <v>Property: pH</v>
      </c>
    </row>
    <row r="728" spans="2:10" x14ac:dyDescent="0.2">
      <c r="B728" s="1" t="s">
        <v>521</v>
      </c>
      <c r="C728" s="26" t="str">
        <f>IF(ISERROR(FIND(",", $C$729)), "Constant", "InputFromFile")</f>
        <v>Constant</v>
      </c>
      <c r="J728" s="177" t="str">
        <f>ConcatenateWithSpaces($B$728:$H$728)</f>
        <v>Form: Constant</v>
      </c>
    </row>
    <row r="729" spans="2:10" x14ac:dyDescent="0.2">
      <c r="B729" s="1" t="s">
        <v>2</v>
      </c>
      <c r="C729" s="26">
        <f>Soil!$F$20</f>
        <v>5.3370195424655007</v>
      </c>
      <c r="J729" s="177" t="str">
        <f>ConcatenateWithSpaces($B$729:$H$729)</f>
        <v>Value: 5.3370195424655</v>
      </c>
    </row>
    <row r="730" spans="2:10" x14ac:dyDescent="0.2">
      <c r="B730" s="1" t="s">
        <v>768</v>
      </c>
      <c r="J730" s="177" t="str">
        <f>ConcatenateWithSpaces($B$730:$H$730)</f>
        <v>Property: TotalRunoffRate_m3_m2_day</v>
      </c>
    </row>
    <row r="731" spans="2:10" x14ac:dyDescent="0.2">
      <c r="B731" s="1" t="s">
        <v>521</v>
      </c>
      <c r="C731" s="26" t="str">
        <f>IF(ISERROR(FIND(",", $C$732)), "Constant", "InputFromFile")</f>
        <v>Constant</v>
      </c>
      <c r="J731" s="177" t="str">
        <f>ConcatenateWithSpaces($B$731:$H$731)</f>
        <v>Form: Constant</v>
      </c>
    </row>
    <row r="732" spans="2:10" x14ac:dyDescent="0.2">
      <c r="B732" s="1" t="s">
        <v>2</v>
      </c>
      <c r="C732" s="248">
        <f>Soil!$F$22</f>
        <v>5.3698630136986302E-4</v>
      </c>
      <c r="J732" s="177" t="str">
        <f>ConcatenateWithSpaces($B$732:$H$732)</f>
        <v>Value: 5.36986301369863E-04</v>
      </c>
    </row>
    <row r="733" spans="2:10" x14ac:dyDescent="0.2">
      <c r="B733" s="1" t="s">
        <v>259</v>
      </c>
      <c r="J733" s="177" t="str">
        <f>ConcatenateWithSpaces($B$733:$H$733)</f>
        <v>Property: TotalErosionRate_kg_m2_day</v>
      </c>
    </row>
    <row r="734" spans="2:10" x14ac:dyDescent="0.2">
      <c r="B734" s="1" t="s">
        <v>521</v>
      </c>
      <c r="C734" s="26" t="str">
        <f>IF(ISERROR(FIND(",", $C$735)), "Constant", "InputFromFile")</f>
        <v>Constant</v>
      </c>
      <c r="J734" s="177" t="str">
        <f>ConcatenateWithSpaces($B$734:$H$734)</f>
        <v>Form: Constant</v>
      </c>
    </row>
    <row r="735" spans="2:10" x14ac:dyDescent="0.2">
      <c r="B735" s="1" t="s">
        <v>2</v>
      </c>
      <c r="C735" s="248">
        <f>Soil!$F$21</f>
        <v>7.4507171430536755E-5</v>
      </c>
      <c r="J735" s="177" t="str">
        <f>ConcatenateWithSpaces($B$735:$H$735)</f>
        <v>Value: 7.45071714305368E-05</v>
      </c>
    </row>
    <row r="736" spans="2:10" x14ac:dyDescent="0.2">
      <c r="B736" s="1" t="s">
        <v>769</v>
      </c>
      <c r="J736" s="177" t="str">
        <f>ConcatenateWithSpaces($B$736:$H$736)</f>
        <v>Property: VolumeFraction_liquid</v>
      </c>
    </row>
    <row r="737" spans="2:10" x14ac:dyDescent="0.2">
      <c r="B737" s="1" t="s">
        <v>521</v>
      </c>
      <c r="C737" s="26" t="str">
        <f>IF(ISERROR(FIND(",", $C$738)), "Constant", "InputFromFile")</f>
        <v>Constant</v>
      </c>
      <c r="J737" s="177" t="str">
        <f>ConcatenateWithSpaces($B$737:$H$737)</f>
        <v>Form: Constant</v>
      </c>
    </row>
    <row r="738" spans="2:10" x14ac:dyDescent="0.2">
      <c r="B738" s="1" t="s">
        <v>2</v>
      </c>
      <c r="C738" s="26">
        <f>Soil!$F$23</f>
        <v>0.12707684511195064</v>
      </c>
      <c r="J738" s="177" t="str">
        <f>ConcatenateWithSpaces($B$738:$H$738)</f>
        <v>Value: 0.127076845111951</v>
      </c>
    </row>
    <row r="739" spans="2:10" x14ac:dyDescent="0.2">
      <c r="J739" s="177" t="str">
        <f>ConcatenateWithSpaces($B$739:$H$739)</f>
        <v/>
      </c>
    </row>
    <row r="740" spans="2:10" x14ac:dyDescent="0.2">
      <c r="B740" s="1" t="s">
        <v>378</v>
      </c>
      <c r="C740" s="26" t="str">
        <f>"Soil - Surface in SurfSoil_" &amp; Soil!$G$6</f>
        <v>Soil - Surface in SurfSoil_E2</v>
      </c>
      <c r="J740" s="177" t="str">
        <f>ConcatenateWithSpaces($B$740:$H$740)</f>
        <v>Compartment: Soil - Surface in SurfSoil_E2</v>
      </c>
    </row>
    <row r="741" spans="2:10" x14ac:dyDescent="0.2">
      <c r="B741" s="1" t="s">
        <v>761</v>
      </c>
      <c r="J741" s="177" t="str">
        <f>ConcatenateWithSpaces($B$741:$H$741)</f>
        <v>Property: VolumeFraction_vapor</v>
      </c>
    </row>
    <row r="742" spans="2:10" x14ac:dyDescent="0.2">
      <c r="B742" s="1" t="s">
        <v>521</v>
      </c>
      <c r="C742" s="26" t="str">
        <f>IF(ISERROR(FIND(",", $C$743)), "Constant", "InputFromFile")</f>
        <v>Constant</v>
      </c>
      <c r="J742" s="177" t="str">
        <f>ConcatenateWithSpaces($B$742:$H$742)</f>
        <v>Form: Constant</v>
      </c>
    </row>
    <row r="743" spans="2:10" x14ac:dyDescent="0.2">
      <c r="B743" s="1" t="s">
        <v>2</v>
      </c>
      <c r="C743" s="26">
        <f>Soil!$G$11</f>
        <v>0.28000000000000003</v>
      </c>
      <c r="J743" s="177" t="str">
        <f>ConcatenateWithSpaces($B$743:$H$743)</f>
        <v>Value: 0.28</v>
      </c>
    </row>
    <row r="744" spans="2:10" x14ac:dyDescent="0.2">
      <c r="B744" s="1" t="s">
        <v>762</v>
      </c>
      <c r="J744" s="177" t="str">
        <f>ConcatenateWithSpaces($B$744:$H$744)</f>
        <v>Property: AverageVerticalVelocity</v>
      </c>
    </row>
    <row r="745" spans="2:10" x14ac:dyDescent="0.2">
      <c r="B745" s="1" t="s">
        <v>521</v>
      </c>
      <c r="C745" s="26" t="str">
        <f>IF(ISERROR(FIND(",", $C$746)), "Constant", "InputFromFile")</f>
        <v>Constant</v>
      </c>
      <c r="J745" s="177" t="str">
        <f>ConcatenateWithSpaces($B$745:$H$745)</f>
        <v>Form: Constant</v>
      </c>
    </row>
    <row r="746" spans="2:10" x14ac:dyDescent="0.2">
      <c r="B746" s="1" t="s">
        <v>2</v>
      </c>
      <c r="C746" s="248">
        <f>Soil!$G$12</f>
        <v>4.2958904109589049E-4</v>
      </c>
      <c r="J746" s="177" t="str">
        <f>ConcatenateWithSpaces($B$746:$H$746)</f>
        <v>Value: 4.2958904109589E-04</v>
      </c>
    </row>
    <row r="747" spans="2:10" x14ac:dyDescent="0.2">
      <c r="B747" s="1" t="s">
        <v>763</v>
      </c>
      <c r="J747" s="177" t="str">
        <f>ConcatenateWithSpaces($B$747:$H$747)</f>
        <v>Property: AirSoilBoundaryThickness</v>
      </c>
    </row>
    <row r="748" spans="2:10" x14ac:dyDescent="0.2">
      <c r="B748" s="1" t="s">
        <v>521</v>
      </c>
      <c r="C748" s="26" t="str">
        <f>IF(ISERROR(FIND(",", $C$749)), "Constant", "InputFromFile")</f>
        <v>Constant</v>
      </c>
      <c r="J748" s="177" t="str">
        <f>ConcatenateWithSpaces($B$748:$H$748)</f>
        <v>Form: Constant</v>
      </c>
    </row>
    <row r="749" spans="2:10" x14ac:dyDescent="0.2">
      <c r="B749" s="1" t="s">
        <v>2</v>
      </c>
      <c r="C749" s="26">
        <f>Soil!$G$13</f>
        <v>5.0000000000000001E-3</v>
      </c>
      <c r="J749" s="177" t="str">
        <f>ConcatenateWithSpaces($B$749:$H$749)</f>
        <v>Value: 0.005</v>
      </c>
    </row>
    <row r="750" spans="2:10" x14ac:dyDescent="0.2">
      <c r="B750" s="1" t="s">
        <v>4</v>
      </c>
      <c r="J750" s="177" t="str">
        <f>ConcatenateWithSpaces($B$750:$H$750)</f>
        <v>Property: rho</v>
      </c>
    </row>
    <row r="751" spans="2:10" x14ac:dyDescent="0.2">
      <c r="B751" s="1" t="s">
        <v>521</v>
      </c>
      <c r="C751" s="26" t="str">
        <f>IF(ISERROR(FIND(",", $C$752)), "Constant", "InputFromFile")</f>
        <v>Constant</v>
      </c>
      <c r="J751" s="177" t="str">
        <f>ConcatenateWithSpaces($B$751:$H$751)</f>
        <v>Form: Constant</v>
      </c>
    </row>
    <row r="752" spans="2:10" x14ac:dyDescent="0.2">
      <c r="B752" s="1" t="s">
        <v>2</v>
      </c>
      <c r="C752" s="26">
        <f>Soil!$G$14</f>
        <v>2600</v>
      </c>
      <c r="J752" s="177" t="str">
        <f>ConcatenateWithSpaces($B$752:$H$752)</f>
        <v>Value: 2600</v>
      </c>
    </row>
    <row r="753" spans="2:10" x14ac:dyDescent="0.2">
      <c r="B753" s="1" t="s">
        <v>764</v>
      </c>
      <c r="J753" s="177" t="str">
        <f>ConcatenateWithSpaces($B$753:$H$753)</f>
        <v>Property: Fractionofareaavailableforerosion</v>
      </c>
    </row>
    <row r="754" spans="2:10" x14ac:dyDescent="0.2">
      <c r="B754" s="1" t="s">
        <v>521</v>
      </c>
      <c r="C754" s="26" t="str">
        <f>IF(ISERROR(FIND(",", $C$755)), "Constant", "InputFromFile")</f>
        <v>Constant</v>
      </c>
      <c r="J754" s="177" t="str">
        <f>ConcatenateWithSpaces($B$754:$H$754)</f>
        <v>Form: Constant</v>
      </c>
    </row>
    <row r="755" spans="2:10" x14ac:dyDescent="0.2">
      <c r="B755" s="1" t="s">
        <v>2</v>
      </c>
      <c r="C755" s="26">
        <f>Soil!$G$15</f>
        <v>1</v>
      </c>
      <c r="J755" s="177" t="str">
        <f>ConcatenateWithSpaces($B$755:$H$755)</f>
        <v>Value: 1</v>
      </c>
    </row>
    <row r="756" spans="2:10" x14ac:dyDescent="0.2">
      <c r="B756" s="1" t="s">
        <v>765</v>
      </c>
      <c r="J756" s="177" t="str">
        <f>ConcatenateWithSpaces($B$756:$H$756)</f>
        <v>Property: FractionofAreaAvailableforRunoff</v>
      </c>
    </row>
    <row r="757" spans="2:10" x14ac:dyDescent="0.2">
      <c r="B757" s="1" t="s">
        <v>521</v>
      </c>
      <c r="C757" s="26" t="str">
        <f>IF(ISERROR(FIND(",", $C$758)), "Constant", "InputFromFile")</f>
        <v>Constant</v>
      </c>
      <c r="J757" s="177" t="str">
        <f>ConcatenateWithSpaces($B$757:$H$757)</f>
        <v>Form: Constant</v>
      </c>
    </row>
    <row r="758" spans="2:10" x14ac:dyDescent="0.2">
      <c r="B758" s="1" t="s">
        <v>2</v>
      </c>
      <c r="C758" s="26">
        <f>Soil!$G$16</f>
        <v>1</v>
      </c>
      <c r="J758" s="177" t="str">
        <f>ConcatenateWithSpaces($B$758:$H$758)</f>
        <v>Value: 1</v>
      </c>
    </row>
    <row r="759" spans="2:10" x14ac:dyDescent="0.2">
      <c r="B759" s="1" t="s">
        <v>766</v>
      </c>
      <c r="J759" s="177" t="str">
        <f>ConcatenateWithSpaces($B$759:$H$759)</f>
        <v>Property: Fractionofareaavailableforverticaldiffusion</v>
      </c>
    </row>
    <row r="760" spans="2:10" x14ac:dyDescent="0.2">
      <c r="B760" s="1" t="s">
        <v>521</v>
      </c>
      <c r="C760" s="26" t="str">
        <f>IF(ISERROR(FIND(",", $C$761)), "Constant", "InputFromFile")</f>
        <v>Constant</v>
      </c>
      <c r="J760" s="177" t="str">
        <f>ConcatenateWithSpaces($B$760:$H$760)</f>
        <v>Form: Constant</v>
      </c>
    </row>
    <row r="761" spans="2:10" x14ac:dyDescent="0.2">
      <c r="B761" s="1" t="s">
        <v>2</v>
      </c>
      <c r="C761" s="26">
        <f>Soil!$G$17</f>
        <v>1</v>
      </c>
      <c r="J761" s="177" t="str">
        <f>ConcatenateWithSpaces($B$761:$H$761)</f>
        <v>Value: 1</v>
      </c>
    </row>
    <row r="762" spans="2:10" x14ac:dyDescent="0.2">
      <c r="B762" s="1" t="s">
        <v>767</v>
      </c>
      <c r="J762" s="177" t="str">
        <f>ConcatenateWithSpaces($B$762:$H$762)</f>
        <v>Property: FractionSand</v>
      </c>
    </row>
    <row r="763" spans="2:10" x14ac:dyDescent="0.2">
      <c r="B763" s="1" t="s">
        <v>521</v>
      </c>
      <c r="C763" s="26" t="str">
        <f>IF(ISERROR(FIND(",", $C$764)), "Constant", "InputFromFile")</f>
        <v>Constant</v>
      </c>
      <c r="J763" s="177" t="str">
        <f>ConcatenateWithSpaces($B$763:$H$763)</f>
        <v>Form: Constant</v>
      </c>
    </row>
    <row r="764" spans="2:10" x14ac:dyDescent="0.2">
      <c r="B764" s="1" t="s">
        <v>2</v>
      </c>
      <c r="C764" s="26">
        <f>Soil!$G$18</f>
        <v>0.88280893662158577</v>
      </c>
      <c r="J764" s="177" t="str">
        <f>ConcatenateWithSpaces($B$764:$H$764)</f>
        <v>Value: 0.882808936621586</v>
      </c>
    </row>
    <row r="765" spans="2:10" x14ac:dyDescent="0.2">
      <c r="B765" s="1" t="s">
        <v>261</v>
      </c>
      <c r="J765" s="177" t="str">
        <f>ConcatenateWithSpaces($B$765:$H$765)</f>
        <v>Property: OrganicCarbonContent</v>
      </c>
    </row>
    <row r="766" spans="2:10" x14ac:dyDescent="0.2">
      <c r="B766" s="1" t="s">
        <v>521</v>
      </c>
      <c r="C766" s="26" t="str">
        <f>IF(ISERROR(FIND(",", $C$767)), "Constant", "InputFromFile")</f>
        <v>Constant</v>
      </c>
      <c r="J766" s="177" t="str">
        <f>ConcatenateWithSpaces($B$766:$H$766)</f>
        <v>Form: Constant</v>
      </c>
    </row>
    <row r="767" spans="2:10" x14ac:dyDescent="0.2">
      <c r="B767" s="1" t="s">
        <v>2</v>
      </c>
      <c r="C767" s="26">
        <f>Soil!$G$19</f>
        <v>0.1070672172953222</v>
      </c>
      <c r="J767" s="177" t="str">
        <f>ConcatenateWithSpaces($B$767:$H$767)</f>
        <v>Value: 0.107067217295322</v>
      </c>
    </row>
    <row r="768" spans="2:10" x14ac:dyDescent="0.2">
      <c r="B768" s="1" t="s">
        <v>260</v>
      </c>
      <c r="J768" s="177" t="str">
        <f>ConcatenateWithSpaces($B$768:$H$768)</f>
        <v>Property: pH</v>
      </c>
    </row>
    <row r="769" spans="2:10" x14ac:dyDescent="0.2">
      <c r="B769" s="1" t="s">
        <v>521</v>
      </c>
      <c r="C769" s="26" t="str">
        <f>IF(ISERROR(FIND(",", $C$770)), "Constant", "InputFromFile")</f>
        <v>Constant</v>
      </c>
      <c r="J769" s="177" t="str">
        <f>ConcatenateWithSpaces($B$769:$H$769)</f>
        <v>Form: Constant</v>
      </c>
    </row>
    <row r="770" spans="2:10" x14ac:dyDescent="0.2">
      <c r="B770" s="1" t="s">
        <v>2</v>
      </c>
      <c r="C770" s="26">
        <f>Soil!$G$20</f>
        <v>5.382133386369663</v>
      </c>
      <c r="J770" s="177" t="str">
        <f>ConcatenateWithSpaces($B$770:$H$770)</f>
        <v>Value: 5.38213338636966</v>
      </c>
    </row>
    <row r="771" spans="2:10" x14ac:dyDescent="0.2">
      <c r="B771" s="1" t="s">
        <v>768</v>
      </c>
      <c r="J771" s="177" t="str">
        <f>ConcatenateWithSpaces($B$771:$H$771)</f>
        <v>Property: TotalRunoffRate_m3_m2_day</v>
      </c>
    </row>
    <row r="772" spans="2:10" x14ac:dyDescent="0.2">
      <c r="B772" s="1" t="s">
        <v>521</v>
      </c>
      <c r="C772" s="26" t="str">
        <f>IF(ISERROR(FIND(",", $C$773)), "Constant", "InputFromFile")</f>
        <v>Constant</v>
      </c>
      <c r="J772" s="177" t="str">
        <f>ConcatenateWithSpaces($B$772:$H$772)</f>
        <v>Form: Constant</v>
      </c>
    </row>
    <row r="773" spans="2:10" x14ac:dyDescent="0.2">
      <c r="B773" s="1" t="s">
        <v>2</v>
      </c>
      <c r="C773" s="248">
        <f>Soil!$G$22</f>
        <v>2.7923287671232879E-4</v>
      </c>
      <c r="J773" s="177" t="str">
        <f>ConcatenateWithSpaces($B$773:$H$773)</f>
        <v>Value: 2.79232876712329E-04</v>
      </c>
    </row>
    <row r="774" spans="2:10" x14ac:dyDescent="0.2">
      <c r="B774" s="1" t="s">
        <v>259</v>
      </c>
      <c r="J774" s="177" t="str">
        <f>ConcatenateWithSpaces($B$774:$H$774)</f>
        <v>Property: TotalErosionRate_kg_m2_day</v>
      </c>
    </row>
    <row r="775" spans="2:10" x14ac:dyDescent="0.2">
      <c r="B775" s="1" t="s">
        <v>521</v>
      </c>
      <c r="C775" s="26" t="str">
        <f>IF(ISERROR(FIND(",", $C$776)), "Constant", "InputFromFile")</f>
        <v>Constant</v>
      </c>
      <c r="J775" s="177" t="str">
        <f>ConcatenateWithSpaces($B$775:$H$775)</f>
        <v>Form: Constant</v>
      </c>
    </row>
    <row r="776" spans="2:10" x14ac:dyDescent="0.2">
      <c r="B776" s="1" t="s">
        <v>2</v>
      </c>
      <c r="C776" s="248">
        <f>Soil!$G$21</f>
        <v>7.5695101707880846E-5</v>
      </c>
      <c r="J776" s="177" t="str">
        <f>ConcatenateWithSpaces($B$776:$H$776)</f>
        <v>Value: 7.56951017078808E-05</v>
      </c>
    </row>
    <row r="777" spans="2:10" x14ac:dyDescent="0.2">
      <c r="B777" s="1" t="s">
        <v>769</v>
      </c>
      <c r="J777" s="177" t="str">
        <f>ConcatenateWithSpaces($B$777:$H$777)</f>
        <v>Property: VolumeFraction_liquid</v>
      </c>
    </row>
    <row r="778" spans="2:10" x14ac:dyDescent="0.2">
      <c r="B778" s="1" t="s">
        <v>521</v>
      </c>
      <c r="C778" s="26" t="str">
        <f>IF(ISERROR(FIND(",", $C$779)), "Constant", "InputFromFile")</f>
        <v>Constant</v>
      </c>
      <c r="J778" s="177" t="str">
        <f>ConcatenateWithSpaces($B$778:$H$778)</f>
        <v>Form: Constant</v>
      </c>
    </row>
    <row r="779" spans="2:10" x14ac:dyDescent="0.2">
      <c r="B779" s="1" t="s">
        <v>2</v>
      </c>
      <c r="C779" s="26">
        <f>Soil!$G$23</f>
        <v>0.12862520458265139</v>
      </c>
      <c r="J779" s="177" t="str">
        <f>ConcatenateWithSpaces($B$779:$H$779)</f>
        <v>Value: 0.128625204582651</v>
      </c>
    </row>
    <row r="780" spans="2:10" x14ac:dyDescent="0.2">
      <c r="J780" s="177" t="str">
        <f>ConcatenateWithSpaces($B$780:$H$780)</f>
        <v/>
      </c>
    </row>
    <row r="781" spans="2:10" x14ac:dyDescent="0.2">
      <c r="B781" s="1" t="s">
        <v>378</v>
      </c>
      <c r="C781" s="26" t="str">
        <f>"Soil - Surface in SurfSoil_" &amp; Soil!$H$6</f>
        <v>Soil - Surface in SurfSoil_N1</v>
      </c>
      <c r="J781" s="177" t="str">
        <f>ConcatenateWithSpaces($B$781:$H$781)</f>
        <v>Compartment: Soil - Surface in SurfSoil_N1</v>
      </c>
    </row>
    <row r="782" spans="2:10" x14ac:dyDescent="0.2">
      <c r="B782" s="1" t="s">
        <v>761</v>
      </c>
      <c r="J782" s="177" t="str">
        <f>ConcatenateWithSpaces($B$782:$H$782)</f>
        <v>Property: VolumeFraction_vapor</v>
      </c>
    </row>
    <row r="783" spans="2:10" x14ac:dyDescent="0.2">
      <c r="B783" s="1" t="s">
        <v>521</v>
      </c>
      <c r="C783" s="26" t="str">
        <f>IF(ISERROR(FIND(",", $C$784)), "Constant", "InputFromFile")</f>
        <v>Constant</v>
      </c>
      <c r="J783" s="177" t="str">
        <f>ConcatenateWithSpaces($B$783:$H$783)</f>
        <v>Form: Constant</v>
      </c>
    </row>
    <row r="784" spans="2:10" x14ac:dyDescent="0.2">
      <c r="B784" s="1" t="s">
        <v>2</v>
      </c>
      <c r="C784" s="26">
        <f>Soil!$H$11</f>
        <v>0.28000000000000003</v>
      </c>
      <c r="J784" s="177" t="str">
        <f>ConcatenateWithSpaces($B$784:$H$784)</f>
        <v>Value: 0.28</v>
      </c>
    </row>
    <row r="785" spans="2:10" x14ac:dyDescent="0.2">
      <c r="B785" s="1" t="s">
        <v>762</v>
      </c>
      <c r="J785" s="177" t="str">
        <f>ConcatenateWithSpaces($B$785:$H$785)</f>
        <v>Property: AverageVerticalVelocity</v>
      </c>
    </row>
    <row r="786" spans="2:10" x14ac:dyDescent="0.2">
      <c r="B786" s="1" t="s">
        <v>521</v>
      </c>
      <c r="C786" s="26" t="str">
        <f>IF(ISERROR(FIND(",", $C$787)), "Constant", "InputFromFile")</f>
        <v>Constant</v>
      </c>
      <c r="J786" s="177" t="str">
        <f>ConcatenateWithSpaces($B$786:$H$786)</f>
        <v>Form: Constant</v>
      </c>
    </row>
    <row r="787" spans="2:10" x14ac:dyDescent="0.2">
      <c r="B787" s="1" t="s">
        <v>2</v>
      </c>
      <c r="C787" s="248">
        <f>Soil!$H$12</f>
        <v>4.2958904109589049E-4</v>
      </c>
      <c r="J787" s="177" t="str">
        <f>ConcatenateWithSpaces($B$787:$H$787)</f>
        <v>Value: 4.2958904109589E-04</v>
      </c>
    </row>
    <row r="788" spans="2:10" x14ac:dyDescent="0.2">
      <c r="B788" s="1" t="s">
        <v>763</v>
      </c>
      <c r="J788" s="177" t="str">
        <f>ConcatenateWithSpaces($B$788:$H$788)</f>
        <v>Property: AirSoilBoundaryThickness</v>
      </c>
    </row>
    <row r="789" spans="2:10" x14ac:dyDescent="0.2">
      <c r="B789" s="1" t="s">
        <v>521</v>
      </c>
      <c r="C789" s="26" t="str">
        <f>IF(ISERROR(FIND(",", $C$790)), "Constant", "InputFromFile")</f>
        <v>Constant</v>
      </c>
      <c r="J789" s="177" t="str">
        <f>ConcatenateWithSpaces($B$789:$H$789)</f>
        <v>Form: Constant</v>
      </c>
    </row>
    <row r="790" spans="2:10" x14ac:dyDescent="0.2">
      <c r="B790" s="1" t="s">
        <v>2</v>
      </c>
      <c r="C790" s="26">
        <f>Soil!$H$13</f>
        <v>5.0000000000000001E-3</v>
      </c>
      <c r="J790" s="177" t="str">
        <f>ConcatenateWithSpaces($B$790:$H$790)</f>
        <v>Value: 0.005</v>
      </c>
    </row>
    <row r="791" spans="2:10" x14ac:dyDescent="0.2">
      <c r="B791" s="1" t="s">
        <v>4</v>
      </c>
      <c r="J791" s="177" t="str">
        <f>ConcatenateWithSpaces($B$791:$H$791)</f>
        <v>Property: rho</v>
      </c>
    </row>
    <row r="792" spans="2:10" x14ac:dyDescent="0.2">
      <c r="B792" s="1" t="s">
        <v>521</v>
      </c>
      <c r="C792" s="26" t="str">
        <f>IF(ISERROR(FIND(",", $C$793)), "Constant", "InputFromFile")</f>
        <v>Constant</v>
      </c>
      <c r="J792" s="177" t="str">
        <f>ConcatenateWithSpaces($B$792:$H$792)</f>
        <v>Form: Constant</v>
      </c>
    </row>
    <row r="793" spans="2:10" x14ac:dyDescent="0.2">
      <c r="B793" s="1" t="s">
        <v>2</v>
      </c>
      <c r="C793" s="26">
        <f>Soil!$H$14</f>
        <v>2600</v>
      </c>
      <c r="J793" s="177" t="str">
        <f>ConcatenateWithSpaces($B$793:$H$793)</f>
        <v>Value: 2600</v>
      </c>
    </row>
    <row r="794" spans="2:10" x14ac:dyDescent="0.2">
      <c r="B794" s="1" t="s">
        <v>764</v>
      </c>
      <c r="J794" s="177" t="str">
        <f>ConcatenateWithSpaces($B$794:$H$794)</f>
        <v>Property: Fractionofareaavailableforerosion</v>
      </c>
    </row>
    <row r="795" spans="2:10" x14ac:dyDescent="0.2">
      <c r="B795" s="1" t="s">
        <v>521</v>
      </c>
      <c r="C795" s="26" t="str">
        <f>IF(ISERROR(FIND(",", $C$796)), "Constant", "InputFromFile")</f>
        <v>Constant</v>
      </c>
      <c r="J795" s="177" t="str">
        <f>ConcatenateWithSpaces($B$795:$H$795)</f>
        <v>Form: Constant</v>
      </c>
    </row>
    <row r="796" spans="2:10" x14ac:dyDescent="0.2">
      <c r="B796" s="1" t="s">
        <v>2</v>
      </c>
      <c r="C796" s="26">
        <f>Soil!$H$15</f>
        <v>1</v>
      </c>
      <c r="J796" s="177" t="str">
        <f>ConcatenateWithSpaces($B$796:$H$796)</f>
        <v>Value: 1</v>
      </c>
    </row>
    <row r="797" spans="2:10" x14ac:dyDescent="0.2">
      <c r="B797" s="1" t="s">
        <v>765</v>
      </c>
      <c r="J797" s="177" t="str">
        <f>ConcatenateWithSpaces($B$797:$H$797)</f>
        <v>Property: FractionofAreaAvailableforRunoff</v>
      </c>
    </row>
    <row r="798" spans="2:10" x14ac:dyDescent="0.2">
      <c r="B798" s="1" t="s">
        <v>521</v>
      </c>
      <c r="C798" s="26" t="str">
        <f>IF(ISERROR(FIND(",", $C$799)), "Constant", "InputFromFile")</f>
        <v>Constant</v>
      </c>
      <c r="J798" s="177" t="str">
        <f>ConcatenateWithSpaces($B$798:$H$798)</f>
        <v>Form: Constant</v>
      </c>
    </row>
    <row r="799" spans="2:10" x14ac:dyDescent="0.2">
      <c r="B799" s="1" t="s">
        <v>2</v>
      </c>
      <c r="C799" s="26">
        <f>Soil!$H$16</f>
        <v>1</v>
      </c>
      <c r="J799" s="177" t="str">
        <f>ConcatenateWithSpaces($B$799:$H$799)</f>
        <v>Value: 1</v>
      </c>
    </row>
    <row r="800" spans="2:10" x14ac:dyDescent="0.2">
      <c r="B800" s="1" t="s">
        <v>766</v>
      </c>
      <c r="J800" s="177" t="str">
        <f>ConcatenateWithSpaces($B$800:$H$800)</f>
        <v>Property: Fractionofareaavailableforverticaldiffusion</v>
      </c>
    </row>
    <row r="801" spans="2:10" x14ac:dyDescent="0.2">
      <c r="B801" s="1" t="s">
        <v>521</v>
      </c>
      <c r="C801" s="26" t="str">
        <f>IF(ISERROR(FIND(",", $C$802)), "Constant", "InputFromFile")</f>
        <v>Constant</v>
      </c>
      <c r="J801" s="177" t="str">
        <f>ConcatenateWithSpaces($B$801:$H$801)</f>
        <v>Form: Constant</v>
      </c>
    </row>
    <row r="802" spans="2:10" x14ac:dyDescent="0.2">
      <c r="B802" s="1" t="s">
        <v>2</v>
      </c>
      <c r="C802" s="26">
        <f>Soil!$H$17</f>
        <v>1</v>
      </c>
      <c r="J802" s="177" t="str">
        <f>ConcatenateWithSpaces($B$802:$H$802)</f>
        <v>Value: 1</v>
      </c>
    </row>
    <row r="803" spans="2:10" x14ac:dyDescent="0.2">
      <c r="B803" s="1" t="s">
        <v>767</v>
      </c>
      <c r="J803" s="177" t="str">
        <f>ConcatenateWithSpaces($B$803:$H$803)</f>
        <v>Property: FractionSand</v>
      </c>
    </row>
    <row r="804" spans="2:10" x14ac:dyDescent="0.2">
      <c r="B804" s="1" t="s">
        <v>521</v>
      </c>
      <c r="C804" s="26" t="str">
        <f>IF(ISERROR(FIND(",", $C$805)), "Constant", "InputFromFile")</f>
        <v>Constant</v>
      </c>
      <c r="J804" s="177" t="str">
        <f>ConcatenateWithSpaces($B$804:$H$804)</f>
        <v>Form: Constant</v>
      </c>
    </row>
    <row r="805" spans="2:10" x14ac:dyDescent="0.2">
      <c r="B805" s="1" t="s">
        <v>2</v>
      </c>
      <c r="C805" s="26">
        <f>Soil!$H$18</f>
        <v>0.89615495121763855</v>
      </c>
      <c r="J805" s="177" t="str">
        <f>ConcatenateWithSpaces($B$805:$H$805)</f>
        <v>Value: 0.896154951217639</v>
      </c>
    </row>
    <row r="806" spans="2:10" x14ac:dyDescent="0.2">
      <c r="B806" s="1" t="s">
        <v>261</v>
      </c>
      <c r="J806" s="177" t="str">
        <f>ConcatenateWithSpaces($B$806:$H$806)</f>
        <v>Property: OrganicCarbonContent</v>
      </c>
    </row>
    <row r="807" spans="2:10" x14ac:dyDescent="0.2">
      <c r="B807" s="1" t="s">
        <v>521</v>
      </c>
      <c r="C807" s="26" t="str">
        <f>IF(ISERROR(FIND(",", $C$808)), "Constant", "InputFromFile")</f>
        <v>Constant</v>
      </c>
      <c r="J807" s="177" t="str">
        <f>ConcatenateWithSpaces($B$807:$H$807)</f>
        <v>Form: Constant</v>
      </c>
    </row>
    <row r="808" spans="2:10" x14ac:dyDescent="0.2">
      <c r="B808" s="1" t="s">
        <v>2</v>
      </c>
      <c r="C808" s="26">
        <f>Soil!$H$19</f>
        <v>0.16350797079311319</v>
      </c>
      <c r="J808" s="177" t="str">
        <f>ConcatenateWithSpaces($B$808:$H$808)</f>
        <v>Value: 0.163507970793113</v>
      </c>
    </row>
    <row r="809" spans="2:10" x14ac:dyDescent="0.2">
      <c r="B809" s="1" t="s">
        <v>260</v>
      </c>
      <c r="J809" s="177" t="str">
        <f>ConcatenateWithSpaces($B$809:$H$809)</f>
        <v>Property: pH</v>
      </c>
    </row>
    <row r="810" spans="2:10" x14ac:dyDescent="0.2">
      <c r="B810" s="1" t="s">
        <v>521</v>
      </c>
      <c r="C810" s="26" t="str">
        <f>IF(ISERROR(FIND(",", $C$811)), "Constant", "InputFromFile")</f>
        <v>Constant</v>
      </c>
      <c r="J810" s="177" t="str">
        <f>ConcatenateWithSpaces($B$810:$H$810)</f>
        <v>Form: Constant</v>
      </c>
    </row>
    <row r="811" spans="2:10" x14ac:dyDescent="0.2">
      <c r="B811" s="1" t="s">
        <v>2</v>
      </c>
      <c r="C811" s="26">
        <f>Soil!$H$20</f>
        <v>5.176738111700085</v>
      </c>
      <c r="J811" s="177" t="str">
        <f>ConcatenateWithSpaces($B$811:$H$811)</f>
        <v>Value: 5.17673811170009</v>
      </c>
    </row>
    <row r="812" spans="2:10" x14ac:dyDescent="0.2">
      <c r="B812" s="1" t="s">
        <v>768</v>
      </c>
      <c r="J812" s="177" t="str">
        <f>ConcatenateWithSpaces($B$812:$H$812)</f>
        <v>Property: TotalRunoffRate_m3_m2_day</v>
      </c>
    </row>
    <row r="813" spans="2:10" x14ac:dyDescent="0.2">
      <c r="B813" s="1" t="s">
        <v>521</v>
      </c>
      <c r="C813" s="26" t="str">
        <f>IF(ISERROR(FIND(",", $C$814)), "Constant", "InputFromFile")</f>
        <v>Constant</v>
      </c>
      <c r="J813" s="177" t="str">
        <f>ConcatenateWithSpaces($B$813:$H$813)</f>
        <v>Form: Constant</v>
      </c>
    </row>
    <row r="814" spans="2:10" x14ac:dyDescent="0.2">
      <c r="B814" s="1" t="s">
        <v>2</v>
      </c>
      <c r="C814" s="248">
        <f>Soil!$H$22</f>
        <v>2.7923287671232879E-4</v>
      </c>
      <c r="J814" s="177" t="str">
        <f>ConcatenateWithSpaces($B$814:$H$814)</f>
        <v>Value: 2.79232876712329E-04</v>
      </c>
    </row>
    <row r="815" spans="2:10" x14ac:dyDescent="0.2">
      <c r="B815" s="1" t="s">
        <v>259</v>
      </c>
      <c r="J815" s="177" t="str">
        <f>ConcatenateWithSpaces($B$815:$H$815)</f>
        <v>Property: TotalErosionRate_kg_m2_day</v>
      </c>
    </row>
    <row r="816" spans="2:10" x14ac:dyDescent="0.2">
      <c r="B816" s="1" t="s">
        <v>521</v>
      </c>
      <c r="C816" s="26" t="str">
        <f>IF(ISERROR(FIND(",", $C$817)), "Constant", "InputFromFile")</f>
        <v>Constant</v>
      </c>
      <c r="J816" s="177" t="str">
        <f>ConcatenateWithSpaces($B$816:$H$816)</f>
        <v>Form: Constant</v>
      </c>
    </row>
    <row r="817" spans="2:10" x14ac:dyDescent="0.2">
      <c r="B817" s="1" t="s">
        <v>2</v>
      </c>
      <c r="C817" s="248">
        <f>Soil!$H$21</f>
        <v>7.7000319917066987E-5</v>
      </c>
      <c r="J817" s="177" t="str">
        <f>ConcatenateWithSpaces($B$817:$H$817)</f>
        <v>Value: 7.7000319917067E-05</v>
      </c>
    </row>
    <row r="818" spans="2:10" x14ac:dyDescent="0.2">
      <c r="B818" s="1" t="s">
        <v>769</v>
      </c>
      <c r="J818" s="177" t="str">
        <f>ConcatenateWithSpaces($B$818:$H$818)</f>
        <v>Property: VolumeFraction_liquid</v>
      </c>
    </row>
    <row r="819" spans="2:10" x14ac:dyDescent="0.2">
      <c r="B819" s="1" t="s">
        <v>521</v>
      </c>
      <c r="C819" s="26" t="str">
        <f>IF(ISERROR(FIND(",", $C$820)), "Constant", "InputFromFile")</f>
        <v>Constant</v>
      </c>
      <c r="J819" s="177" t="str">
        <f>ConcatenateWithSpaces($B$819:$H$819)</f>
        <v>Form: Constant</v>
      </c>
    </row>
    <row r="820" spans="2:10" x14ac:dyDescent="0.2">
      <c r="B820" s="1" t="s">
        <v>2</v>
      </c>
      <c r="C820" s="26">
        <f>Soil!$H$23</f>
        <v>0.14657678420527007</v>
      </c>
      <c r="J820" s="177" t="str">
        <f>ConcatenateWithSpaces($B$820:$H$820)</f>
        <v>Value: 0.14657678420527</v>
      </c>
    </row>
    <row r="821" spans="2:10" x14ac:dyDescent="0.2">
      <c r="J821" s="177" t="str">
        <f>ConcatenateWithSpaces($B$821:$H$821)</f>
        <v/>
      </c>
    </row>
    <row r="822" spans="2:10" x14ac:dyDescent="0.2">
      <c r="B822" s="1" t="s">
        <v>378</v>
      </c>
      <c r="C822" s="26" t="str">
        <f>"Soil - Surface in SurfSoil_" &amp; Soil!$I$6</f>
        <v>Soil - Surface in SurfSoil_N2</v>
      </c>
      <c r="J822" s="177" t="str">
        <f>ConcatenateWithSpaces($B$822:$H$822)</f>
        <v>Compartment: Soil - Surface in SurfSoil_N2</v>
      </c>
    </row>
    <row r="823" spans="2:10" x14ac:dyDescent="0.2">
      <c r="B823" s="1" t="s">
        <v>761</v>
      </c>
      <c r="J823" s="177" t="str">
        <f>ConcatenateWithSpaces($B$823:$H$823)</f>
        <v>Property: VolumeFraction_vapor</v>
      </c>
    </row>
    <row r="824" spans="2:10" x14ac:dyDescent="0.2">
      <c r="B824" s="1" t="s">
        <v>521</v>
      </c>
      <c r="C824" s="26" t="str">
        <f>IF(ISERROR(FIND(",", $C$825)), "Constant", "InputFromFile")</f>
        <v>Constant</v>
      </c>
      <c r="J824" s="177" t="str">
        <f>ConcatenateWithSpaces($B$824:$H$824)</f>
        <v>Form: Constant</v>
      </c>
    </row>
    <row r="825" spans="2:10" x14ac:dyDescent="0.2">
      <c r="B825" s="1" t="s">
        <v>2</v>
      </c>
      <c r="C825" s="26">
        <f>Soil!$I$11</f>
        <v>0.1</v>
      </c>
      <c r="J825" s="177" t="str">
        <f>ConcatenateWithSpaces($B$825:$H$825)</f>
        <v>Value: 0.1</v>
      </c>
    </row>
    <row r="826" spans="2:10" x14ac:dyDescent="0.2">
      <c r="B826" s="1" t="s">
        <v>762</v>
      </c>
      <c r="J826" s="177" t="str">
        <f>ConcatenateWithSpaces($B$826:$H$826)</f>
        <v>Property: AverageVerticalVelocity</v>
      </c>
    </row>
    <row r="827" spans="2:10" x14ac:dyDescent="0.2">
      <c r="B827" s="1" t="s">
        <v>521</v>
      </c>
      <c r="C827" s="26" t="str">
        <f>IF(ISERROR(FIND(",", $C$828)), "Constant", "InputFromFile")</f>
        <v>Constant</v>
      </c>
      <c r="J827" s="177" t="str">
        <f>ConcatenateWithSpaces($B$827:$H$827)</f>
        <v>Form: Constant</v>
      </c>
    </row>
    <row r="828" spans="2:10" x14ac:dyDescent="0.2">
      <c r="B828" s="1" t="s">
        <v>2</v>
      </c>
      <c r="C828" s="248">
        <f>Soil!$I$12</f>
        <v>0</v>
      </c>
      <c r="J828" s="177" t="str">
        <f>ConcatenateWithSpaces($B$828:$H$828)</f>
        <v>Value: 0</v>
      </c>
    </row>
    <row r="829" spans="2:10" x14ac:dyDescent="0.2">
      <c r="B829" s="1" t="s">
        <v>763</v>
      </c>
      <c r="J829" s="177" t="str">
        <f>ConcatenateWithSpaces($B$829:$H$829)</f>
        <v>Property: AirSoilBoundaryThickness</v>
      </c>
    </row>
    <row r="830" spans="2:10" x14ac:dyDescent="0.2">
      <c r="B830" s="1" t="s">
        <v>521</v>
      </c>
      <c r="C830" s="26" t="str">
        <f>IF(ISERROR(FIND(",", $C$831)), "Constant", "InputFromFile")</f>
        <v>Constant</v>
      </c>
      <c r="J830" s="177" t="str">
        <f>ConcatenateWithSpaces($B$830:$H$830)</f>
        <v>Form: Constant</v>
      </c>
    </row>
    <row r="831" spans="2:10" x14ac:dyDescent="0.2">
      <c r="B831" s="1" t="s">
        <v>2</v>
      </c>
      <c r="C831" s="26">
        <f>Soil!$I$13</f>
        <v>5.0000000000000001E-3</v>
      </c>
      <c r="J831" s="177" t="str">
        <f>ConcatenateWithSpaces($B$831:$H$831)</f>
        <v>Value: 0.005</v>
      </c>
    </row>
    <row r="832" spans="2:10" x14ac:dyDescent="0.2">
      <c r="B832" s="1" t="s">
        <v>4</v>
      </c>
      <c r="J832" s="177" t="str">
        <f>ConcatenateWithSpaces($B$832:$H$832)</f>
        <v>Property: rho</v>
      </c>
    </row>
    <row r="833" spans="2:10" x14ac:dyDescent="0.2">
      <c r="B833" s="1" t="s">
        <v>521</v>
      </c>
      <c r="C833" s="26" t="str">
        <f>IF(ISERROR(FIND(",", $C$834)), "Constant", "InputFromFile")</f>
        <v>Constant</v>
      </c>
      <c r="J833" s="177" t="str">
        <f>ConcatenateWithSpaces($B$833:$H$833)</f>
        <v>Form: Constant</v>
      </c>
    </row>
    <row r="834" spans="2:10" x14ac:dyDescent="0.2">
      <c r="B834" s="1" t="s">
        <v>2</v>
      </c>
      <c r="C834" s="26">
        <f>Soil!$I$14</f>
        <v>500</v>
      </c>
      <c r="J834" s="177" t="str">
        <f>ConcatenateWithSpaces($B$834:$H$834)</f>
        <v>Value: 500</v>
      </c>
    </row>
    <row r="835" spans="2:10" x14ac:dyDescent="0.2">
      <c r="B835" s="1" t="s">
        <v>764</v>
      </c>
      <c r="J835" s="177" t="str">
        <f>ConcatenateWithSpaces($B$835:$H$835)</f>
        <v>Property: Fractionofareaavailableforerosion</v>
      </c>
    </row>
    <row r="836" spans="2:10" x14ac:dyDescent="0.2">
      <c r="B836" s="1" t="s">
        <v>521</v>
      </c>
      <c r="C836" s="26" t="str">
        <f>IF(ISERROR(FIND(",", $C$837)), "Constant", "InputFromFile")</f>
        <v>Constant</v>
      </c>
      <c r="J836" s="177" t="str">
        <f>ConcatenateWithSpaces($B$836:$H$836)</f>
        <v>Form: Constant</v>
      </c>
    </row>
    <row r="837" spans="2:10" x14ac:dyDescent="0.2">
      <c r="B837" s="1" t="s">
        <v>2</v>
      </c>
      <c r="C837" s="26">
        <f>Soil!$I$15</f>
        <v>1</v>
      </c>
      <c r="J837" s="177" t="str">
        <f>ConcatenateWithSpaces($B$837:$H$837)</f>
        <v>Value: 1</v>
      </c>
    </row>
    <row r="838" spans="2:10" x14ac:dyDescent="0.2">
      <c r="B838" s="1" t="s">
        <v>765</v>
      </c>
      <c r="J838" s="177" t="str">
        <f>ConcatenateWithSpaces($B$838:$H$838)</f>
        <v>Property: FractionofAreaAvailableforRunoff</v>
      </c>
    </row>
    <row r="839" spans="2:10" x14ac:dyDescent="0.2">
      <c r="B839" s="1" t="s">
        <v>521</v>
      </c>
      <c r="C839" s="26" t="str">
        <f>IF(ISERROR(FIND(",", $C$840)), "Constant", "InputFromFile")</f>
        <v>Constant</v>
      </c>
      <c r="J839" s="177" t="str">
        <f>ConcatenateWithSpaces($B$839:$H$839)</f>
        <v>Form: Constant</v>
      </c>
    </row>
    <row r="840" spans="2:10" x14ac:dyDescent="0.2">
      <c r="B840" s="1" t="s">
        <v>2</v>
      </c>
      <c r="C840" s="26">
        <f>Soil!$I$16</f>
        <v>1</v>
      </c>
      <c r="J840" s="177" t="str">
        <f>ConcatenateWithSpaces($B$840:$H$840)</f>
        <v>Value: 1</v>
      </c>
    </row>
    <row r="841" spans="2:10" x14ac:dyDescent="0.2">
      <c r="B841" s="1" t="s">
        <v>766</v>
      </c>
      <c r="J841" s="177" t="str">
        <f>ConcatenateWithSpaces($B$841:$H$841)</f>
        <v>Property: Fractionofareaavailableforverticaldiffusion</v>
      </c>
    </row>
    <row r="842" spans="2:10" x14ac:dyDescent="0.2">
      <c r="B842" s="1" t="s">
        <v>521</v>
      </c>
      <c r="C842" s="26" t="str">
        <f>IF(ISERROR(FIND(",", $C$843)), "Constant", "InputFromFile")</f>
        <v>Constant</v>
      </c>
      <c r="J842" s="177" t="str">
        <f>ConcatenateWithSpaces($B$842:$H$842)</f>
        <v>Form: Constant</v>
      </c>
    </row>
    <row r="843" spans="2:10" x14ac:dyDescent="0.2">
      <c r="B843" s="1" t="s">
        <v>2</v>
      </c>
      <c r="C843" s="26">
        <f>Soil!$I$17</f>
        <v>1</v>
      </c>
      <c r="J843" s="177" t="str">
        <f>ConcatenateWithSpaces($B$843:$H$843)</f>
        <v>Value: 1</v>
      </c>
    </row>
    <row r="844" spans="2:10" x14ac:dyDescent="0.2">
      <c r="B844" s="1" t="s">
        <v>767</v>
      </c>
      <c r="J844" s="177" t="str">
        <f>ConcatenateWithSpaces($B$844:$H$844)</f>
        <v>Property: FractionSand</v>
      </c>
    </row>
    <row r="845" spans="2:10" x14ac:dyDescent="0.2">
      <c r="B845" s="1" t="s">
        <v>521</v>
      </c>
      <c r="C845" s="26" t="str">
        <f>IF(ISERROR(FIND(",", $C$846)), "Constant", "InputFromFile")</f>
        <v>Constant</v>
      </c>
      <c r="J845" s="177" t="str">
        <f>ConcatenateWithSpaces($B$845:$H$845)</f>
        <v>Form: Constant</v>
      </c>
    </row>
    <row r="846" spans="2:10" x14ac:dyDescent="0.2">
      <c r="B846" s="1" t="s">
        <v>2</v>
      </c>
      <c r="C846" s="26">
        <f>Soil!$I$18</f>
        <v>0.74558749863878904</v>
      </c>
      <c r="J846" s="177" t="str">
        <f>ConcatenateWithSpaces($B$846:$H$846)</f>
        <v>Value: 0.745587498638789</v>
      </c>
    </row>
    <row r="847" spans="2:10" x14ac:dyDescent="0.2">
      <c r="B847" s="1" t="s">
        <v>261</v>
      </c>
      <c r="J847" s="177" t="str">
        <f>ConcatenateWithSpaces($B$847:$H$847)</f>
        <v>Property: OrganicCarbonContent</v>
      </c>
    </row>
    <row r="848" spans="2:10" x14ac:dyDescent="0.2">
      <c r="B848" s="1" t="s">
        <v>521</v>
      </c>
      <c r="C848" s="26" t="str">
        <f>IF(ISERROR(FIND(",", $C$849)), "Constant", "InputFromFile")</f>
        <v>Constant</v>
      </c>
      <c r="J848" s="177" t="str">
        <f>ConcatenateWithSpaces($B$848:$H$848)</f>
        <v>Form: Constant</v>
      </c>
    </row>
    <row r="849" spans="2:10" x14ac:dyDescent="0.2">
      <c r="B849" s="1" t="s">
        <v>2</v>
      </c>
      <c r="C849" s="26">
        <f>Soil!$I$19</f>
        <v>0.22442216693396125</v>
      </c>
      <c r="J849" s="177" t="str">
        <f>ConcatenateWithSpaces($B$849:$H$849)</f>
        <v>Value: 0.224422166933961</v>
      </c>
    </row>
    <row r="850" spans="2:10" x14ac:dyDescent="0.2">
      <c r="B850" s="1" t="s">
        <v>260</v>
      </c>
      <c r="J850" s="177" t="str">
        <f>ConcatenateWithSpaces($B$850:$H$850)</f>
        <v>Property: pH</v>
      </c>
    </row>
    <row r="851" spans="2:10" x14ac:dyDescent="0.2">
      <c r="B851" s="1" t="s">
        <v>521</v>
      </c>
      <c r="C851" s="26" t="str">
        <f>IF(ISERROR(FIND(",", $C$852)), "Constant", "InputFromFile")</f>
        <v>Constant</v>
      </c>
      <c r="J851" s="177" t="str">
        <f>ConcatenateWithSpaces($B$851:$H$851)</f>
        <v>Form: Constant</v>
      </c>
    </row>
    <row r="852" spans="2:10" x14ac:dyDescent="0.2">
      <c r="B852" s="1" t="s">
        <v>2</v>
      </c>
      <c r="C852" s="26">
        <f>Soil!$I$20</f>
        <v>5.9782412814950767</v>
      </c>
      <c r="J852" s="177" t="str">
        <f>ConcatenateWithSpaces($B$852:$H$852)</f>
        <v>Value: 5.97824128149508</v>
      </c>
    </row>
    <row r="853" spans="2:10" x14ac:dyDescent="0.2">
      <c r="B853" s="1" t="s">
        <v>768</v>
      </c>
      <c r="J853" s="177" t="str">
        <f>ConcatenateWithSpaces($B$853:$H$853)</f>
        <v>Property: TotalRunoffRate_m3_m2_day</v>
      </c>
    </row>
    <row r="854" spans="2:10" x14ac:dyDescent="0.2">
      <c r="B854" s="1" t="s">
        <v>521</v>
      </c>
      <c r="C854" s="26" t="str">
        <f>IF(ISERROR(FIND(",", $C$855)), "Constant", "InputFromFile")</f>
        <v>Constant</v>
      </c>
      <c r="J854" s="177" t="str">
        <f>ConcatenateWithSpaces($B$854:$H$854)</f>
        <v>Form: Constant</v>
      </c>
    </row>
    <row r="855" spans="2:10" x14ac:dyDescent="0.2">
      <c r="B855" s="1" t="s">
        <v>2</v>
      </c>
      <c r="C855" s="248">
        <f>Soil!$I$22</f>
        <v>3.007123287671233E-4</v>
      </c>
      <c r="J855" s="177" t="str">
        <f>ConcatenateWithSpaces($B$855:$H$855)</f>
        <v>Value: 3.00712328767123E-04</v>
      </c>
    </row>
    <row r="856" spans="2:10" x14ac:dyDescent="0.2">
      <c r="B856" s="1" t="s">
        <v>259</v>
      </c>
      <c r="J856" s="177" t="str">
        <f>ConcatenateWithSpaces($B$856:$H$856)</f>
        <v>Property: TotalErosionRate_kg_m2_day</v>
      </c>
    </row>
    <row r="857" spans="2:10" x14ac:dyDescent="0.2">
      <c r="B857" s="1" t="s">
        <v>521</v>
      </c>
      <c r="C857" s="26" t="str">
        <f>IF(ISERROR(FIND(",", $C$858)), "Constant", "InputFromFile")</f>
        <v>Constant</v>
      </c>
      <c r="J857" s="177" t="str">
        <f>ConcatenateWithSpaces($B$857:$H$857)</f>
        <v>Form: Constant</v>
      </c>
    </row>
    <row r="858" spans="2:10" x14ac:dyDescent="0.2">
      <c r="B858" s="1" t="s">
        <v>2</v>
      </c>
      <c r="C858" s="248">
        <f>Soil!$I$21</f>
        <v>8.3553426618490844E-6</v>
      </c>
      <c r="J858" s="177" t="str">
        <f>ConcatenateWithSpaces($B$858:$H$858)</f>
        <v>Value: 8.35534266184908E-06</v>
      </c>
    </row>
    <row r="859" spans="2:10" x14ac:dyDescent="0.2">
      <c r="B859" s="1" t="s">
        <v>769</v>
      </c>
      <c r="J859" s="177" t="str">
        <f>ConcatenateWithSpaces($B$859:$H$859)</f>
        <v>Property: VolumeFraction_liquid</v>
      </c>
    </row>
    <row r="860" spans="2:10" x14ac:dyDescent="0.2">
      <c r="B860" s="1" t="s">
        <v>521</v>
      </c>
      <c r="C860" s="26" t="str">
        <f>IF(ISERROR(FIND(",", $C$861)), "Constant", "InputFromFile")</f>
        <v>Constant</v>
      </c>
      <c r="J860" s="177" t="str">
        <f>ConcatenateWithSpaces($B$860:$H$860)</f>
        <v>Form: Constant</v>
      </c>
    </row>
    <row r="861" spans="2:10" x14ac:dyDescent="0.2">
      <c r="B861" s="1" t="s">
        <v>2</v>
      </c>
      <c r="C861" s="26">
        <f>Soil!$I$23</f>
        <v>0.6</v>
      </c>
      <c r="J861" s="177" t="str">
        <f>ConcatenateWithSpaces($B$861:$H$861)</f>
        <v>Value: 0.6</v>
      </c>
    </row>
    <row r="862" spans="2:10" x14ac:dyDescent="0.2">
      <c r="J862" s="177" t="str">
        <f>ConcatenateWithSpaces($B$862:$H$862)</f>
        <v/>
      </c>
    </row>
    <row r="863" spans="2:10" x14ac:dyDescent="0.2">
      <c r="B863" s="1" t="s">
        <v>378</v>
      </c>
      <c r="C863" s="26" t="str">
        <f>"Soil - Surface in SurfSoil_" &amp; Soil!$J$6</f>
        <v>Soil - Surface in SurfSoil_NE1</v>
      </c>
      <c r="J863" s="177" t="str">
        <f>ConcatenateWithSpaces($B$863:$H$863)</f>
        <v>Compartment: Soil - Surface in SurfSoil_NE1</v>
      </c>
    </row>
    <row r="864" spans="2:10" x14ac:dyDescent="0.2">
      <c r="B864" s="1" t="s">
        <v>761</v>
      </c>
      <c r="J864" s="177" t="str">
        <f>ConcatenateWithSpaces($B$864:$H$864)</f>
        <v>Property: VolumeFraction_vapor</v>
      </c>
    </row>
    <row r="865" spans="2:10" x14ac:dyDescent="0.2">
      <c r="B865" s="1" t="s">
        <v>521</v>
      </c>
      <c r="C865" s="26" t="str">
        <f>IF(ISERROR(FIND(",", $C$866)), "Constant", "InputFromFile")</f>
        <v>Constant</v>
      </c>
      <c r="J865" s="177" t="str">
        <f>ConcatenateWithSpaces($B$865:$H$865)</f>
        <v>Form: Constant</v>
      </c>
    </row>
    <row r="866" spans="2:10" x14ac:dyDescent="0.2">
      <c r="B866" s="1" t="s">
        <v>2</v>
      </c>
      <c r="C866" s="26">
        <f>Soil!$J$11</f>
        <v>0.28000000000000003</v>
      </c>
      <c r="J866" s="177" t="str">
        <f>ConcatenateWithSpaces($B$866:$H$866)</f>
        <v>Value: 0.28</v>
      </c>
    </row>
    <row r="867" spans="2:10" x14ac:dyDescent="0.2">
      <c r="B867" s="1" t="s">
        <v>762</v>
      </c>
      <c r="J867" s="177" t="str">
        <f>ConcatenateWithSpaces($B$867:$H$867)</f>
        <v>Property: AverageVerticalVelocity</v>
      </c>
    </row>
    <row r="868" spans="2:10" x14ac:dyDescent="0.2">
      <c r="B868" s="1" t="s">
        <v>521</v>
      </c>
      <c r="C868" s="26" t="str">
        <f>IF(ISERROR(FIND(",", $C$869)), "Constant", "InputFromFile")</f>
        <v>Constant</v>
      </c>
      <c r="J868" s="177" t="str">
        <f>ConcatenateWithSpaces($B$868:$H$868)</f>
        <v>Form: Constant</v>
      </c>
    </row>
    <row r="869" spans="2:10" x14ac:dyDescent="0.2">
      <c r="B869" s="1" t="s">
        <v>2</v>
      </c>
      <c r="C869" s="248">
        <f>Soil!$J$12</f>
        <v>4.2958904109589049E-4</v>
      </c>
      <c r="J869" s="177" t="str">
        <f>ConcatenateWithSpaces($B$869:$H$869)</f>
        <v>Value: 4.2958904109589E-04</v>
      </c>
    </row>
    <row r="870" spans="2:10" x14ac:dyDescent="0.2">
      <c r="B870" s="1" t="s">
        <v>763</v>
      </c>
      <c r="J870" s="177" t="str">
        <f>ConcatenateWithSpaces($B$870:$H$870)</f>
        <v>Property: AirSoilBoundaryThickness</v>
      </c>
    </row>
    <row r="871" spans="2:10" x14ac:dyDescent="0.2">
      <c r="B871" s="1" t="s">
        <v>521</v>
      </c>
      <c r="C871" s="26" t="str">
        <f>IF(ISERROR(FIND(",", $C$872)), "Constant", "InputFromFile")</f>
        <v>Constant</v>
      </c>
      <c r="J871" s="177" t="str">
        <f>ConcatenateWithSpaces($B$871:$H$871)</f>
        <v>Form: Constant</v>
      </c>
    </row>
    <row r="872" spans="2:10" x14ac:dyDescent="0.2">
      <c r="B872" s="1" t="s">
        <v>2</v>
      </c>
      <c r="C872" s="26">
        <f>Soil!$J$13</f>
        <v>5.0000000000000001E-3</v>
      </c>
      <c r="J872" s="177" t="str">
        <f>ConcatenateWithSpaces($B$872:$H$872)</f>
        <v>Value: 0.005</v>
      </c>
    </row>
    <row r="873" spans="2:10" x14ac:dyDescent="0.2">
      <c r="B873" s="1" t="s">
        <v>4</v>
      </c>
      <c r="J873" s="177" t="str">
        <f>ConcatenateWithSpaces($B$873:$H$873)</f>
        <v>Property: rho</v>
      </c>
    </row>
    <row r="874" spans="2:10" x14ac:dyDescent="0.2">
      <c r="B874" s="1" t="s">
        <v>521</v>
      </c>
      <c r="C874" s="26" t="str">
        <f>IF(ISERROR(FIND(",", $C$875)), "Constant", "InputFromFile")</f>
        <v>Constant</v>
      </c>
      <c r="J874" s="177" t="str">
        <f>ConcatenateWithSpaces($B$874:$H$874)</f>
        <v>Form: Constant</v>
      </c>
    </row>
    <row r="875" spans="2:10" x14ac:dyDescent="0.2">
      <c r="B875" s="1" t="s">
        <v>2</v>
      </c>
      <c r="C875" s="26">
        <f>Soil!$J$14</f>
        <v>2600</v>
      </c>
      <c r="J875" s="177" t="str">
        <f>ConcatenateWithSpaces($B$875:$H$875)</f>
        <v>Value: 2600</v>
      </c>
    </row>
    <row r="876" spans="2:10" x14ac:dyDescent="0.2">
      <c r="B876" s="1" t="s">
        <v>764</v>
      </c>
      <c r="J876" s="177" t="str">
        <f>ConcatenateWithSpaces($B$876:$H$876)</f>
        <v>Property: Fractionofareaavailableforerosion</v>
      </c>
    </row>
    <row r="877" spans="2:10" x14ac:dyDescent="0.2">
      <c r="B877" s="1" t="s">
        <v>521</v>
      </c>
      <c r="C877" s="26" t="str">
        <f>IF(ISERROR(FIND(",", $C$878)), "Constant", "InputFromFile")</f>
        <v>Constant</v>
      </c>
      <c r="J877" s="177" t="str">
        <f>ConcatenateWithSpaces($B$877:$H$877)</f>
        <v>Form: Constant</v>
      </c>
    </row>
    <row r="878" spans="2:10" x14ac:dyDescent="0.2">
      <c r="B878" s="1" t="s">
        <v>2</v>
      </c>
      <c r="C878" s="26">
        <f>Soil!$J$15</f>
        <v>1</v>
      </c>
      <c r="J878" s="177" t="str">
        <f>ConcatenateWithSpaces($B$878:$H$878)</f>
        <v>Value: 1</v>
      </c>
    </row>
    <row r="879" spans="2:10" x14ac:dyDescent="0.2">
      <c r="B879" s="1" t="s">
        <v>765</v>
      </c>
      <c r="J879" s="177" t="str">
        <f>ConcatenateWithSpaces($B$879:$H$879)</f>
        <v>Property: FractionofAreaAvailableforRunoff</v>
      </c>
    </row>
    <row r="880" spans="2:10" x14ac:dyDescent="0.2">
      <c r="B880" s="1" t="s">
        <v>521</v>
      </c>
      <c r="C880" s="26" t="str">
        <f>IF(ISERROR(FIND(",", $C$881)), "Constant", "InputFromFile")</f>
        <v>Constant</v>
      </c>
      <c r="J880" s="177" t="str">
        <f>ConcatenateWithSpaces($B$880:$H$880)</f>
        <v>Form: Constant</v>
      </c>
    </row>
    <row r="881" spans="2:10" x14ac:dyDescent="0.2">
      <c r="B881" s="1" t="s">
        <v>2</v>
      </c>
      <c r="C881" s="26">
        <f>Soil!$J$16</f>
        <v>1</v>
      </c>
      <c r="J881" s="177" t="str">
        <f>ConcatenateWithSpaces($B$881:$H$881)</f>
        <v>Value: 1</v>
      </c>
    </row>
    <row r="882" spans="2:10" x14ac:dyDescent="0.2">
      <c r="B882" s="1" t="s">
        <v>766</v>
      </c>
      <c r="J882" s="177" t="str">
        <f>ConcatenateWithSpaces($B$882:$H$882)</f>
        <v>Property: Fractionofareaavailableforverticaldiffusion</v>
      </c>
    </row>
    <row r="883" spans="2:10" x14ac:dyDescent="0.2">
      <c r="B883" s="1" t="s">
        <v>521</v>
      </c>
      <c r="C883" s="26" t="str">
        <f>IF(ISERROR(FIND(",", $C$884)), "Constant", "InputFromFile")</f>
        <v>Constant</v>
      </c>
      <c r="J883" s="177" t="str">
        <f>ConcatenateWithSpaces($B$883:$H$883)</f>
        <v>Form: Constant</v>
      </c>
    </row>
    <row r="884" spans="2:10" x14ac:dyDescent="0.2">
      <c r="B884" s="1" t="s">
        <v>2</v>
      </c>
      <c r="C884" s="26">
        <f>Soil!$J$17</f>
        <v>1</v>
      </c>
      <c r="J884" s="177" t="str">
        <f>ConcatenateWithSpaces($B$884:$H$884)</f>
        <v>Value: 1</v>
      </c>
    </row>
    <row r="885" spans="2:10" x14ac:dyDescent="0.2">
      <c r="B885" s="1" t="s">
        <v>767</v>
      </c>
      <c r="J885" s="177" t="str">
        <f>ConcatenateWithSpaces($B$885:$H$885)</f>
        <v>Property: FractionSand</v>
      </c>
    </row>
    <row r="886" spans="2:10" x14ac:dyDescent="0.2">
      <c r="B886" s="1" t="s">
        <v>521</v>
      </c>
      <c r="C886" s="26" t="str">
        <f>IF(ISERROR(FIND(",", $C$887)), "Constant", "InputFromFile")</f>
        <v>Constant</v>
      </c>
      <c r="J886" s="177" t="str">
        <f>ConcatenateWithSpaces($B$886:$H$886)</f>
        <v>Form: Constant</v>
      </c>
    </row>
    <row r="887" spans="2:10" x14ac:dyDescent="0.2">
      <c r="B887" s="1" t="s">
        <v>2</v>
      </c>
      <c r="C887" s="26">
        <f>Soil!$J$18</f>
        <v>0.86275903798085707</v>
      </c>
      <c r="J887" s="177" t="str">
        <f>ConcatenateWithSpaces($B$887:$H$887)</f>
        <v>Value: 0.862759037980857</v>
      </c>
    </row>
    <row r="888" spans="2:10" x14ac:dyDescent="0.2">
      <c r="B888" s="1" t="s">
        <v>261</v>
      </c>
      <c r="J888" s="177" t="str">
        <f>ConcatenateWithSpaces($B$888:$H$888)</f>
        <v>Property: OrganicCarbonContent</v>
      </c>
    </row>
    <row r="889" spans="2:10" x14ac:dyDescent="0.2">
      <c r="B889" s="1" t="s">
        <v>521</v>
      </c>
      <c r="C889" s="26" t="str">
        <f>IF(ISERROR(FIND(",", $C$890)), "Constant", "InputFromFile")</f>
        <v>Constant</v>
      </c>
      <c r="J889" s="177" t="str">
        <f>ConcatenateWithSpaces($B$889:$H$889)</f>
        <v>Form: Constant</v>
      </c>
    </row>
    <row r="890" spans="2:10" x14ac:dyDescent="0.2">
      <c r="B890" s="1" t="s">
        <v>2</v>
      </c>
      <c r="C890" s="26">
        <f>Soil!$J$19</f>
        <v>0.10687853081244557</v>
      </c>
      <c r="J890" s="177" t="str">
        <f>ConcatenateWithSpaces($B$890:$H$890)</f>
        <v>Value: 0.106878530812446</v>
      </c>
    </row>
    <row r="891" spans="2:10" x14ac:dyDescent="0.2">
      <c r="B891" s="1" t="s">
        <v>260</v>
      </c>
      <c r="J891" s="177" t="str">
        <f>ConcatenateWithSpaces($B$891:$H$891)</f>
        <v>Property: pH</v>
      </c>
    </row>
    <row r="892" spans="2:10" x14ac:dyDescent="0.2">
      <c r="B892" s="1" t="s">
        <v>521</v>
      </c>
      <c r="C892" s="26" t="str">
        <f>IF(ISERROR(FIND(",", $C$893)), "Constant", "InputFromFile")</f>
        <v>Constant</v>
      </c>
      <c r="J892" s="177" t="str">
        <f>ConcatenateWithSpaces($B$892:$H$892)</f>
        <v>Form: Constant</v>
      </c>
    </row>
    <row r="893" spans="2:10" x14ac:dyDescent="0.2">
      <c r="B893" s="1" t="s">
        <v>2</v>
      </c>
      <c r="C893" s="26">
        <f>Soil!$J$20</f>
        <v>5.599173909037864</v>
      </c>
      <c r="J893" s="177" t="str">
        <f>ConcatenateWithSpaces($B$893:$H$893)</f>
        <v>Value: 5.59917390903786</v>
      </c>
    </row>
    <row r="894" spans="2:10" x14ac:dyDescent="0.2">
      <c r="B894" s="1" t="s">
        <v>768</v>
      </c>
      <c r="J894" s="177" t="str">
        <f>ConcatenateWithSpaces($B$894:$H$894)</f>
        <v>Property: TotalRunoffRate_m3_m2_day</v>
      </c>
    </row>
    <row r="895" spans="2:10" x14ac:dyDescent="0.2">
      <c r="B895" s="1" t="s">
        <v>521</v>
      </c>
      <c r="C895" s="26" t="str">
        <f>IF(ISERROR(FIND(",", $C$896)), "Constant", "InputFromFile")</f>
        <v>Constant</v>
      </c>
      <c r="J895" s="177" t="str">
        <f>ConcatenateWithSpaces($B$895:$H$895)</f>
        <v>Form: Constant</v>
      </c>
    </row>
    <row r="896" spans="2:10" x14ac:dyDescent="0.2">
      <c r="B896" s="1" t="s">
        <v>2</v>
      </c>
      <c r="C896" s="248">
        <f>Soil!$J$22</f>
        <v>5.3698630136986302E-4</v>
      </c>
      <c r="J896" s="177" t="str">
        <f>ConcatenateWithSpaces($B$896:$H$896)</f>
        <v>Value: 5.36986301369863E-04</v>
      </c>
    </row>
    <row r="897" spans="2:10" x14ac:dyDescent="0.2">
      <c r="B897" s="1" t="s">
        <v>259</v>
      </c>
      <c r="J897" s="177" t="str">
        <f>ConcatenateWithSpaces($B$897:$H$897)</f>
        <v>Property: TotalErosionRate_kg_m2_day</v>
      </c>
    </row>
    <row r="898" spans="2:10" x14ac:dyDescent="0.2">
      <c r="B898" s="1" t="s">
        <v>521</v>
      </c>
      <c r="C898" s="26" t="str">
        <f>IF(ISERROR(FIND(",", $C$899)), "Constant", "InputFromFile")</f>
        <v>Constant</v>
      </c>
      <c r="J898" s="177" t="str">
        <f>ConcatenateWithSpaces($B$898:$H$898)</f>
        <v>Form: Constant</v>
      </c>
    </row>
    <row r="899" spans="2:10" x14ac:dyDescent="0.2">
      <c r="B899" s="1" t="s">
        <v>2</v>
      </c>
      <c r="C899" s="248">
        <f>Soil!$J$21</f>
        <v>2.6380162753680973E-5</v>
      </c>
      <c r="J899" s="177" t="str">
        <f>ConcatenateWithSpaces($B$899:$H$899)</f>
        <v>Value: 2.6380162753681E-05</v>
      </c>
    </row>
    <row r="900" spans="2:10" x14ac:dyDescent="0.2">
      <c r="B900" s="1" t="s">
        <v>769</v>
      </c>
      <c r="J900" s="177" t="str">
        <f>ConcatenateWithSpaces($B$900:$H$900)</f>
        <v>Property: VolumeFraction_liquid</v>
      </c>
    </row>
    <row r="901" spans="2:10" x14ac:dyDescent="0.2">
      <c r="B901" s="1" t="s">
        <v>521</v>
      </c>
      <c r="C901" s="26" t="str">
        <f>IF(ISERROR(FIND(",", $C$902)), "Constant", "InputFromFile")</f>
        <v>Constant</v>
      </c>
      <c r="J901" s="177" t="str">
        <f>ConcatenateWithSpaces($B$901:$H$901)</f>
        <v>Form: Constant</v>
      </c>
    </row>
    <row r="902" spans="2:10" x14ac:dyDescent="0.2">
      <c r="B902" s="1" t="s">
        <v>2</v>
      </c>
      <c r="C902" s="26">
        <f>Soil!$J$23</f>
        <v>0.1249943778953839</v>
      </c>
      <c r="J902" s="177" t="str">
        <f>ConcatenateWithSpaces($B$902:$H$902)</f>
        <v>Value: 0.124994377895384</v>
      </c>
    </row>
    <row r="903" spans="2:10" x14ac:dyDescent="0.2">
      <c r="J903" s="177" t="str">
        <f>ConcatenateWithSpaces($B$903:$H$903)</f>
        <v/>
      </c>
    </row>
    <row r="904" spans="2:10" x14ac:dyDescent="0.2">
      <c r="B904" s="1" t="s">
        <v>378</v>
      </c>
      <c r="C904" s="26" t="str">
        <f>"Soil - Surface in SurfSoil_" &amp; Soil!$K$6</f>
        <v>Soil - Surface in SurfSoil_NE2</v>
      </c>
      <c r="J904" s="177" t="str">
        <f>ConcatenateWithSpaces($B$904:$H$904)</f>
        <v>Compartment: Soil - Surface in SurfSoil_NE2</v>
      </c>
    </row>
    <row r="905" spans="2:10" x14ac:dyDescent="0.2">
      <c r="B905" s="1" t="s">
        <v>761</v>
      </c>
      <c r="J905" s="177" t="str">
        <f>ConcatenateWithSpaces($B$905:$H$905)</f>
        <v>Property: VolumeFraction_vapor</v>
      </c>
    </row>
    <row r="906" spans="2:10" x14ac:dyDescent="0.2">
      <c r="B906" s="1" t="s">
        <v>521</v>
      </c>
      <c r="C906" s="26" t="str">
        <f>IF(ISERROR(FIND(",", $C$907)), "Constant", "InputFromFile")</f>
        <v>Constant</v>
      </c>
      <c r="J906" s="177" t="str">
        <f>ConcatenateWithSpaces($B$906:$H$906)</f>
        <v>Form: Constant</v>
      </c>
    </row>
    <row r="907" spans="2:10" x14ac:dyDescent="0.2">
      <c r="B907" s="1" t="s">
        <v>2</v>
      </c>
      <c r="C907" s="26">
        <f>Soil!$K$11</f>
        <v>0.28000000000000003</v>
      </c>
      <c r="J907" s="177" t="str">
        <f>ConcatenateWithSpaces($B$907:$H$907)</f>
        <v>Value: 0.28</v>
      </c>
    </row>
    <row r="908" spans="2:10" x14ac:dyDescent="0.2">
      <c r="B908" s="1" t="s">
        <v>762</v>
      </c>
      <c r="J908" s="177" t="str">
        <f>ConcatenateWithSpaces($B$908:$H$908)</f>
        <v>Property: AverageVerticalVelocity</v>
      </c>
    </row>
    <row r="909" spans="2:10" x14ac:dyDescent="0.2">
      <c r="B909" s="1" t="s">
        <v>521</v>
      </c>
      <c r="C909" s="26" t="str">
        <f>IF(ISERROR(FIND(",", $C$910)), "Constant", "InputFromFile")</f>
        <v>Constant</v>
      </c>
      <c r="J909" s="177" t="str">
        <f>ConcatenateWithSpaces($B$909:$H$909)</f>
        <v>Form: Constant</v>
      </c>
    </row>
    <row r="910" spans="2:10" x14ac:dyDescent="0.2">
      <c r="B910" s="1" t="s">
        <v>2</v>
      </c>
      <c r="C910" s="248">
        <f>Soil!$K$12</f>
        <v>4.2958904109589049E-4</v>
      </c>
      <c r="J910" s="177" t="str">
        <f>ConcatenateWithSpaces($B$910:$H$910)</f>
        <v>Value: 4.2958904109589E-04</v>
      </c>
    </row>
    <row r="911" spans="2:10" x14ac:dyDescent="0.2">
      <c r="B911" s="1" t="s">
        <v>763</v>
      </c>
      <c r="J911" s="177" t="str">
        <f>ConcatenateWithSpaces($B$911:$H$911)</f>
        <v>Property: AirSoilBoundaryThickness</v>
      </c>
    </row>
    <row r="912" spans="2:10" x14ac:dyDescent="0.2">
      <c r="B912" s="1" t="s">
        <v>521</v>
      </c>
      <c r="C912" s="26" t="str">
        <f>IF(ISERROR(FIND(",", $C$913)), "Constant", "InputFromFile")</f>
        <v>Constant</v>
      </c>
      <c r="J912" s="177" t="str">
        <f>ConcatenateWithSpaces($B$912:$H$912)</f>
        <v>Form: Constant</v>
      </c>
    </row>
    <row r="913" spans="2:10" x14ac:dyDescent="0.2">
      <c r="B913" s="1" t="s">
        <v>2</v>
      </c>
      <c r="C913" s="26">
        <f>Soil!$K$13</f>
        <v>5.0000000000000001E-3</v>
      </c>
      <c r="J913" s="177" t="str">
        <f>ConcatenateWithSpaces($B$913:$H$913)</f>
        <v>Value: 0.005</v>
      </c>
    </row>
    <row r="914" spans="2:10" x14ac:dyDescent="0.2">
      <c r="B914" s="1" t="s">
        <v>4</v>
      </c>
      <c r="J914" s="177" t="str">
        <f>ConcatenateWithSpaces($B$914:$H$914)</f>
        <v>Property: rho</v>
      </c>
    </row>
    <row r="915" spans="2:10" x14ac:dyDescent="0.2">
      <c r="B915" s="1" t="s">
        <v>521</v>
      </c>
      <c r="C915" s="26" t="str">
        <f>IF(ISERROR(FIND(",", $C$916)), "Constant", "InputFromFile")</f>
        <v>Constant</v>
      </c>
      <c r="J915" s="177" t="str">
        <f>ConcatenateWithSpaces($B$915:$H$915)</f>
        <v>Form: Constant</v>
      </c>
    </row>
    <row r="916" spans="2:10" x14ac:dyDescent="0.2">
      <c r="B916" s="1" t="s">
        <v>2</v>
      </c>
      <c r="C916" s="26">
        <f>Soil!$K$14</f>
        <v>2600</v>
      </c>
      <c r="J916" s="177" t="str">
        <f>ConcatenateWithSpaces($B$916:$H$916)</f>
        <v>Value: 2600</v>
      </c>
    </row>
    <row r="917" spans="2:10" x14ac:dyDescent="0.2">
      <c r="B917" s="1" t="s">
        <v>764</v>
      </c>
      <c r="J917" s="177" t="str">
        <f>ConcatenateWithSpaces($B$917:$H$917)</f>
        <v>Property: Fractionofareaavailableforerosion</v>
      </c>
    </row>
    <row r="918" spans="2:10" x14ac:dyDescent="0.2">
      <c r="B918" s="1" t="s">
        <v>521</v>
      </c>
      <c r="C918" s="26" t="str">
        <f>IF(ISERROR(FIND(",", $C$919)), "Constant", "InputFromFile")</f>
        <v>Constant</v>
      </c>
      <c r="J918" s="177" t="str">
        <f>ConcatenateWithSpaces($B$918:$H$918)</f>
        <v>Form: Constant</v>
      </c>
    </row>
    <row r="919" spans="2:10" x14ac:dyDescent="0.2">
      <c r="B919" s="1" t="s">
        <v>2</v>
      </c>
      <c r="C919" s="26">
        <f>Soil!$K$15</f>
        <v>1</v>
      </c>
      <c r="J919" s="177" t="str">
        <f>ConcatenateWithSpaces($B$919:$H$919)</f>
        <v>Value: 1</v>
      </c>
    </row>
    <row r="920" spans="2:10" x14ac:dyDescent="0.2">
      <c r="B920" s="1" t="s">
        <v>765</v>
      </c>
      <c r="J920" s="177" t="str">
        <f>ConcatenateWithSpaces($B$920:$H$920)</f>
        <v>Property: FractionofAreaAvailableforRunoff</v>
      </c>
    </row>
    <row r="921" spans="2:10" x14ac:dyDescent="0.2">
      <c r="B921" s="1" t="s">
        <v>521</v>
      </c>
      <c r="C921" s="26" t="str">
        <f>IF(ISERROR(FIND(",", $C$922)), "Constant", "InputFromFile")</f>
        <v>Constant</v>
      </c>
      <c r="J921" s="177" t="str">
        <f>ConcatenateWithSpaces($B$921:$H$921)</f>
        <v>Form: Constant</v>
      </c>
    </row>
    <row r="922" spans="2:10" x14ac:dyDescent="0.2">
      <c r="B922" s="1" t="s">
        <v>2</v>
      </c>
      <c r="C922" s="26">
        <f>Soil!$K$16</f>
        <v>1</v>
      </c>
      <c r="J922" s="177" t="str">
        <f>ConcatenateWithSpaces($B$922:$H$922)</f>
        <v>Value: 1</v>
      </c>
    </row>
    <row r="923" spans="2:10" x14ac:dyDescent="0.2">
      <c r="B923" s="1" t="s">
        <v>766</v>
      </c>
      <c r="J923" s="177" t="str">
        <f>ConcatenateWithSpaces($B$923:$H$923)</f>
        <v>Property: Fractionofareaavailableforverticaldiffusion</v>
      </c>
    </row>
    <row r="924" spans="2:10" x14ac:dyDescent="0.2">
      <c r="B924" s="1" t="s">
        <v>521</v>
      </c>
      <c r="C924" s="26" t="str">
        <f>IF(ISERROR(FIND(",", $C$925)), "Constant", "InputFromFile")</f>
        <v>Constant</v>
      </c>
      <c r="J924" s="177" t="str">
        <f>ConcatenateWithSpaces($B$924:$H$924)</f>
        <v>Form: Constant</v>
      </c>
    </row>
    <row r="925" spans="2:10" x14ac:dyDescent="0.2">
      <c r="B925" s="1" t="s">
        <v>2</v>
      </c>
      <c r="C925" s="26">
        <f>Soil!$K$17</f>
        <v>1</v>
      </c>
      <c r="J925" s="177" t="str">
        <f>ConcatenateWithSpaces($B$925:$H$925)</f>
        <v>Value: 1</v>
      </c>
    </row>
    <row r="926" spans="2:10" x14ac:dyDescent="0.2">
      <c r="B926" s="1" t="s">
        <v>767</v>
      </c>
      <c r="J926" s="177" t="str">
        <f>ConcatenateWithSpaces($B$926:$H$926)</f>
        <v>Property: FractionSand</v>
      </c>
    </row>
    <row r="927" spans="2:10" x14ac:dyDescent="0.2">
      <c r="B927" s="1" t="s">
        <v>521</v>
      </c>
      <c r="C927" s="26" t="str">
        <f>IF(ISERROR(FIND(",", $C$928)), "Constant", "InputFromFile")</f>
        <v>Constant</v>
      </c>
      <c r="J927" s="177" t="str">
        <f>ConcatenateWithSpaces($B$927:$H$927)</f>
        <v>Form: Constant</v>
      </c>
    </row>
    <row r="928" spans="2:10" x14ac:dyDescent="0.2">
      <c r="B928" s="1" t="s">
        <v>2</v>
      </c>
      <c r="C928" s="26">
        <f>Soil!$K$18</f>
        <v>0.89688689165382074</v>
      </c>
      <c r="J928" s="177" t="str">
        <f>ConcatenateWithSpaces($B$928:$H$928)</f>
        <v>Value: 0.896886891653821</v>
      </c>
    </row>
    <row r="929" spans="2:10" x14ac:dyDescent="0.2">
      <c r="B929" s="1" t="s">
        <v>261</v>
      </c>
      <c r="J929" s="177" t="str">
        <f>ConcatenateWithSpaces($B$929:$H$929)</f>
        <v>Property: OrganicCarbonContent</v>
      </c>
    </row>
    <row r="930" spans="2:10" x14ac:dyDescent="0.2">
      <c r="B930" s="1" t="s">
        <v>521</v>
      </c>
      <c r="C930" s="26" t="str">
        <f>IF(ISERROR(FIND(",", $C$931)), "Constant", "InputFromFile")</f>
        <v>Constant</v>
      </c>
      <c r="J930" s="177" t="str">
        <f>ConcatenateWithSpaces($B$930:$H$930)</f>
        <v>Form: Constant</v>
      </c>
    </row>
    <row r="931" spans="2:10" x14ac:dyDescent="0.2">
      <c r="B931" s="1" t="s">
        <v>2</v>
      </c>
      <c r="C931" s="26">
        <f>Soil!$K$19</f>
        <v>4.984413809835965E-2</v>
      </c>
      <c r="J931" s="177" t="str">
        <f>ConcatenateWithSpaces($B$931:$H$931)</f>
        <v>Value: 4.98441380983596E-02</v>
      </c>
    </row>
    <row r="932" spans="2:10" x14ac:dyDescent="0.2">
      <c r="B932" s="1" t="s">
        <v>260</v>
      </c>
      <c r="J932" s="177" t="str">
        <f>ConcatenateWithSpaces($B$932:$H$932)</f>
        <v>Property: pH</v>
      </c>
    </row>
    <row r="933" spans="2:10" x14ac:dyDescent="0.2">
      <c r="B933" s="1" t="s">
        <v>521</v>
      </c>
      <c r="C933" s="26" t="str">
        <f>IF(ISERROR(FIND(",", $C$934)), "Constant", "InputFromFile")</f>
        <v>Constant</v>
      </c>
      <c r="J933" s="177" t="str">
        <f>ConcatenateWithSpaces($B$933:$H$933)</f>
        <v>Form: Constant</v>
      </c>
    </row>
    <row r="934" spans="2:10" x14ac:dyDescent="0.2">
      <c r="B934" s="1" t="s">
        <v>2</v>
      </c>
      <c r="C934" s="26">
        <f>Soil!$K$20</f>
        <v>5.5196570138735961</v>
      </c>
      <c r="J934" s="177" t="str">
        <f>ConcatenateWithSpaces($B$934:$H$934)</f>
        <v>Value: 5.5196570138736</v>
      </c>
    </row>
    <row r="935" spans="2:10" x14ac:dyDescent="0.2">
      <c r="B935" s="1" t="s">
        <v>768</v>
      </c>
      <c r="J935" s="177" t="str">
        <f>ConcatenateWithSpaces($B$935:$H$935)</f>
        <v>Property: TotalRunoffRate_m3_m2_day</v>
      </c>
    </row>
    <row r="936" spans="2:10" x14ac:dyDescent="0.2">
      <c r="B936" s="1" t="s">
        <v>521</v>
      </c>
      <c r="C936" s="26" t="str">
        <f>IF(ISERROR(FIND(",", $C$937)), "Constant", "InputFromFile")</f>
        <v>Constant</v>
      </c>
      <c r="J936" s="177" t="str">
        <f>ConcatenateWithSpaces($B$936:$H$936)</f>
        <v>Form: Constant</v>
      </c>
    </row>
    <row r="937" spans="2:10" x14ac:dyDescent="0.2">
      <c r="B937" s="1" t="s">
        <v>2</v>
      </c>
      <c r="C937" s="248">
        <f>Soil!$K$22</f>
        <v>5.3698630136986302E-4</v>
      </c>
      <c r="J937" s="177" t="str">
        <f>ConcatenateWithSpaces($B$937:$H$937)</f>
        <v>Value: 5.36986301369863E-04</v>
      </c>
    </row>
    <row r="938" spans="2:10" x14ac:dyDescent="0.2">
      <c r="B938" s="1" t="s">
        <v>259</v>
      </c>
      <c r="J938" s="177" t="str">
        <f>ConcatenateWithSpaces($B$938:$H$938)</f>
        <v>Property: TotalErosionRate_kg_m2_day</v>
      </c>
    </row>
    <row r="939" spans="2:10" x14ac:dyDescent="0.2">
      <c r="B939" s="1" t="s">
        <v>521</v>
      </c>
      <c r="C939" s="26" t="str">
        <f>IF(ISERROR(FIND(",", $C$940)), "Constant", "InputFromFile")</f>
        <v>Constant</v>
      </c>
      <c r="J939" s="177" t="str">
        <f>ConcatenateWithSpaces($B$939:$H$939)</f>
        <v>Form: Constant</v>
      </c>
    </row>
    <row r="940" spans="2:10" x14ac:dyDescent="0.2">
      <c r="B940" s="1" t="s">
        <v>2</v>
      </c>
      <c r="C940" s="248">
        <f>Soil!$K$21</f>
        <v>2.4805545361923875E-5</v>
      </c>
      <c r="J940" s="177" t="str">
        <f>ConcatenateWithSpaces($B$940:$H$940)</f>
        <v>Value: 2.48055453619239E-05</v>
      </c>
    </row>
    <row r="941" spans="2:10" x14ac:dyDescent="0.2">
      <c r="B941" s="1" t="s">
        <v>769</v>
      </c>
      <c r="J941" s="177" t="str">
        <f>ConcatenateWithSpaces($B$941:$H$941)</f>
        <v>Property: VolumeFraction_liquid</v>
      </c>
    </row>
    <row r="942" spans="2:10" x14ac:dyDescent="0.2">
      <c r="B942" s="1" t="s">
        <v>521</v>
      </c>
      <c r="C942" s="26" t="str">
        <f>IF(ISERROR(FIND(",", $C$943)), "Constant", "InputFromFile")</f>
        <v>Constant</v>
      </c>
      <c r="J942" s="177" t="str">
        <f>ConcatenateWithSpaces($B$942:$H$942)</f>
        <v>Form: Constant</v>
      </c>
    </row>
    <row r="943" spans="2:10" x14ac:dyDescent="0.2">
      <c r="B943" s="1" t="s">
        <v>2</v>
      </c>
      <c r="C943" s="26">
        <f>Soil!$K$23</f>
        <v>9.4953204140057257E-2</v>
      </c>
      <c r="J943" s="177" t="str">
        <f>ConcatenateWithSpaces($B$943:$H$943)</f>
        <v>Value: 9.49532041400573E-02</v>
      </c>
    </row>
    <row r="944" spans="2:10" x14ac:dyDescent="0.2">
      <c r="J944" s="177" t="str">
        <f>ConcatenateWithSpaces($B$944:$H$944)</f>
        <v/>
      </c>
    </row>
    <row r="945" spans="2:10" x14ac:dyDescent="0.2">
      <c r="B945" s="1" t="s">
        <v>378</v>
      </c>
      <c r="C945" s="26" t="str">
        <f>"Soil - Surface in SurfSoil_" &amp; Soil!$L$6</f>
        <v>Soil - Surface in SurfSoil_NE3</v>
      </c>
      <c r="J945" s="177" t="str">
        <f>ConcatenateWithSpaces($B$945:$H$945)</f>
        <v>Compartment: Soil - Surface in SurfSoil_NE3</v>
      </c>
    </row>
    <row r="946" spans="2:10" x14ac:dyDescent="0.2">
      <c r="B946" s="1" t="s">
        <v>761</v>
      </c>
      <c r="J946" s="177" t="str">
        <f>ConcatenateWithSpaces($B$946:$H$946)</f>
        <v>Property: VolumeFraction_vapor</v>
      </c>
    </row>
    <row r="947" spans="2:10" x14ac:dyDescent="0.2">
      <c r="B947" s="1" t="s">
        <v>521</v>
      </c>
      <c r="C947" s="26" t="str">
        <f>IF(ISERROR(FIND(",", $C$948)), "Constant", "InputFromFile")</f>
        <v>Constant</v>
      </c>
      <c r="J947" s="177" t="str">
        <f>ConcatenateWithSpaces($B$947:$H$947)</f>
        <v>Form: Constant</v>
      </c>
    </row>
    <row r="948" spans="2:10" x14ac:dyDescent="0.2">
      <c r="B948" s="1" t="s">
        <v>2</v>
      </c>
      <c r="C948" s="26">
        <f>Soil!$L$11</f>
        <v>0.28000000000000003</v>
      </c>
      <c r="J948" s="177" t="str">
        <f>ConcatenateWithSpaces($B$948:$H$948)</f>
        <v>Value: 0.28</v>
      </c>
    </row>
    <row r="949" spans="2:10" x14ac:dyDescent="0.2">
      <c r="B949" s="1" t="s">
        <v>762</v>
      </c>
      <c r="J949" s="177" t="str">
        <f>ConcatenateWithSpaces($B$949:$H$949)</f>
        <v>Property: AverageVerticalVelocity</v>
      </c>
    </row>
    <row r="950" spans="2:10" x14ac:dyDescent="0.2">
      <c r="B950" s="1" t="s">
        <v>521</v>
      </c>
      <c r="C950" s="26" t="str">
        <f>IF(ISERROR(FIND(",", $C$951)), "Constant", "InputFromFile")</f>
        <v>Constant</v>
      </c>
      <c r="J950" s="177" t="str">
        <f>ConcatenateWithSpaces($B$950:$H$950)</f>
        <v>Form: Constant</v>
      </c>
    </row>
    <row r="951" spans="2:10" x14ac:dyDescent="0.2">
      <c r="B951" s="1" t="s">
        <v>2</v>
      </c>
      <c r="C951" s="248">
        <f>Soil!$L$12</f>
        <v>4.2958904109589049E-4</v>
      </c>
      <c r="J951" s="177" t="str">
        <f>ConcatenateWithSpaces($B$951:$H$951)</f>
        <v>Value: 4.2958904109589E-04</v>
      </c>
    </row>
    <row r="952" spans="2:10" x14ac:dyDescent="0.2">
      <c r="B952" s="1" t="s">
        <v>763</v>
      </c>
      <c r="J952" s="177" t="str">
        <f>ConcatenateWithSpaces($B$952:$H$952)</f>
        <v>Property: AirSoilBoundaryThickness</v>
      </c>
    </row>
    <row r="953" spans="2:10" x14ac:dyDescent="0.2">
      <c r="B953" s="1" t="s">
        <v>521</v>
      </c>
      <c r="C953" s="26" t="str">
        <f>IF(ISERROR(FIND(",", $C$954)), "Constant", "InputFromFile")</f>
        <v>Constant</v>
      </c>
      <c r="J953" s="177" t="str">
        <f>ConcatenateWithSpaces($B$953:$H$953)</f>
        <v>Form: Constant</v>
      </c>
    </row>
    <row r="954" spans="2:10" x14ac:dyDescent="0.2">
      <c r="B954" s="1" t="s">
        <v>2</v>
      </c>
      <c r="C954" s="26">
        <f>Soil!$L$13</f>
        <v>5.0000000000000001E-3</v>
      </c>
      <c r="J954" s="177" t="str">
        <f>ConcatenateWithSpaces($B$954:$H$954)</f>
        <v>Value: 0.005</v>
      </c>
    </row>
    <row r="955" spans="2:10" x14ac:dyDescent="0.2">
      <c r="B955" s="1" t="s">
        <v>4</v>
      </c>
      <c r="J955" s="177" t="str">
        <f>ConcatenateWithSpaces($B$955:$H$955)</f>
        <v>Property: rho</v>
      </c>
    </row>
    <row r="956" spans="2:10" x14ac:dyDescent="0.2">
      <c r="B956" s="1" t="s">
        <v>521</v>
      </c>
      <c r="C956" s="26" t="str">
        <f>IF(ISERROR(FIND(",", $C$957)), "Constant", "InputFromFile")</f>
        <v>Constant</v>
      </c>
      <c r="J956" s="177" t="str">
        <f>ConcatenateWithSpaces($B$956:$H$956)</f>
        <v>Form: Constant</v>
      </c>
    </row>
    <row r="957" spans="2:10" x14ac:dyDescent="0.2">
      <c r="B957" s="1" t="s">
        <v>2</v>
      </c>
      <c r="C957" s="26">
        <f>Soil!$L$14</f>
        <v>2600</v>
      </c>
      <c r="J957" s="177" t="str">
        <f>ConcatenateWithSpaces($B$957:$H$957)</f>
        <v>Value: 2600</v>
      </c>
    </row>
    <row r="958" spans="2:10" x14ac:dyDescent="0.2">
      <c r="B958" s="1" t="s">
        <v>764</v>
      </c>
      <c r="J958" s="177" t="str">
        <f>ConcatenateWithSpaces($B$958:$H$958)</f>
        <v>Property: Fractionofareaavailableforerosion</v>
      </c>
    </row>
    <row r="959" spans="2:10" x14ac:dyDescent="0.2">
      <c r="B959" s="1" t="s">
        <v>521</v>
      </c>
      <c r="C959" s="26" t="str">
        <f>IF(ISERROR(FIND(",", $C$960)), "Constant", "InputFromFile")</f>
        <v>Constant</v>
      </c>
      <c r="J959" s="177" t="str">
        <f>ConcatenateWithSpaces($B$959:$H$959)</f>
        <v>Form: Constant</v>
      </c>
    </row>
    <row r="960" spans="2:10" x14ac:dyDescent="0.2">
      <c r="B960" s="1" t="s">
        <v>2</v>
      </c>
      <c r="C960" s="26">
        <f>Soil!$L$15</f>
        <v>1</v>
      </c>
      <c r="J960" s="177" t="str">
        <f>ConcatenateWithSpaces($B$960:$H$960)</f>
        <v>Value: 1</v>
      </c>
    </row>
    <row r="961" spans="2:10" x14ac:dyDescent="0.2">
      <c r="B961" s="1" t="s">
        <v>765</v>
      </c>
      <c r="J961" s="177" t="str">
        <f>ConcatenateWithSpaces($B$961:$H$961)</f>
        <v>Property: FractionofAreaAvailableforRunoff</v>
      </c>
    </row>
    <row r="962" spans="2:10" x14ac:dyDescent="0.2">
      <c r="B962" s="1" t="s">
        <v>521</v>
      </c>
      <c r="C962" s="26" t="str">
        <f>IF(ISERROR(FIND(",", $C$963)), "Constant", "InputFromFile")</f>
        <v>Constant</v>
      </c>
      <c r="J962" s="177" t="str">
        <f>ConcatenateWithSpaces($B$962:$H$962)</f>
        <v>Form: Constant</v>
      </c>
    </row>
    <row r="963" spans="2:10" x14ac:dyDescent="0.2">
      <c r="B963" s="1" t="s">
        <v>2</v>
      </c>
      <c r="C963" s="26">
        <f>Soil!$L$16</f>
        <v>1</v>
      </c>
      <c r="J963" s="177" t="str">
        <f>ConcatenateWithSpaces($B$963:$H$963)</f>
        <v>Value: 1</v>
      </c>
    </row>
    <row r="964" spans="2:10" x14ac:dyDescent="0.2">
      <c r="B964" s="1" t="s">
        <v>766</v>
      </c>
      <c r="J964" s="177" t="str">
        <f>ConcatenateWithSpaces($B$964:$H$964)</f>
        <v>Property: Fractionofareaavailableforverticaldiffusion</v>
      </c>
    </row>
    <row r="965" spans="2:10" x14ac:dyDescent="0.2">
      <c r="B965" s="1" t="s">
        <v>521</v>
      </c>
      <c r="C965" s="26" t="str">
        <f>IF(ISERROR(FIND(",", $C$966)), "Constant", "InputFromFile")</f>
        <v>Constant</v>
      </c>
      <c r="J965" s="177" t="str">
        <f>ConcatenateWithSpaces($B$965:$H$965)</f>
        <v>Form: Constant</v>
      </c>
    </row>
    <row r="966" spans="2:10" x14ac:dyDescent="0.2">
      <c r="B966" s="1" t="s">
        <v>2</v>
      </c>
      <c r="C966" s="26">
        <f>Soil!$L$17</f>
        <v>1</v>
      </c>
      <c r="J966" s="177" t="str">
        <f>ConcatenateWithSpaces($B$966:$H$966)</f>
        <v>Value: 1</v>
      </c>
    </row>
    <row r="967" spans="2:10" x14ac:dyDescent="0.2">
      <c r="B967" s="1" t="s">
        <v>767</v>
      </c>
      <c r="J967" s="177" t="str">
        <f>ConcatenateWithSpaces($B$967:$H$967)</f>
        <v>Property: FractionSand</v>
      </c>
    </row>
    <row r="968" spans="2:10" x14ac:dyDescent="0.2">
      <c r="B968" s="1" t="s">
        <v>521</v>
      </c>
      <c r="C968" s="26" t="str">
        <f>IF(ISERROR(FIND(",", $C$969)), "Constant", "InputFromFile")</f>
        <v>Constant</v>
      </c>
      <c r="J968" s="177" t="str">
        <f>ConcatenateWithSpaces($B$968:$H$968)</f>
        <v>Form: Constant</v>
      </c>
    </row>
    <row r="969" spans="2:10" x14ac:dyDescent="0.2">
      <c r="B969" s="1" t="s">
        <v>2</v>
      </c>
      <c r="C969" s="26">
        <f>Soil!$L$18</f>
        <v>0.83600522074679373</v>
      </c>
      <c r="J969" s="177" t="str">
        <f>ConcatenateWithSpaces($B$969:$H$969)</f>
        <v>Value: 0.836005220746794</v>
      </c>
    </row>
    <row r="970" spans="2:10" x14ac:dyDescent="0.2">
      <c r="B970" s="1" t="s">
        <v>261</v>
      </c>
      <c r="J970" s="177" t="str">
        <f>ConcatenateWithSpaces($B$970:$H$970)</f>
        <v>Property: OrganicCarbonContent</v>
      </c>
    </row>
    <row r="971" spans="2:10" x14ac:dyDescent="0.2">
      <c r="B971" s="1" t="s">
        <v>521</v>
      </c>
      <c r="C971" s="26" t="str">
        <f>IF(ISERROR(FIND(",", $C$972)), "Constant", "InputFromFile")</f>
        <v>Constant</v>
      </c>
      <c r="J971" s="177" t="str">
        <f>ConcatenateWithSpaces($B$971:$H$971)</f>
        <v>Form: Constant</v>
      </c>
    </row>
    <row r="972" spans="2:10" x14ac:dyDescent="0.2">
      <c r="B972" s="1" t="s">
        <v>2</v>
      </c>
      <c r="C972" s="26">
        <f>Soil!$L$19</f>
        <v>4.2739189649302005E-2</v>
      </c>
      <c r="J972" s="177" t="str">
        <f>ConcatenateWithSpaces($B$972:$H$972)</f>
        <v>Value: 0.042739189649302</v>
      </c>
    </row>
    <row r="973" spans="2:10" x14ac:dyDescent="0.2">
      <c r="B973" s="1" t="s">
        <v>260</v>
      </c>
      <c r="J973" s="177" t="str">
        <f>ConcatenateWithSpaces($B$973:$H$973)</f>
        <v>Property: pH</v>
      </c>
    </row>
    <row r="974" spans="2:10" x14ac:dyDescent="0.2">
      <c r="B974" s="1" t="s">
        <v>521</v>
      </c>
      <c r="C974" s="26" t="str">
        <f>IF(ISERROR(FIND(",", $C$975)), "Constant", "InputFromFile")</f>
        <v>Constant</v>
      </c>
      <c r="J974" s="177" t="str">
        <f>ConcatenateWithSpaces($B$974:$H$974)</f>
        <v>Form: Constant</v>
      </c>
    </row>
    <row r="975" spans="2:10" x14ac:dyDescent="0.2">
      <c r="B975" s="1" t="s">
        <v>2</v>
      </c>
      <c r="C975" s="26">
        <f>Soil!$L$20</f>
        <v>5.8104641924866636</v>
      </c>
      <c r="J975" s="177" t="str">
        <f>ConcatenateWithSpaces($B$975:$H$975)</f>
        <v>Value: 5.81046419248666</v>
      </c>
    </row>
    <row r="976" spans="2:10" x14ac:dyDescent="0.2">
      <c r="B976" s="1" t="s">
        <v>768</v>
      </c>
      <c r="J976" s="177" t="str">
        <f>ConcatenateWithSpaces($B$976:$H$976)</f>
        <v>Property: TotalRunoffRate_m3_m2_day</v>
      </c>
    </row>
    <row r="977" spans="2:10" x14ac:dyDescent="0.2">
      <c r="B977" s="1" t="s">
        <v>521</v>
      </c>
      <c r="C977" s="26" t="str">
        <f>IF(ISERROR(FIND(",", $C$978)), "Constant", "InputFromFile")</f>
        <v>Constant</v>
      </c>
      <c r="J977" s="177" t="str">
        <f>ConcatenateWithSpaces($B$977:$H$977)</f>
        <v>Form: Constant</v>
      </c>
    </row>
    <row r="978" spans="2:10" x14ac:dyDescent="0.2">
      <c r="B978" s="1" t="s">
        <v>2</v>
      </c>
      <c r="C978" s="248">
        <f>Soil!$L$22</f>
        <v>5.3698630136986302E-4</v>
      </c>
      <c r="J978" s="177" t="str">
        <f>ConcatenateWithSpaces($B$978:$H$978)</f>
        <v>Value: 5.36986301369863E-04</v>
      </c>
    </row>
    <row r="979" spans="2:10" x14ac:dyDescent="0.2">
      <c r="B979" s="1" t="s">
        <v>259</v>
      </c>
      <c r="J979" s="177" t="str">
        <f>ConcatenateWithSpaces($B$979:$H$979)</f>
        <v>Property: TotalErosionRate_kg_m2_day</v>
      </c>
    </row>
    <row r="980" spans="2:10" x14ac:dyDescent="0.2">
      <c r="B980" s="1" t="s">
        <v>521</v>
      </c>
      <c r="C980" s="26" t="str">
        <f>IF(ISERROR(FIND(",", $C$981)), "Constant", "InputFromFile")</f>
        <v>Constant</v>
      </c>
      <c r="J980" s="177" t="str">
        <f>ConcatenateWithSpaces($B$980:$H$980)</f>
        <v>Form: Constant</v>
      </c>
    </row>
    <row r="981" spans="2:10" x14ac:dyDescent="0.2">
      <c r="B981" s="1" t="s">
        <v>2</v>
      </c>
      <c r="C981" s="248">
        <f>Soil!$L$21</f>
        <v>1.2529639875326885E-4</v>
      </c>
      <c r="J981" s="177" t="str">
        <f>ConcatenateWithSpaces($B$981:$H$981)</f>
        <v>Value: 1.25296398753269E-04</v>
      </c>
    </row>
    <row r="982" spans="2:10" x14ac:dyDescent="0.2">
      <c r="B982" s="1" t="s">
        <v>769</v>
      </c>
      <c r="J982" s="177" t="str">
        <f>ConcatenateWithSpaces($B$982:$H$982)</f>
        <v>Property: VolumeFraction_liquid</v>
      </c>
    </row>
    <row r="983" spans="2:10" x14ac:dyDescent="0.2">
      <c r="B983" s="1" t="s">
        <v>521</v>
      </c>
      <c r="C983" s="26" t="str">
        <f>IF(ISERROR(FIND(",", $C$984)), "Constant", "InputFromFile")</f>
        <v>Constant</v>
      </c>
      <c r="J983" s="177" t="str">
        <f>ConcatenateWithSpaces($B$983:$H$983)</f>
        <v>Form: Constant</v>
      </c>
    </row>
    <row r="984" spans="2:10" x14ac:dyDescent="0.2">
      <c r="B984" s="1" t="s">
        <v>2</v>
      </c>
      <c r="C984" s="26">
        <f>Soil!$L$23</f>
        <v>0.11517988877539437</v>
      </c>
      <c r="J984" s="177" t="str">
        <f>ConcatenateWithSpaces($B$984:$H$984)</f>
        <v>Value: 0.115179888775394</v>
      </c>
    </row>
    <row r="985" spans="2:10" x14ac:dyDescent="0.2">
      <c r="J985" s="177" t="str">
        <f>ConcatenateWithSpaces($B$985:$H$985)</f>
        <v/>
      </c>
    </row>
    <row r="986" spans="2:10" x14ac:dyDescent="0.2">
      <c r="B986" s="1" t="s">
        <v>378</v>
      </c>
      <c r="C986" s="26" t="str">
        <f>"Soil - Surface in SurfSoil_" &amp; Soil!$M$6</f>
        <v>Soil - Surface in SurfSoil_NW1</v>
      </c>
      <c r="J986" s="177" t="str">
        <f>ConcatenateWithSpaces($B$986:$H$986)</f>
        <v>Compartment: Soil - Surface in SurfSoil_NW1</v>
      </c>
    </row>
    <row r="987" spans="2:10" x14ac:dyDescent="0.2">
      <c r="B987" s="1" t="s">
        <v>761</v>
      </c>
      <c r="J987" s="177" t="str">
        <f>ConcatenateWithSpaces($B$987:$H$987)</f>
        <v>Property: VolumeFraction_vapor</v>
      </c>
    </row>
    <row r="988" spans="2:10" x14ac:dyDescent="0.2">
      <c r="B988" s="1" t="s">
        <v>521</v>
      </c>
      <c r="C988" s="26" t="str">
        <f>IF(ISERROR(FIND(",", $C$989)), "Constant", "InputFromFile")</f>
        <v>Constant</v>
      </c>
      <c r="J988" s="177" t="str">
        <f>ConcatenateWithSpaces($B$988:$H$988)</f>
        <v>Form: Constant</v>
      </c>
    </row>
    <row r="989" spans="2:10" x14ac:dyDescent="0.2">
      <c r="B989" s="1" t="s">
        <v>2</v>
      </c>
      <c r="C989" s="26">
        <f>Soil!$M$11</f>
        <v>0.28000000000000003</v>
      </c>
      <c r="J989" s="177" t="str">
        <f>ConcatenateWithSpaces($B$989:$H$989)</f>
        <v>Value: 0.28</v>
      </c>
    </row>
    <row r="990" spans="2:10" x14ac:dyDescent="0.2">
      <c r="B990" s="1" t="s">
        <v>762</v>
      </c>
      <c r="J990" s="177" t="str">
        <f>ConcatenateWithSpaces($B$990:$H$990)</f>
        <v>Property: AverageVerticalVelocity</v>
      </c>
    </row>
    <row r="991" spans="2:10" x14ac:dyDescent="0.2">
      <c r="B991" s="1" t="s">
        <v>521</v>
      </c>
      <c r="C991" s="26" t="str">
        <f>IF(ISERROR(FIND(",", $C$992)), "Constant", "InputFromFile")</f>
        <v>Constant</v>
      </c>
      <c r="J991" s="177" t="str">
        <f>ConcatenateWithSpaces($B$991:$H$991)</f>
        <v>Form: Constant</v>
      </c>
    </row>
    <row r="992" spans="2:10" x14ac:dyDescent="0.2">
      <c r="B992" s="1" t="s">
        <v>2</v>
      </c>
      <c r="C992" s="248">
        <f>Soil!$M$12</f>
        <v>4.2958904109589049E-4</v>
      </c>
      <c r="J992" s="177" t="str">
        <f>ConcatenateWithSpaces($B$992:$H$992)</f>
        <v>Value: 4.2958904109589E-04</v>
      </c>
    </row>
    <row r="993" spans="2:10" x14ac:dyDescent="0.2">
      <c r="B993" s="1" t="s">
        <v>763</v>
      </c>
      <c r="J993" s="177" t="str">
        <f>ConcatenateWithSpaces($B$993:$H$993)</f>
        <v>Property: AirSoilBoundaryThickness</v>
      </c>
    </row>
    <row r="994" spans="2:10" x14ac:dyDescent="0.2">
      <c r="B994" s="1" t="s">
        <v>521</v>
      </c>
      <c r="C994" s="26" t="str">
        <f>IF(ISERROR(FIND(",", $C$995)), "Constant", "InputFromFile")</f>
        <v>Constant</v>
      </c>
      <c r="J994" s="177" t="str">
        <f>ConcatenateWithSpaces($B$994:$H$994)</f>
        <v>Form: Constant</v>
      </c>
    </row>
    <row r="995" spans="2:10" x14ac:dyDescent="0.2">
      <c r="B995" s="1" t="s">
        <v>2</v>
      </c>
      <c r="C995" s="26">
        <f>Soil!$M$13</f>
        <v>5.0000000000000001E-3</v>
      </c>
      <c r="J995" s="177" t="str">
        <f>ConcatenateWithSpaces($B$995:$H$995)</f>
        <v>Value: 0.005</v>
      </c>
    </row>
    <row r="996" spans="2:10" x14ac:dyDescent="0.2">
      <c r="B996" s="1" t="s">
        <v>4</v>
      </c>
      <c r="J996" s="177" t="str">
        <f>ConcatenateWithSpaces($B$996:$H$996)</f>
        <v>Property: rho</v>
      </c>
    </row>
    <row r="997" spans="2:10" x14ac:dyDescent="0.2">
      <c r="B997" s="1" t="s">
        <v>521</v>
      </c>
      <c r="C997" s="26" t="str">
        <f>IF(ISERROR(FIND(",", $C$998)), "Constant", "InputFromFile")</f>
        <v>Constant</v>
      </c>
      <c r="J997" s="177" t="str">
        <f>ConcatenateWithSpaces($B$997:$H$997)</f>
        <v>Form: Constant</v>
      </c>
    </row>
    <row r="998" spans="2:10" x14ac:dyDescent="0.2">
      <c r="B998" s="1" t="s">
        <v>2</v>
      </c>
      <c r="C998" s="26">
        <f>Soil!$M$14</f>
        <v>2600</v>
      </c>
      <c r="J998" s="177" t="str">
        <f>ConcatenateWithSpaces($B$998:$H$998)</f>
        <v>Value: 2600</v>
      </c>
    </row>
    <row r="999" spans="2:10" x14ac:dyDescent="0.2">
      <c r="B999" s="1" t="s">
        <v>764</v>
      </c>
      <c r="J999" s="177" t="str">
        <f>ConcatenateWithSpaces($B$999:$H$999)</f>
        <v>Property: Fractionofareaavailableforerosion</v>
      </c>
    </row>
    <row r="1000" spans="2:10" x14ac:dyDescent="0.2">
      <c r="B1000" s="1" t="s">
        <v>521</v>
      </c>
      <c r="C1000" s="26" t="str">
        <f>IF(ISERROR(FIND(",", $C$1001)), "Constant", "InputFromFile")</f>
        <v>Constant</v>
      </c>
      <c r="J1000" s="177" t="str">
        <f>ConcatenateWithSpaces($B$1000:$H$1000)</f>
        <v>Form: Constant</v>
      </c>
    </row>
    <row r="1001" spans="2:10" x14ac:dyDescent="0.2">
      <c r="B1001" s="1" t="s">
        <v>2</v>
      </c>
      <c r="C1001" s="26">
        <f>Soil!$M$15</f>
        <v>1</v>
      </c>
      <c r="J1001" s="177" t="str">
        <f>ConcatenateWithSpaces($B$1001:$H$1001)</f>
        <v>Value: 1</v>
      </c>
    </row>
    <row r="1002" spans="2:10" x14ac:dyDescent="0.2">
      <c r="B1002" s="1" t="s">
        <v>765</v>
      </c>
      <c r="J1002" s="177" t="str">
        <f>ConcatenateWithSpaces($B$1002:$H$1002)</f>
        <v>Property: FractionofAreaAvailableforRunoff</v>
      </c>
    </row>
    <row r="1003" spans="2:10" x14ac:dyDescent="0.2">
      <c r="B1003" s="1" t="s">
        <v>521</v>
      </c>
      <c r="C1003" s="26" t="str">
        <f>IF(ISERROR(FIND(",", $C$1004)), "Constant", "InputFromFile")</f>
        <v>Constant</v>
      </c>
      <c r="J1003" s="177" t="str">
        <f>ConcatenateWithSpaces($B$1003:$H$1003)</f>
        <v>Form: Constant</v>
      </c>
    </row>
    <row r="1004" spans="2:10" x14ac:dyDescent="0.2">
      <c r="B1004" s="1" t="s">
        <v>2</v>
      </c>
      <c r="C1004" s="26">
        <f>Soil!$M$16</f>
        <v>1</v>
      </c>
      <c r="J1004" s="177" t="str">
        <f>ConcatenateWithSpaces($B$1004:$H$1004)</f>
        <v>Value: 1</v>
      </c>
    </row>
    <row r="1005" spans="2:10" x14ac:dyDescent="0.2">
      <c r="B1005" s="1" t="s">
        <v>766</v>
      </c>
      <c r="J1005" s="177" t="str">
        <f>ConcatenateWithSpaces($B$1005:$H$1005)</f>
        <v>Property: Fractionofareaavailableforverticaldiffusion</v>
      </c>
    </row>
    <row r="1006" spans="2:10" x14ac:dyDescent="0.2">
      <c r="B1006" s="1" t="s">
        <v>521</v>
      </c>
      <c r="C1006" s="26" t="str">
        <f>IF(ISERROR(FIND(",", $C$1007)), "Constant", "InputFromFile")</f>
        <v>Constant</v>
      </c>
      <c r="J1006" s="177" t="str">
        <f>ConcatenateWithSpaces($B$1006:$H$1006)</f>
        <v>Form: Constant</v>
      </c>
    </row>
    <row r="1007" spans="2:10" x14ac:dyDescent="0.2">
      <c r="B1007" s="1" t="s">
        <v>2</v>
      </c>
      <c r="C1007" s="26">
        <f>Soil!$M$17</f>
        <v>1</v>
      </c>
      <c r="J1007" s="177" t="str">
        <f>ConcatenateWithSpaces($B$1007:$H$1007)</f>
        <v>Value: 1</v>
      </c>
    </row>
    <row r="1008" spans="2:10" x14ac:dyDescent="0.2">
      <c r="B1008" s="1" t="s">
        <v>767</v>
      </c>
      <c r="J1008" s="177" t="str">
        <f>ConcatenateWithSpaces($B$1008:$H$1008)</f>
        <v>Property: FractionSand</v>
      </c>
    </row>
    <row r="1009" spans="2:10" x14ac:dyDescent="0.2">
      <c r="B1009" s="1" t="s">
        <v>521</v>
      </c>
      <c r="C1009" s="26" t="str">
        <f>IF(ISERROR(FIND(",", $C$1010)), "Constant", "InputFromFile")</f>
        <v>Constant</v>
      </c>
      <c r="J1009" s="177" t="str">
        <f>ConcatenateWithSpaces($B$1009:$H$1009)</f>
        <v>Form: Constant</v>
      </c>
    </row>
    <row r="1010" spans="2:10" x14ac:dyDescent="0.2">
      <c r="B1010" s="1" t="s">
        <v>2</v>
      </c>
      <c r="C1010" s="26">
        <f>Soil!$M$18</f>
        <v>0.88800087391367666</v>
      </c>
      <c r="J1010" s="177" t="str">
        <f>ConcatenateWithSpaces($B$1010:$H$1010)</f>
        <v>Value: 0.888000873913677</v>
      </c>
    </row>
    <row r="1011" spans="2:10" x14ac:dyDescent="0.2">
      <c r="B1011" s="1" t="s">
        <v>261</v>
      </c>
      <c r="J1011" s="177" t="str">
        <f>ConcatenateWithSpaces($B$1011:$H$1011)</f>
        <v>Property: OrganicCarbonContent</v>
      </c>
    </row>
    <row r="1012" spans="2:10" x14ac:dyDescent="0.2">
      <c r="B1012" s="1" t="s">
        <v>521</v>
      </c>
      <c r="C1012" s="26" t="str">
        <f>IF(ISERROR(FIND(",", $C$1013)), "Constant", "InputFromFile")</f>
        <v>Constant</v>
      </c>
      <c r="J1012" s="177" t="str">
        <f>ConcatenateWithSpaces($B$1012:$H$1012)</f>
        <v>Form: Constant</v>
      </c>
    </row>
    <row r="1013" spans="2:10" x14ac:dyDescent="0.2">
      <c r="B1013" s="1" t="s">
        <v>2</v>
      </c>
      <c r="C1013" s="26">
        <f>Soil!$M$19</f>
        <v>6.6189399186819223E-2</v>
      </c>
      <c r="J1013" s="177" t="str">
        <f>ConcatenateWithSpaces($B$1013:$H$1013)</f>
        <v>Value: 6.61893991868192E-02</v>
      </c>
    </row>
    <row r="1014" spans="2:10" x14ac:dyDescent="0.2">
      <c r="B1014" s="1" t="s">
        <v>260</v>
      </c>
      <c r="J1014" s="177" t="str">
        <f>ConcatenateWithSpaces($B$1014:$H$1014)</f>
        <v>Property: pH</v>
      </c>
    </row>
    <row r="1015" spans="2:10" x14ac:dyDescent="0.2">
      <c r="B1015" s="1" t="s">
        <v>521</v>
      </c>
      <c r="C1015" s="26" t="str">
        <f>IF(ISERROR(FIND(",", $C$1016)), "Constant", "InputFromFile")</f>
        <v>Constant</v>
      </c>
      <c r="J1015" s="177" t="str">
        <f>ConcatenateWithSpaces($B$1015:$H$1015)</f>
        <v>Form: Constant</v>
      </c>
    </row>
    <row r="1016" spans="2:10" x14ac:dyDescent="0.2">
      <c r="B1016" s="1" t="s">
        <v>2</v>
      </c>
      <c r="C1016" s="26">
        <f>Soil!$M$20</f>
        <v>5.4622372190124775</v>
      </c>
      <c r="J1016" s="177" t="str">
        <f>ConcatenateWithSpaces($B$1016:$H$1016)</f>
        <v>Value: 5.46223721901248</v>
      </c>
    </row>
    <row r="1017" spans="2:10" x14ac:dyDescent="0.2">
      <c r="B1017" s="1" t="s">
        <v>768</v>
      </c>
      <c r="J1017" s="177" t="str">
        <f>ConcatenateWithSpaces($B$1017:$H$1017)</f>
        <v>Property: TotalRunoffRate_m3_m2_day</v>
      </c>
    </row>
    <row r="1018" spans="2:10" x14ac:dyDescent="0.2">
      <c r="B1018" s="1" t="s">
        <v>521</v>
      </c>
      <c r="C1018" s="26" t="str">
        <f>IF(ISERROR(FIND(",", $C$1019)), "Constant", "InputFromFile")</f>
        <v>Constant</v>
      </c>
      <c r="J1018" s="177" t="str">
        <f>ConcatenateWithSpaces($B$1018:$H$1018)</f>
        <v>Form: Constant</v>
      </c>
    </row>
    <row r="1019" spans="2:10" x14ac:dyDescent="0.2">
      <c r="B1019" s="1" t="s">
        <v>2</v>
      </c>
      <c r="C1019" s="248">
        <f>Soil!$M$22</f>
        <v>2.7923287671232879E-4</v>
      </c>
      <c r="J1019" s="177" t="str">
        <f>ConcatenateWithSpaces($B$1019:$H$1019)</f>
        <v>Value: 2.79232876712329E-04</v>
      </c>
    </row>
    <row r="1020" spans="2:10" x14ac:dyDescent="0.2">
      <c r="B1020" s="1" t="s">
        <v>259</v>
      </c>
      <c r="J1020" s="177" t="str">
        <f>ConcatenateWithSpaces($B$1020:$H$1020)</f>
        <v>Property: TotalErosionRate_kg_m2_day</v>
      </c>
    </row>
    <row r="1021" spans="2:10" x14ac:dyDescent="0.2">
      <c r="B1021" s="1" t="s">
        <v>521</v>
      </c>
      <c r="C1021" s="26" t="str">
        <f>IF(ISERROR(FIND(",", $C$1022)), "Constant", "InputFromFile")</f>
        <v>Constant</v>
      </c>
      <c r="J1021" s="177" t="str">
        <f>ConcatenateWithSpaces($B$1021:$H$1021)</f>
        <v>Form: Constant</v>
      </c>
    </row>
    <row r="1022" spans="2:10" x14ac:dyDescent="0.2">
      <c r="B1022" s="1" t="s">
        <v>2</v>
      </c>
      <c r="C1022" s="248">
        <f>Soil!$M$21</f>
        <v>5.196551953154333E-5</v>
      </c>
      <c r="J1022" s="177" t="str">
        <f>ConcatenateWithSpaces($B$1022:$H$1022)</f>
        <v>Value: 5.19655195315433E-05</v>
      </c>
    </row>
    <row r="1023" spans="2:10" x14ac:dyDescent="0.2">
      <c r="B1023" s="1" t="s">
        <v>769</v>
      </c>
      <c r="J1023" s="177" t="str">
        <f>ConcatenateWithSpaces($B$1023:$H$1023)</f>
        <v>Property: VolumeFraction_liquid</v>
      </c>
    </row>
    <row r="1024" spans="2:10" x14ac:dyDescent="0.2">
      <c r="B1024" s="1" t="s">
        <v>521</v>
      </c>
      <c r="C1024" s="26" t="str">
        <f>IF(ISERROR(FIND(",", $C$1025)), "Constant", "InputFromFile")</f>
        <v>Constant</v>
      </c>
      <c r="J1024" s="177" t="str">
        <f>ConcatenateWithSpaces($B$1024:$H$1024)</f>
        <v>Form: Constant</v>
      </c>
    </row>
    <row r="1025" spans="2:10" x14ac:dyDescent="0.2">
      <c r="B1025" s="1" t="s">
        <v>2</v>
      </c>
      <c r="C1025" s="26">
        <f>Soil!$M$23</f>
        <v>0.11177415499354589</v>
      </c>
      <c r="J1025" s="177" t="str">
        <f>ConcatenateWithSpaces($B$1025:$H$1025)</f>
        <v>Value: 0.111774154993546</v>
      </c>
    </row>
    <row r="1026" spans="2:10" x14ac:dyDescent="0.2">
      <c r="J1026" s="177" t="str">
        <f>ConcatenateWithSpaces($B$1026:$H$1026)</f>
        <v/>
      </c>
    </row>
    <row r="1027" spans="2:10" x14ac:dyDescent="0.2">
      <c r="B1027" s="1" t="s">
        <v>378</v>
      </c>
      <c r="C1027" s="26" t="str">
        <f>"Soil - Surface in SurfSoil_" &amp; Soil!$N$6</f>
        <v>Soil - Surface in SurfSoil_NW2</v>
      </c>
      <c r="J1027" s="177" t="str">
        <f>ConcatenateWithSpaces($B$1027:$H$1027)</f>
        <v>Compartment: Soil - Surface in SurfSoil_NW2</v>
      </c>
    </row>
    <row r="1028" spans="2:10" x14ac:dyDescent="0.2">
      <c r="B1028" s="1" t="s">
        <v>761</v>
      </c>
      <c r="J1028" s="177" t="str">
        <f>ConcatenateWithSpaces($B$1028:$H$1028)</f>
        <v>Property: VolumeFraction_vapor</v>
      </c>
    </row>
    <row r="1029" spans="2:10" x14ac:dyDescent="0.2">
      <c r="B1029" s="1" t="s">
        <v>521</v>
      </c>
      <c r="C1029" s="26" t="str">
        <f>IF(ISERROR(FIND(",", $C$1030)), "Constant", "InputFromFile")</f>
        <v>Constant</v>
      </c>
      <c r="J1029" s="177" t="str">
        <f>ConcatenateWithSpaces($B$1029:$H$1029)</f>
        <v>Form: Constant</v>
      </c>
    </row>
    <row r="1030" spans="2:10" x14ac:dyDescent="0.2">
      <c r="B1030" s="1" t="s">
        <v>2</v>
      </c>
      <c r="C1030" s="26">
        <f>Soil!$N$11</f>
        <v>0.1</v>
      </c>
      <c r="J1030" s="177" t="str">
        <f>ConcatenateWithSpaces($B$1030:$H$1030)</f>
        <v>Value: 0.1</v>
      </c>
    </row>
    <row r="1031" spans="2:10" x14ac:dyDescent="0.2">
      <c r="B1031" s="1" t="s">
        <v>762</v>
      </c>
      <c r="J1031" s="177" t="str">
        <f>ConcatenateWithSpaces($B$1031:$H$1031)</f>
        <v>Property: AverageVerticalVelocity</v>
      </c>
    </row>
    <row r="1032" spans="2:10" x14ac:dyDescent="0.2">
      <c r="B1032" s="1" t="s">
        <v>521</v>
      </c>
      <c r="C1032" s="26" t="str">
        <f>IF(ISERROR(FIND(",", $C$1033)), "Constant", "InputFromFile")</f>
        <v>Constant</v>
      </c>
      <c r="J1032" s="177" t="str">
        <f>ConcatenateWithSpaces($B$1032:$H$1032)</f>
        <v>Form: Constant</v>
      </c>
    </row>
    <row r="1033" spans="2:10" x14ac:dyDescent="0.2">
      <c r="B1033" s="1" t="s">
        <v>2</v>
      </c>
      <c r="C1033" s="248">
        <f>Soil!$N$12</f>
        <v>0</v>
      </c>
      <c r="J1033" s="177" t="str">
        <f>ConcatenateWithSpaces($B$1033:$H$1033)</f>
        <v>Value: 0</v>
      </c>
    </row>
    <row r="1034" spans="2:10" x14ac:dyDescent="0.2">
      <c r="B1034" s="1" t="s">
        <v>763</v>
      </c>
      <c r="J1034" s="177" t="str">
        <f>ConcatenateWithSpaces($B$1034:$H$1034)</f>
        <v>Property: AirSoilBoundaryThickness</v>
      </c>
    </row>
    <row r="1035" spans="2:10" x14ac:dyDescent="0.2">
      <c r="B1035" s="1" t="s">
        <v>521</v>
      </c>
      <c r="C1035" s="26" t="str">
        <f>IF(ISERROR(FIND(",", $C$1036)), "Constant", "InputFromFile")</f>
        <v>Constant</v>
      </c>
      <c r="J1035" s="177" t="str">
        <f>ConcatenateWithSpaces($B$1035:$H$1035)</f>
        <v>Form: Constant</v>
      </c>
    </row>
    <row r="1036" spans="2:10" x14ac:dyDescent="0.2">
      <c r="B1036" s="1" t="s">
        <v>2</v>
      </c>
      <c r="C1036" s="26">
        <f>Soil!$N$13</f>
        <v>5.0000000000000001E-3</v>
      </c>
      <c r="J1036" s="177" t="str">
        <f>ConcatenateWithSpaces($B$1036:$H$1036)</f>
        <v>Value: 0.005</v>
      </c>
    </row>
    <row r="1037" spans="2:10" x14ac:dyDescent="0.2">
      <c r="B1037" s="1" t="s">
        <v>4</v>
      </c>
      <c r="J1037" s="177" t="str">
        <f>ConcatenateWithSpaces($B$1037:$H$1037)</f>
        <v>Property: rho</v>
      </c>
    </row>
    <row r="1038" spans="2:10" x14ac:dyDescent="0.2">
      <c r="B1038" s="1" t="s">
        <v>521</v>
      </c>
      <c r="C1038" s="26" t="str">
        <f>IF(ISERROR(FIND(",", $C$1039)), "Constant", "InputFromFile")</f>
        <v>Constant</v>
      </c>
      <c r="J1038" s="177" t="str">
        <f>ConcatenateWithSpaces($B$1038:$H$1038)</f>
        <v>Form: Constant</v>
      </c>
    </row>
    <row r="1039" spans="2:10" x14ac:dyDescent="0.2">
      <c r="B1039" s="1" t="s">
        <v>2</v>
      </c>
      <c r="C1039" s="26">
        <f>Soil!$N$14</f>
        <v>500</v>
      </c>
      <c r="J1039" s="177" t="str">
        <f>ConcatenateWithSpaces($B$1039:$H$1039)</f>
        <v>Value: 500</v>
      </c>
    </row>
    <row r="1040" spans="2:10" x14ac:dyDescent="0.2">
      <c r="B1040" s="1" t="s">
        <v>764</v>
      </c>
      <c r="J1040" s="177" t="str">
        <f>ConcatenateWithSpaces($B$1040:$H$1040)</f>
        <v>Property: Fractionofareaavailableforerosion</v>
      </c>
    </row>
    <row r="1041" spans="2:10" x14ac:dyDescent="0.2">
      <c r="B1041" s="1" t="s">
        <v>521</v>
      </c>
      <c r="C1041" s="26" t="str">
        <f>IF(ISERROR(FIND(",", $C$1042)), "Constant", "InputFromFile")</f>
        <v>Constant</v>
      </c>
      <c r="J1041" s="177" t="str">
        <f>ConcatenateWithSpaces($B$1041:$H$1041)</f>
        <v>Form: Constant</v>
      </c>
    </row>
    <row r="1042" spans="2:10" x14ac:dyDescent="0.2">
      <c r="B1042" s="1" t="s">
        <v>2</v>
      </c>
      <c r="C1042" s="26">
        <f>Soil!$N$15</f>
        <v>1</v>
      </c>
      <c r="J1042" s="177" t="str">
        <f>ConcatenateWithSpaces($B$1042:$H$1042)</f>
        <v>Value: 1</v>
      </c>
    </row>
    <row r="1043" spans="2:10" x14ac:dyDescent="0.2">
      <c r="B1043" s="1" t="s">
        <v>765</v>
      </c>
      <c r="J1043" s="177" t="str">
        <f>ConcatenateWithSpaces($B$1043:$H$1043)</f>
        <v>Property: FractionofAreaAvailableforRunoff</v>
      </c>
    </row>
    <row r="1044" spans="2:10" x14ac:dyDescent="0.2">
      <c r="B1044" s="1" t="s">
        <v>521</v>
      </c>
      <c r="C1044" s="26" t="str">
        <f>IF(ISERROR(FIND(",", $C$1045)), "Constant", "InputFromFile")</f>
        <v>Constant</v>
      </c>
      <c r="J1044" s="177" t="str">
        <f>ConcatenateWithSpaces($B$1044:$H$1044)</f>
        <v>Form: Constant</v>
      </c>
    </row>
    <row r="1045" spans="2:10" x14ac:dyDescent="0.2">
      <c r="B1045" s="1" t="s">
        <v>2</v>
      </c>
      <c r="C1045" s="26">
        <f>Soil!$N$16</f>
        <v>1</v>
      </c>
      <c r="J1045" s="177" t="str">
        <f>ConcatenateWithSpaces($B$1045:$H$1045)</f>
        <v>Value: 1</v>
      </c>
    </row>
    <row r="1046" spans="2:10" x14ac:dyDescent="0.2">
      <c r="B1046" s="1" t="s">
        <v>766</v>
      </c>
      <c r="J1046" s="177" t="str">
        <f>ConcatenateWithSpaces($B$1046:$H$1046)</f>
        <v>Property: Fractionofareaavailableforverticaldiffusion</v>
      </c>
    </row>
    <row r="1047" spans="2:10" x14ac:dyDescent="0.2">
      <c r="B1047" s="1" t="s">
        <v>521</v>
      </c>
      <c r="C1047" s="26" t="str">
        <f>IF(ISERROR(FIND(",", $C$1048)), "Constant", "InputFromFile")</f>
        <v>Constant</v>
      </c>
      <c r="J1047" s="177" t="str">
        <f>ConcatenateWithSpaces($B$1047:$H$1047)</f>
        <v>Form: Constant</v>
      </c>
    </row>
    <row r="1048" spans="2:10" x14ac:dyDescent="0.2">
      <c r="B1048" s="1" t="s">
        <v>2</v>
      </c>
      <c r="C1048" s="26">
        <f>Soil!$N$17</f>
        <v>1</v>
      </c>
      <c r="J1048" s="177" t="str">
        <f>ConcatenateWithSpaces($B$1048:$H$1048)</f>
        <v>Value: 1</v>
      </c>
    </row>
    <row r="1049" spans="2:10" x14ac:dyDescent="0.2">
      <c r="B1049" s="1" t="s">
        <v>767</v>
      </c>
      <c r="J1049" s="177" t="str">
        <f>ConcatenateWithSpaces($B$1049:$H$1049)</f>
        <v>Property: FractionSand</v>
      </c>
    </row>
    <row r="1050" spans="2:10" x14ac:dyDescent="0.2">
      <c r="B1050" s="1" t="s">
        <v>521</v>
      </c>
      <c r="C1050" s="26" t="str">
        <f>IF(ISERROR(FIND(",", $C$1051)), "Constant", "InputFromFile")</f>
        <v>Constant</v>
      </c>
      <c r="J1050" s="177" t="str">
        <f>ConcatenateWithSpaces($B$1050:$H$1050)</f>
        <v>Form: Constant</v>
      </c>
    </row>
    <row r="1051" spans="2:10" x14ac:dyDescent="0.2">
      <c r="B1051" s="1" t="s">
        <v>2</v>
      </c>
      <c r="C1051" s="26">
        <f>Soil!$N$18</f>
        <v>0.74410005536660595</v>
      </c>
      <c r="J1051" s="177" t="str">
        <f>ConcatenateWithSpaces($B$1051:$H$1051)</f>
        <v>Value: 0.744100055366606</v>
      </c>
    </row>
    <row r="1052" spans="2:10" x14ac:dyDescent="0.2">
      <c r="B1052" s="1" t="s">
        <v>261</v>
      </c>
      <c r="J1052" s="177" t="str">
        <f>ConcatenateWithSpaces($B$1052:$H$1052)</f>
        <v>Property: OrganicCarbonContent</v>
      </c>
    </row>
    <row r="1053" spans="2:10" x14ac:dyDescent="0.2">
      <c r="B1053" s="1" t="s">
        <v>521</v>
      </c>
      <c r="C1053" s="26" t="str">
        <f>IF(ISERROR(FIND(",", $C$1054)), "Constant", "InputFromFile")</f>
        <v>Constant</v>
      </c>
      <c r="J1053" s="177" t="str">
        <f>ConcatenateWithSpaces($B$1053:$H$1053)</f>
        <v>Form: Constant</v>
      </c>
    </row>
    <row r="1054" spans="2:10" x14ac:dyDescent="0.2">
      <c r="B1054" s="1" t="s">
        <v>2</v>
      </c>
      <c r="C1054" s="26">
        <f>Soil!$N$19</f>
        <v>0.29344550125384433</v>
      </c>
      <c r="J1054" s="177" t="str">
        <f>ConcatenateWithSpaces($B$1054:$H$1054)</f>
        <v>Value: 0.293445501253844</v>
      </c>
    </row>
    <row r="1055" spans="2:10" x14ac:dyDescent="0.2">
      <c r="B1055" s="1" t="s">
        <v>260</v>
      </c>
      <c r="J1055" s="177" t="str">
        <f>ConcatenateWithSpaces($B$1055:$H$1055)</f>
        <v>Property: pH</v>
      </c>
    </row>
    <row r="1056" spans="2:10" x14ac:dyDescent="0.2">
      <c r="B1056" s="1" t="s">
        <v>521</v>
      </c>
      <c r="C1056" s="26" t="str">
        <f>IF(ISERROR(FIND(",", $C$1057)), "Constant", "InputFromFile")</f>
        <v>Constant</v>
      </c>
      <c r="J1056" s="177" t="str">
        <f>ConcatenateWithSpaces($B$1056:$H$1056)</f>
        <v>Form: Constant</v>
      </c>
    </row>
    <row r="1057" spans="2:10" x14ac:dyDescent="0.2">
      <c r="B1057" s="1" t="s">
        <v>2</v>
      </c>
      <c r="C1057" s="26">
        <f>Soil!$N$20</f>
        <v>5.6395077913178193</v>
      </c>
      <c r="J1057" s="177" t="str">
        <f>ConcatenateWithSpaces($B$1057:$H$1057)</f>
        <v>Value: 5.63950779131782</v>
      </c>
    </row>
    <row r="1058" spans="2:10" x14ac:dyDescent="0.2">
      <c r="B1058" s="1" t="s">
        <v>768</v>
      </c>
      <c r="J1058" s="177" t="str">
        <f>ConcatenateWithSpaces($B$1058:$H$1058)</f>
        <v>Property: TotalRunoffRate_m3_m2_day</v>
      </c>
    </row>
    <row r="1059" spans="2:10" x14ac:dyDescent="0.2">
      <c r="B1059" s="1" t="s">
        <v>521</v>
      </c>
      <c r="C1059" s="26" t="str">
        <f>IF(ISERROR(FIND(",", $C$1060)), "Constant", "InputFromFile")</f>
        <v>Constant</v>
      </c>
      <c r="J1059" s="177" t="str">
        <f>ConcatenateWithSpaces($B$1059:$H$1059)</f>
        <v>Form: Constant</v>
      </c>
    </row>
    <row r="1060" spans="2:10" x14ac:dyDescent="0.2">
      <c r="B1060" s="1" t="s">
        <v>2</v>
      </c>
      <c r="C1060" s="248">
        <f>Soil!$N$22</f>
        <v>3.007123287671233E-4</v>
      </c>
      <c r="J1060" s="177" t="str">
        <f>ConcatenateWithSpaces($B$1060:$H$1060)</f>
        <v>Value: 3.00712328767123E-04</v>
      </c>
    </row>
    <row r="1061" spans="2:10" x14ac:dyDescent="0.2">
      <c r="B1061" s="1" t="s">
        <v>259</v>
      </c>
      <c r="J1061" s="177" t="str">
        <f>ConcatenateWithSpaces($B$1061:$H$1061)</f>
        <v>Property: TotalErosionRate_kg_m2_day</v>
      </c>
    </row>
    <row r="1062" spans="2:10" x14ac:dyDescent="0.2">
      <c r="B1062" s="1" t="s">
        <v>521</v>
      </c>
      <c r="C1062" s="26" t="str">
        <f>IF(ISERROR(FIND(",", $C$1063)), "Constant", "InputFromFile")</f>
        <v>Constant</v>
      </c>
      <c r="J1062" s="177" t="str">
        <f>ConcatenateWithSpaces($B$1062:$H$1062)</f>
        <v>Form: Constant</v>
      </c>
    </row>
    <row r="1063" spans="2:10" x14ac:dyDescent="0.2">
      <c r="B1063" s="1" t="s">
        <v>2</v>
      </c>
      <c r="C1063" s="248">
        <f>Soil!$N$21</f>
        <v>1.0272194178788672E-5</v>
      </c>
      <c r="J1063" s="177" t="str">
        <f>ConcatenateWithSpaces($B$1063:$H$1063)</f>
        <v>Value: 1.02721941787887E-05</v>
      </c>
    </row>
    <row r="1064" spans="2:10" x14ac:dyDescent="0.2">
      <c r="B1064" s="1" t="s">
        <v>769</v>
      </c>
      <c r="J1064" s="177" t="str">
        <f>ConcatenateWithSpaces($B$1064:$H$1064)</f>
        <v>Property: VolumeFraction_liquid</v>
      </c>
    </row>
    <row r="1065" spans="2:10" x14ac:dyDescent="0.2">
      <c r="B1065" s="1" t="s">
        <v>521</v>
      </c>
      <c r="C1065" s="26" t="str">
        <f>IF(ISERROR(FIND(",", $C$1066)), "Constant", "InputFromFile")</f>
        <v>Constant</v>
      </c>
      <c r="J1065" s="177" t="str">
        <f>ConcatenateWithSpaces($B$1065:$H$1065)</f>
        <v>Form: Constant</v>
      </c>
    </row>
    <row r="1066" spans="2:10" x14ac:dyDescent="0.2">
      <c r="B1066" s="1" t="s">
        <v>2</v>
      </c>
      <c r="C1066" s="26">
        <f>Soil!$N$23</f>
        <v>0.6</v>
      </c>
      <c r="J1066" s="177" t="str">
        <f>ConcatenateWithSpaces($B$1066:$H$1066)</f>
        <v>Value: 0.6</v>
      </c>
    </row>
    <row r="1067" spans="2:10" x14ac:dyDescent="0.2">
      <c r="J1067" s="177" t="str">
        <f>ConcatenateWithSpaces($B$1067:$H$1067)</f>
        <v/>
      </c>
    </row>
    <row r="1068" spans="2:10" x14ac:dyDescent="0.2">
      <c r="B1068" s="1" t="s">
        <v>378</v>
      </c>
      <c r="C1068" s="26" t="str">
        <f>"Soil - Surface in SurfSoil_" &amp; Soil!$O$6</f>
        <v>Soil - Surface in SurfSoil_S1</v>
      </c>
      <c r="J1068" s="177" t="str">
        <f>ConcatenateWithSpaces($B$1068:$H$1068)</f>
        <v>Compartment: Soil - Surface in SurfSoil_S1</v>
      </c>
    </row>
    <row r="1069" spans="2:10" x14ac:dyDescent="0.2">
      <c r="B1069" s="1" t="s">
        <v>761</v>
      </c>
      <c r="J1069" s="177" t="str">
        <f>ConcatenateWithSpaces($B$1069:$H$1069)</f>
        <v>Property: VolumeFraction_vapor</v>
      </c>
    </row>
    <row r="1070" spans="2:10" x14ac:dyDescent="0.2">
      <c r="B1070" s="1" t="s">
        <v>521</v>
      </c>
      <c r="C1070" s="26" t="str">
        <f>IF(ISERROR(FIND(",", $C$1071)), "Constant", "InputFromFile")</f>
        <v>Constant</v>
      </c>
      <c r="J1070" s="177" t="str">
        <f>ConcatenateWithSpaces($B$1070:$H$1070)</f>
        <v>Form: Constant</v>
      </c>
    </row>
    <row r="1071" spans="2:10" x14ac:dyDescent="0.2">
      <c r="B1071" s="1" t="s">
        <v>2</v>
      </c>
      <c r="C1071" s="26">
        <f>Soil!$O$11</f>
        <v>0.28000000000000003</v>
      </c>
      <c r="J1071" s="177" t="str">
        <f>ConcatenateWithSpaces($B$1071:$H$1071)</f>
        <v>Value: 0.28</v>
      </c>
    </row>
    <row r="1072" spans="2:10" x14ac:dyDescent="0.2">
      <c r="B1072" s="1" t="s">
        <v>762</v>
      </c>
      <c r="J1072" s="177" t="str">
        <f>ConcatenateWithSpaces($B$1072:$H$1072)</f>
        <v>Property: AverageVerticalVelocity</v>
      </c>
    </row>
    <row r="1073" spans="2:10" x14ac:dyDescent="0.2">
      <c r="B1073" s="1" t="s">
        <v>521</v>
      </c>
      <c r="C1073" s="26" t="str">
        <f>IF(ISERROR(FIND(",", $C$1074)), "Constant", "InputFromFile")</f>
        <v>Constant</v>
      </c>
      <c r="J1073" s="177" t="str">
        <f>ConcatenateWithSpaces($B$1073:$H$1073)</f>
        <v>Form: Constant</v>
      </c>
    </row>
    <row r="1074" spans="2:10" x14ac:dyDescent="0.2">
      <c r="B1074" s="1" t="s">
        <v>2</v>
      </c>
      <c r="C1074" s="248">
        <f>Soil!$O$12</f>
        <v>4.2958904109589049E-4</v>
      </c>
      <c r="J1074" s="177" t="str">
        <f>ConcatenateWithSpaces($B$1074:$H$1074)</f>
        <v>Value: 4.2958904109589E-04</v>
      </c>
    </row>
    <row r="1075" spans="2:10" x14ac:dyDescent="0.2">
      <c r="B1075" s="1" t="s">
        <v>763</v>
      </c>
      <c r="J1075" s="177" t="str">
        <f>ConcatenateWithSpaces($B$1075:$H$1075)</f>
        <v>Property: AirSoilBoundaryThickness</v>
      </c>
    </row>
    <row r="1076" spans="2:10" x14ac:dyDescent="0.2">
      <c r="B1076" s="1" t="s">
        <v>521</v>
      </c>
      <c r="C1076" s="26" t="str">
        <f>IF(ISERROR(FIND(",", $C$1077)), "Constant", "InputFromFile")</f>
        <v>Constant</v>
      </c>
      <c r="J1076" s="177" t="str">
        <f>ConcatenateWithSpaces($B$1076:$H$1076)</f>
        <v>Form: Constant</v>
      </c>
    </row>
    <row r="1077" spans="2:10" x14ac:dyDescent="0.2">
      <c r="B1077" s="1" t="s">
        <v>2</v>
      </c>
      <c r="C1077" s="26">
        <f>Soil!$O$13</f>
        <v>5.0000000000000001E-3</v>
      </c>
      <c r="J1077" s="177" t="str">
        <f>ConcatenateWithSpaces($B$1077:$H$1077)</f>
        <v>Value: 0.005</v>
      </c>
    </row>
    <row r="1078" spans="2:10" x14ac:dyDescent="0.2">
      <c r="B1078" s="1" t="s">
        <v>4</v>
      </c>
      <c r="J1078" s="177" t="str">
        <f>ConcatenateWithSpaces($B$1078:$H$1078)</f>
        <v>Property: rho</v>
      </c>
    </row>
    <row r="1079" spans="2:10" x14ac:dyDescent="0.2">
      <c r="B1079" s="1" t="s">
        <v>521</v>
      </c>
      <c r="C1079" s="26" t="str">
        <f>IF(ISERROR(FIND(",", $C$1080)), "Constant", "InputFromFile")</f>
        <v>Constant</v>
      </c>
      <c r="J1079" s="177" t="str">
        <f>ConcatenateWithSpaces($B$1079:$H$1079)</f>
        <v>Form: Constant</v>
      </c>
    </row>
    <row r="1080" spans="2:10" x14ac:dyDescent="0.2">
      <c r="B1080" s="1" t="s">
        <v>2</v>
      </c>
      <c r="C1080" s="26">
        <f>Soil!$O$14</f>
        <v>2600</v>
      </c>
      <c r="J1080" s="177" t="str">
        <f>ConcatenateWithSpaces($B$1080:$H$1080)</f>
        <v>Value: 2600</v>
      </c>
    </row>
    <row r="1081" spans="2:10" x14ac:dyDescent="0.2">
      <c r="B1081" s="1" t="s">
        <v>764</v>
      </c>
      <c r="J1081" s="177" t="str">
        <f>ConcatenateWithSpaces($B$1081:$H$1081)</f>
        <v>Property: Fractionofareaavailableforerosion</v>
      </c>
    </row>
    <row r="1082" spans="2:10" x14ac:dyDescent="0.2">
      <c r="B1082" s="1" t="s">
        <v>521</v>
      </c>
      <c r="C1082" s="26" t="str">
        <f>IF(ISERROR(FIND(",", $C$1083)), "Constant", "InputFromFile")</f>
        <v>Constant</v>
      </c>
      <c r="J1082" s="177" t="str">
        <f>ConcatenateWithSpaces($B$1082:$H$1082)</f>
        <v>Form: Constant</v>
      </c>
    </row>
    <row r="1083" spans="2:10" x14ac:dyDescent="0.2">
      <c r="B1083" s="1" t="s">
        <v>2</v>
      </c>
      <c r="C1083" s="26">
        <f>Soil!$O$15</f>
        <v>1</v>
      </c>
      <c r="J1083" s="177" t="str">
        <f>ConcatenateWithSpaces($B$1083:$H$1083)</f>
        <v>Value: 1</v>
      </c>
    </row>
    <row r="1084" spans="2:10" x14ac:dyDescent="0.2">
      <c r="B1084" s="1" t="s">
        <v>765</v>
      </c>
      <c r="J1084" s="177" t="str">
        <f>ConcatenateWithSpaces($B$1084:$H$1084)</f>
        <v>Property: FractionofAreaAvailableforRunoff</v>
      </c>
    </row>
    <row r="1085" spans="2:10" x14ac:dyDescent="0.2">
      <c r="B1085" s="1" t="s">
        <v>521</v>
      </c>
      <c r="C1085" s="26" t="str">
        <f>IF(ISERROR(FIND(",", $C$1086)), "Constant", "InputFromFile")</f>
        <v>Constant</v>
      </c>
      <c r="J1085" s="177" t="str">
        <f>ConcatenateWithSpaces($B$1085:$H$1085)</f>
        <v>Form: Constant</v>
      </c>
    </row>
    <row r="1086" spans="2:10" x14ac:dyDescent="0.2">
      <c r="B1086" s="1" t="s">
        <v>2</v>
      </c>
      <c r="C1086" s="26">
        <f>Soil!$O$16</f>
        <v>1</v>
      </c>
      <c r="J1086" s="177" t="str">
        <f>ConcatenateWithSpaces($B$1086:$H$1086)</f>
        <v>Value: 1</v>
      </c>
    </row>
    <row r="1087" spans="2:10" x14ac:dyDescent="0.2">
      <c r="B1087" s="1" t="s">
        <v>766</v>
      </c>
      <c r="J1087" s="177" t="str">
        <f>ConcatenateWithSpaces($B$1087:$H$1087)</f>
        <v>Property: Fractionofareaavailableforverticaldiffusion</v>
      </c>
    </row>
    <row r="1088" spans="2:10" x14ac:dyDescent="0.2">
      <c r="B1088" s="1" t="s">
        <v>521</v>
      </c>
      <c r="C1088" s="26" t="str">
        <f>IF(ISERROR(FIND(",", $C$1089)), "Constant", "InputFromFile")</f>
        <v>Constant</v>
      </c>
      <c r="J1088" s="177" t="str">
        <f>ConcatenateWithSpaces($B$1088:$H$1088)</f>
        <v>Form: Constant</v>
      </c>
    </row>
    <row r="1089" spans="2:10" x14ac:dyDescent="0.2">
      <c r="B1089" s="1" t="s">
        <v>2</v>
      </c>
      <c r="C1089" s="26">
        <f>Soil!$O$17</f>
        <v>1</v>
      </c>
      <c r="J1089" s="177" t="str">
        <f>ConcatenateWithSpaces($B$1089:$H$1089)</f>
        <v>Value: 1</v>
      </c>
    </row>
    <row r="1090" spans="2:10" x14ac:dyDescent="0.2">
      <c r="B1090" s="1" t="s">
        <v>767</v>
      </c>
      <c r="J1090" s="177" t="str">
        <f>ConcatenateWithSpaces($B$1090:$H$1090)</f>
        <v>Property: FractionSand</v>
      </c>
    </row>
    <row r="1091" spans="2:10" x14ac:dyDescent="0.2">
      <c r="B1091" s="1" t="s">
        <v>521</v>
      </c>
      <c r="C1091" s="26" t="str">
        <f>IF(ISERROR(FIND(",", $C$1092)), "Constant", "InputFromFile")</f>
        <v>Constant</v>
      </c>
      <c r="J1091" s="177" t="str">
        <f>ConcatenateWithSpaces($B$1091:$H$1091)</f>
        <v>Form: Constant</v>
      </c>
    </row>
    <row r="1092" spans="2:10" x14ac:dyDescent="0.2">
      <c r="B1092" s="1" t="s">
        <v>2</v>
      </c>
      <c r="C1092" s="26">
        <f>Soil!$O$18</f>
        <v>0.87831813058529873</v>
      </c>
      <c r="J1092" s="177" t="str">
        <f>ConcatenateWithSpaces($B$1092:$H$1092)</f>
        <v>Value: 0.878318130585299</v>
      </c>
    </row>
    <row r="1093" spans="2:10" x14ac:dyDescent="0.2">
      <c r="B1093" s="1" t="s">
        <v>261</v>
      </c>
      <c r="J1093" s="177" t="str">
        <f>ConcatenateWithSpaces($B$1093:$H$1093)</f>
        <v>Property: OrganicCarbonContent</v>
      </c>
    </row>
    <row r="1094" spans="2:10" x14ac:dyDescent="0.2">
      <c r="B1094" s="1" t="s">
        <v>521</v>
      </c>
      <c r="C1094" s="26" t="str">
        <f>IF(ISERROR(FIND(",", $C$1095)), "Constant", "InputFromFile")</f>
        <v>Constant</v>
      </c>
      <c r="J1094" s="177" t="str">
        <f>ConcatenateWithSpaces($B$1094:$H$1094)</f>
        <v>Form: Constant</v>
      </c>
    </row>
    <row r="1095" spans="2:10" x14ac:dyDescent="0.2">
      <c r="B1095" s="1" t="s">
        <v>2</v>
      </c>
      <c r="C1095" s="26">
        <f>Soil!$O$19</f>
        <v>7.9861167942012992E-2</v>
      </c>
      <c r="J1095" s="177" t="str">
        <f>ConcatenateWithSpaces($B$1095:$H$1095)</f>
        <v>Value: 0.079861167942013</v>
      </c>
    </row>
    <row r="1096" spans="2:10" x14ac:dyDescent="0.2">
      <c r="B1096" s="1" t="s">
        <v>260</v>
      </c>
      <c r="J1096" s="177" t="str">
        <f>ConcatenateWithSpaces($B$1096:$H$1096)</f>
        <v>Property: pH</v>
      </c>
    </row>
    <row r="1097" spans="2:10" x14ac:dyDescent="0.2">
      <c r="B1097" s="1" t="s">
        <v>521</v>
      </c>
      <c r="C1097" s="26" t="str">
        <f>IF(ISERROR(FIND(",", $C$1098)), "Constant", "InputFromFile")</f>
        <v>Constant</v>
      </c>
      <c r="J1097" s="177" t="str">
        <f>ConcatenateWithSpaces($B$1097:$H$1097)</f>
        <v>Form: Constant</v>
      </c>
    </row>
    <row r="1098" spans="2:10" x14ac:dyDescent="0.2">
      <c r="B1098" s="1" t="s">
        <v>2</v>
      </c>
      <c r="C1098" s="26">
        <f>Soil!$O$20</f>
        <v>5.6673545191910826</v>
      </c>
      <c r="J1098" s="177" t="str">
        <f>ConcatenateWithSpaces($B$1098:$H$1098)</f>
        <v>Value: 5.66735451919108</v>
      </c>
    </row>
    <row r="1099" spans="2:10" x14ac:dyDescent="0.2">
      <c r="B1099" s="1" t="s">
        <v>768</v>
      </c>
      <c r="J1099" s="177" t="str">
        <f>ConcatenateWithSpaces($B$1099:$H$1099)</f>
        <v>Property: TotalRunoffRate_m3_m2_day</v>
      </c>
    </row>
    <row r="1100" spans="2:10" x14ac:dyDescent="0.2">
      <c r="B1100" s="1" t="s">
        <v>521</v>
      </c>
      <c r="C1100" s="26" t="str">
        <f>IF(ISERROR(FIND(",", $C$1101)), "Constant", "InputFromFile")</f>
        <v>Constant</v>
      </c>
      <c r="J1100" s="177" t="str">
        <f>ConcatenateWithSpaces($B$1100:$H$1100)</f>
        <v>Form: Constant</v>
      </c>
    </row>
    <row r="1101" spans="2:10" x14ac:dyDescent="0.2">
      <c r="B1101" s="1" t="s">
        <v>2</v>
      </c>
      <c r="C1101" s="248">
        <f>Soil!$O$22</f>
        <v>2.7923287671232879E-4</v>
      </c>
      <c r="J1101" s="177" t="str">
        <f>ConcatenateWithSpaces($B$1101:$H$1101)</f>
        <v>Value: 2.79232876712329E-04</v>
      </c>
    </row>
    <row r="1102" spans="2:10" x14ac:dyDescent="0.2">
      <c r="B1102" s="1" t="s">
        <v>259</v>
      </c>
      <c r="J1102" s="177" t="str">
        <f>ConcatenateWithSpaces($B$1102:$H$1102)</f>
        <v>Property: TotalErosionRate_kg_m2_day</v>
      </c>
    </row>
    <row r="1103" spans="2:10" x14ac:dyDescent="0.2">
      <c r="B1103" s="1" t="s">
        <v>521</v>
      </c>
      <c r="C1103" s="26" t="str">
        <f>IF(ISERROR(FIND(",", $C$1104)), "Constant", "InputFromFile")</f>
        <v>Constant</v>
      </c>
      <c r="J1103" s="177" t="str">
        <f>ConcatenateWithSpaces($B$1103:$H$1103)</f>
        <v>Form: Constant</v>
      </c>
    </row>
    <row r="1104" spans="2:10" x14ac:dyDescent="0.2">
      <c r="B1104" s="1" t="s">
        <v>2</v>
      </c>
      <c r="C1104" s="248">
        <f>Soil!$O$21</f>
        <v>4.1406065935108877E-5</v>
      </c>
      <c r="J1104" s="177" t="str">
        <f>ConcatenateWithSpaces($B$1104:$H$1104)</f>
        <v>Value: 4.14060659351089E-05</v>
      </c>
    </row>
    <row r="1105" spans="2:10" x14ac:dyDescent="0.2">
      <c r="B1105" s="1" t="s">
        <v>769</v>
      </c>
      <c r="J1105" s="177" t="str">
        <f>ConcatenateWithSpaces($B$1105:$H$1105)</f>
        <v>Property: VolumeFraction_liquid</v>
      </c>
    </row>
    <row r="1106" spans="2:10" x14ac:dyDescent="0.2">
      <c r="B1106" s="1" t="s">
        <v>521</v>
      </c>
      <c r="C1106" s="26" t="str">
        <f>IF(ISERROR(FIND(",", $C$1107)), "Constant", "InputFromFile")</f>
        <v>Constant</v>
      </c>
      <c r="J1106" s="177" t="str">
        <f>ConcatenateWithSpaces($B$1106:$H$1106)</f>
        <v>Form: Constant</v>
      </c>
    </row>
    <row r="1107" spans="2:10" x14ac:dyDescent="0.2">
      <c r="B1107" s="1" t="s">
        <v>2</v>
      </c>
      <c r="C1107" s="26">
        <f>Soil!$O$23</f>
        <v>0.11591175084439553</v>
      </c>
      <c r="J1107" s="177" t="str">
        <f>ConcatenateWithSpaces($B$1107:$H$1107)</f>
        <v>Value: 0.115911750844396</v>
      </c>
    </row>
    <row r="1108" spans="2:10" x14ac:dyDescent="0.2">
      <c r="J1108" s="177" t="str">
        <f>ConcatenateWithSpaces($B$1108:$H$1108)</f>
        <v/>
      </c>
    </row>
    <row r="1109" spans="2:10" x14ac:dyDescent="0.2">
      <c r="B1109" s="1" t="s">
        <v>378</v>
      </c>
      <c r="C1109" s="26" t="str">
        <f>"Soil - Surface in SurfSoil_" &amp; Soil!$P$6</f>
        <v>Soil - Surface in SurfSoil_S2</v>
      </c>
      <c r="J1109" s="177" t="str">
        <f>ConcatenateWithSpaces($B$1109:$H$1109)</f>
        <v>Compartment: Soil - Surface in SurfSoil_S2</v>
      </c>
    </row>
    <row r="1110" spans="2:10" x14ac:dyDescent="0.2">
      <c r="B1110" s="1" t="s">
        <v>761</v>
      </c>
      <c r="J1110" s="177" t="str">
        <f>ConcatenateWithSpaces($B$1110:$H$1110)</f>
        <v>Property: VolumeFraction_vapor</v>
      </c>
    </row>
    <row r="1111" spans="2:10" x14ac:dyDescent="0.2">
      <c r="B1111" s="1" t="s">
        <v>521</v>
      </c>
      <c r="C1111" s="26" t="str">
        <f>IF(ISERROR(FIND(",", $C$1112)), "Constant", "InputFromFile")</f>
        <v>Constant</v>
      </c>
      <c r="J1111" s="177" t="str">
        <f>ConcatenateWithSpaces($B$1111:$H$1111)</f>
        <v>Form: Constant</v>
      </c>
    </row>
    <row r="1112" spans="2:10" x14ac:dyDescent="0.2">
      <c r="B1112" s="1" t="s">
        <v>2</v>
      </c>
      <c r="C1112" s="26">
        <f>Soil!$P$11</f>
        <v>0.28000000000000003</v>
      </c>
      <c r="J1112" s="177" t="str">
        <f>ConcatenateWithSpaces($B$1112:$H$1112)</f>
        <v>Value: 0.28</v>
      </c>
    </row>
    <row r="1113" spans="2:10" x14ac:dyDescent="0.2">
      <c r="B1113" s="1" t="s">
        <v>762</v>
      </c>
      <c r="J1113" s="177" t="str">
        <f>ConcatenateWithSpaces($B$1113:$H$1113)</f>
        <v>Property: AverageVerticalVelocity</v>
      </c>
    </row>
    <row r="1114" spans="2:10" x14ac:dyDescent="0.2">
      <c r="B1114" s="1" t="s">
        <v>521</v>
      </c>
      <c r="C1114" s="26" t="str">
        <f>IF(ISERROR(FIND(",", $C$1115)), "Constant", "InputFromFile")</f>
        <v>Constant</v>
      </c>
      <c r="J1114" s="177" t="str">
        <f>ConcatenateWithSpaces($B$1114:$H$1114)</f>
        <v>Form: Constant</v>
      </c>
    </row>
    <row r="1115" spans="2:10" x14ac:dyDescent="0.2">
      <c r="B1115" s="1" t="s">
        <v>2</v>
      </c>
      <c r="C1115" s="248">
        <f>Soil!$P$12</f>
        <v>4.2958904109589049E-4</v>
      </c>
      <c r="J1115" s="177" t="str">
        <f>ConcatenateWithSpaces($B$1115:$H$1115)</f>
        <v>Value: 4.2958904109589E-04</v>
      </c>
    </row>
    <row r="1116" spans="2:10" x14ac:dyDescent="0.2">
      <c r="B1116" s="1" t="s">
        <v>763</v>
      </c>
      <c r="J1116" s="177" t="str">
        <f>ConcatenateWithSpaces($B$1116:$H$1116)</f>
        <v>Property: AirSoilBoundaryThickness</v>
      </c>
    </row>
    <row r="1117" spans="2:10" x14ac:dyDescent="0.2">
      <c r="B1117" s="1" t="s">
        <v>521</v>
      </c>
      <c r="C1117" s="26" t="str">
        <f>IF(ISERROR(FIND(",", $C$1118)), "Constant", "InputFromFile")</f>
        <v>Constant</v>
      </c>
      <c r="J1117" s="177" t="str">
        <f>ConcatenateWithSpaces($B$1117:$H$1117)</f>
        <v>Form: Constant</v>
      </c>
    </row>
    <row r="1118" spans="2:10" x14ac:dyDescent="0.2">
      <c r="B1118" s="1" t="s">
        <v>2</v>
      </c>
      <c r="C1118" s="26">
        <f>Soil!$P$13</f>
        <v>5.0000000000000001E-3</v>
      </c>
      <c r="J1118" s="177" t="str">
        <f>ConcatenateWithSpaces($B$1118:$H$1118)</f>
        <v>Value: 0.005</v>
      </c>
    </row>
    <row r="1119" spans="2:10" x14ac:dyDescent="0.2">
      <c r="B1119" s="1" t="s">
        <v>4</v>
      </c>
      <c r="J1119" s="177" t="str">
        <f>ConcatenateWithSpaces($B$1119:$H$1119)</f>
        <v>Property: rho</v>
      </c>
    </row>
    <row r="1120" spans="2:10" x14ac:dyDescent="0.2">
      <c r="B1120" s="1" t="s">
        <v>521</v>
      </c>
      <c r="C1120" s="26" t="str">
        <f>IF(ISERROR(FIND(",", $C$1121)), "Constant", "InputFromFile")</f>
        <v>Constant</v>
      </c>
      <c r="J1120" s="177" t="str">
        <f>ConcatenateWithSpaces($B$1120:$H$1120)</f>
        <v>Form: Constant</v>
      </c>
    </row>
    <row r="1121" spans="2:10" x14ac:dyDescent="0.2">
      <c r="B1121" s="1" t="s">
        <v>2</v>
      </c>
      <c r="C1121" s="26">
        <f>Soil!$P$14</f>
        <v>2600</v>
      </c>
      <c r="J1121" s="177" t="str">
        <f>ConcatenateWithSpaces($B$1121:$H$1121)</f>
        <v>Value: 2600</v>
      </c>
    </row>
    <row r="1122" spans="2:10" x14ac:dyDescent="0.2">
      <c r="B1122" s="1" t="s">
        <v>764</v>
      </c>
      <c r="J1122" s="177" t="str">
        <f>ConcatenateWithSpaces($B$1122:$H$1122)</f>
        <v>Property: Fractionofareaavailableforerosion</v>
      </c>
    </row>
    <row r="1123" spans="2:10" x14ac:dyDescent="0.2">
      <c r="B1123" s="1" t="s">
        <v>521</v>
      </c>
      <c r="C1123" s="26" t="str">
        <f>IF(ISERROR(FIND(",", $C$1124)), "Constant", "InputFromFile")</f>
        <v>Constant</v>
      </c>
      <c r="J1123" s="177" t="str">
        <f>ConcatenateWithSpaces($B$1123:$H$1123)</f>
        <v>Form: Constant</v>
      </c>
    </row>
    <row r="1124" spans="2:10" x14ac:dyDescent="0.2">
      <c r="B1124" s="1" t="s">
        <v>2</v>
      </c>
      <c r="C1124" s="26">
        <f>Soil!$P$15</f>
        <v>1</v>
      </c>
      <c r="J1124" s="177" t="str">
        <f>ConcatenateWithSpaces($B$1124:$H$1124)</f>
        <v>Value: 1</v>
      </c>
    </row>
    <row r="1125" spans="2:10" x14ac:dyDescent="0.2">
      <c r="B1125" s="1" t="s">
        <v>765</v>
      </c>
      <c r="J1125" s="177" t="str">
        <f>ConcatenateWithSpaces($B$1125:$H$1125)</f>
        <v>Property: FractionofAreaAvailableforRunoff</v>
      </c>
    </row>
    <row r="1126" spans="2:10" x14ac:dyDescent="0.2">
      <c r="B1126" s="1" t="s">
        <v>521</v>
      </c>
      <c r="C1126" s="26" t="str">
        <f>IF(ISERROR(FIND(",", $C$1127)), "Constant", "InputFromFile")</f>
        <v>Constant</v>
      </c>
      <c r="J1126" s="177" t="str">
        <f>ConcatenateWithSpaces($B$1126:$H$1126)</f>
        <v>Form: Constant</v>
      </c>
    </row>
    <row r="1127" spans="2:10" x14ac:dyDescent="0.2">
      <c r="B1127" s="1" t="s">
        <v>2</v>
      </c>
      <c r="C1127" s="26">
        <f>Soil!$P$16</f>
        <v>1</v>
      </c>
      <c r="J1127" s="177" t="str">
        <f>ConcatenateWithSpaces($B$1127:$H$1127)</f>
        <v>Value: 1</v>
      </c>
    </row>
    <row r="1128" spans="2:10" x14ac:dyDescent="0.2">
      <c r="B1128" s="1" t="s">
        <v>766</v>
      </c>
      <c r="J1128" s="177" t="str">
        <f>ConcatenateWithSpaces($B$1128:$H$1128)</f>
        <v>Property: Fractionofareaavailableforverticaldiffusion</v>
      </c>
    </row>
    <row r="1129" spans="2:10" x14ac:dyDescent="0.2">
      <c r="B1129" s="1" t="s">
        <v>521</v>
      </c>
      <c r="C1129" s="26" t="str">
        <f>IF(ISERROR(FIND(",", $C$1130)), "Constant", "InputFromFile")</f>
        <v>Constant</v>
      </c>
      <c r="J1129" s="177" t="str">
        <f>ConcatenateWithSpaces($B$1129:$H$1129)</f>
        <v>Form: Constant</v>
      </c>
    </row>
    <row r="1130" spans="2:10" x14ac:dyDescent="0.2">
      <c r="B1130" s="1" t="s">
        <v>2</v>
      </c>
      <c r="C1130" s="26">
        <f>Soil!$P$17</f>
        <v>1</v>
      </c>
      <c r="J1130" s="177" t="str">
        <f>ConcatenateWithSpaces($B$1130:$H$1130)</f>
        <v>Value: 1</v>
      </c>
    </row>
    <row r="1131" spans="2:10" x14ac:dyDescent="0.2">
      <c r="B1131" s="1" t="s">
        <v>767</v>
      </c>
      <c r="J1131" s="177" t="str">
        <f>ConcatenateWithSpaces($B$1131:$H$1131)</f>
        <v>Property: FractionSand</v>
      </c>
    </row>
    <row r="1132" spans="2:10" x14ac:dyDescent="0.2">
      <c r="B1132" s="1" t="s">
        <v>521</v>
      </c>
      <c r="C1132" s="26" t="str">
        <f>IF(ISERROR(FIND(",", $C$1133)), "Constant", "InputFromFile")</f>
        <v>Constant</v>
      </c>
      <c r="J1132" s="177" t="str">
        <f>ConcatenateWithSpaces($B$1132:$H$1132)</f>
        <v>Form: Constant</v>
      </c>
    </row>
    <row r="1133" spans="2:10" x14ac:dyDescent="0.2">
      <c r="B1133" s="1" t="s">
        <v>2</v>
      </c>
      <c r="C1133" s="26">
        <f>Soil!$P$18</f>
        <v>0.91704921700223707</v>
      </c>
      <c r="J1133" s="177" t="str">
        <f>ConcatenateWithSpaces($B$1133:$H$1133)</f>
        <v>Value: 0.917049217002237</v>
      </c>
    </row>
    <row r="1134" spans="2:10" x14ac:dyDescent="0.2">
      <c r="B1134" s="1" t="s">
        <v>261</v>
      </c>
      <c r="J1134" s="177" t="str">
        <f>ConcatenateWithSpaces($B$1134:$H$1134)</f>
        <v>Property: OrganicCarbonContent</v>
      </c>
    </row>
    <row r="1135" spans="2:10" x14ac:dyDescent="0.2">
      <c r="B1135" s="1" t="s">
        <v>521</v>
      </c>
      <c r="C1135" s="26" t="str">
        <f>IF(ISERROR(FIND(",", $C$1136)), "Constant", "InputFromFile")</f>
        <v>Constant</v>
      </c>
      <c r="J1135" s="177" t="str">
        <f>ConcatenateWithSpaces($B$1135:$H$1135)</f>
        <v>Form: Constant</v>
      </c>
    </row>
    <row r="1136" spans="2:10" x14ac:dyDescent="0.2">
      <c r="B1136" s="1" t="s">
        <v>2</v>
      </c>
      <c r="C1136" s="26">
        <f>Soil!$P$19</f>
        <v>0.19730551325400716</v>
      </c>
      <c r="J1136" s="177" t="str">
        <f>ConcatenateWithSpaces($B$1136:$H$1136)</f>
        <v>Value: 0.197305513254007</v>
      </c>
    </row>
    <row r="1137" spans="2:10" x14ac:dyDescent="0.2">
      <c r="B1137" s="1" t="s">
        <v>260</v>
      </c>
      <c r="J1137" s="177" t="str">
        <f>ConcatenateWithSpaces($B$1137:$H$1137)</f>
        <v>Property: pH</v>
      </c>
    </row>
    <row r="1138" spans="2:10" x14ac:dyDescent="0.2">
      <c r="B1138" s="1" t="s">
        <v>521</v>
      </c>
      <c r="C1138" s="26" t="str">
        <f>IF(ISERROR(FIND(",", $C$1139)), "Constant", "InputFromFile")</f>
        <v>Constant</v>
      </c>
      <c r="J1138" s="177" t="str">
        <f>ConcatenateWithSpaces($B$1138:$H$1138)</f>
        <v>Form: Constant</v>
      </c>
    </row>
    <row r="1139" spans="2:10" x14ac:dyDescent="0.2">
      <c r="B1139" s="1" t="s">
        <v>2</v>
      </c>
      <c r="C1139" s="26">
        <f>Soil!$P$20</f>
        <v>5.3853139013452918</v>
      </c>
      <c r="J1139" s="177" t="str">
        <f>ConcatenateWithSpaces($B$1139:$H$1139)</f>
        <v>Value: 5.38531390134529</v>
      </c>
    </row>
    <row r="1140" spans="2:10" x14ac:dyDescent="0.2">
      <c r="B1140" s="1" t="s">
        <v>768</v>
      </c>
      <c r="J1140" s="177" t="str">
        <f>ConcatenateWithSpaces($B$1140:$H$1140)</f>
        <v>Property: TotalRunoffRate_m3_m2_day</v>
      </c>
    </row>
    <row r="1141" spans="2:10" x14ac:dyDescent="0.2">
      <c r="B1141" s="1" t="s">
        <v>521</v>
      </c>
      <c r="C1141" s="26" t="str">
        <f>IF(ISERROR(FIND(",", $C$1142)), "Constant", "InputFromFile")</f>
        <v>Constant</v>
      </c>
      <c r="J1141" s="177" t="str">
        <f>ConcatenateWithSpaces($B$1141:$H$1141)</f>
        <v>Form: Constant</v>
      </c>
    </row>
    <row r="1142" spans="2:10" x14ac:dyDescent="0.2">
      <c r="B1142" s="1" t="s">
        <v>2</v>
      </c>
      <c r="C1142" s="248">
        <f>Soil!$P$22</f>
        <v>3.6515068493150687E-4</v>
      </c>
      <c r="J1142" s="177" t="str">
        <f>ConcatenateWithSpaces($B$1142:$H$1142)</f>
        <v>Value: 3.65150684931507E-04</v>
      </c>
    </row>
    <row r="1143" spans="2:10" x14ac:dyDescent="0.2">
      <c r="B1143" s="1" t="s">
        <v>259</v>
      </c>
      <c r="J1143" s="177" t="str">
        <f>ConcatenateWithSpaces($B$1143:$H$1143)</f>
        <v>Property: TotalErosionRate_kg_m2_day</v>
      </c>
    </row>
    <row r="1144" spans="2:10" x14ac:dyDescent="0.2">
      <c r="B1144" s="1" t="s">
        <v>521</v>
      </c>
      <c r="C1144" s="26" t="str">
        <f>IF(ISERROR(FIND(",", $C$1145)), "Constant", "InputFromFile")</f>
        <v>Constant</v>
      </c>
      <c r="J1144" s="177" t="str">
        <f>ConcatenateWithSpaces($B$1144:$H$1144)</f>
        <v>Form: Constant</v>
      </c>
    </row>
    <row r="1145" spans="2:10" x14ac:dyDescent="0.2">
      <c r="B1145" s="1" t="s">
        <v>2</v>
      </c>
      <c r="C1145" s="248">
        <f>Soil!$P$21</f>
        <v>1.4823810058800513E-5</v>
      </c>
      <c r="J1145" s="177" t="str">
        <f>ConcatenateWithSpaces($B$1145:$H$1145)</f>
        <v>Value: 1.48238100588005E-05</v>
      </c>
    </row>
    <row r="1146" spans="2:10" x14ac:dyDescent="0.2">
      <c r="B1146" s="1" t="s">
        <v>769</v>
      </c>
      <c r="J1146" s="177" t="str">
        <f>ConcatenateWithSpaces($B$1146:$H$1146)</f>
        <v>Property: VolumeFraction_liquid</v>
      </c>
    </row>
    <row r="1147" spans="2:10" x14ac:dyDescent="0.2">
      <c r="B1147" s="1" t="s">
        <v>521</v>
      </c>
      <c r="C1147" s="26" t="str">
        <f>IF(ISERROR(FIND(",", $C$1148)), "Constant", "InputFromFile")</f>
        <v>Constant</v>
      </c>
      <c r="J1147" s="177" t="str">
        <f>ConcatenateWithSpaces($B$1147:$H$1147)</f>
        <v>Form: Constant</v>
      </c>
    </row>
    <row r="1148" spans="2:10" x14ac:dyDescent="0.2">
      <c r="B1148" s="1" t="s">
        <v>2</v>
      </c>
      <c r="C1148" s="26">
        <f>Soil!$P$23</f>
        <v>0.13705882352941176</v>
      </c>
      <c r="J1148" s="177" t="str">
        <f>ConcatenateWithSpaces($B$1148:$H$1148)</f>
        <v>Value: 0.137058823529412</v>
      </c>
    </row>
    <row r="1149" spans="2:10" x14ac:dyDescent="0.2">
      <c r="J1149" s="177" t="str">
        <f>ConcatenateWithSpaces($B$1149:$H$1149)</f>
        <v/>
      </c>
    </row>
    <row r="1150" spans="2:10" x14ac:dyDescent="0.2">
      <c r="B1150" s="1" t="s">
        <v>378</v>
      </c>
      <c r="C1150" s="26" t="str">
        <f>"Soil - Surface in SurfSoil_" &amp; Soil!$Q$6</f>
        <v>Soil - Surface in SurfSoil_SE1</v>
      </c>
      <c r="J1150" s="177" t="str">
        <f>ConcatenateWithSpaces($B$1150:$H$1150)</f>
        <v>Compartment: Soil - Surface in SurfSoil_SE1</v>
      </c>
    </row>
    <row r="1151" spans="2:10" x14ac:dyDescent="0.2">
      <c r="B1151" s="1" t="s">
        <v>761</v>
      </c>
      <c r="J1151" s="177" t="str">
        <f>ConcatenateWithSpaces($B$1151:$H$1151)</f>
        <v>Property: VolumeFraction_vapor</v>
      </c>
    </row>
    <row r="1152" spans="2:10" x14ac:dyDescent="0.2">
      <c r="B1152" s="1" t="s">
        <v>521</v>
      </c>
      <c r="C1152" s="26" t="str">
        <f>IF(ISERROR(FIND(",", $C$1153)), "Constant", "InputFromFile")</f>
        <v>Constant</v>
      </c>
      <c r="J1152" s="177" t="str">
        <f>ConcatenateWithSpaces($B$1152:$H$1152)</f>
        <v>Form: Constant</v>
      </c>
    </row>
    <row r="1153" spans="2:10" x14ac:dyDescent="0.2">
      <c r="B1153" s="1" t="s">
        <v>2</v>
      </c>
      <c r="C1153" s="26">
        <f>Soil!$Q$11</f>
        <v>0.28000000000000003</v>
      </c>
      <c r="J1153" s="177" t="str">
        <f>ConcatenateWithSpaces($B$1153:$H$1153)</f>
        <v>Value: 0.28</v>
      </c>
    </row>
    <row r="1154" spans="2:10" x14ac:dyDescent="0.2">
      <c r="B1154" s="1" t="s">
        <v>762</v>
      </c>
      <c r="J1154" s="177" t="str">
        <f>ConcatenateWithSpaces($B$1154:$H$1154)</f>
        <v>Property: AverageVerticalVelocity</v>
      </c>
    </row>
    <row r="1155" spans="2:10" x14ac:dyDescent="0.2">
      <c r="B1155" s="1" t="s">
        <v>521</v>
      </c>
      <c r="C1155" s="26" t="str">
        <f>IF(ISERROR(FIND(",", $C$1156)), "Constant", "InputFromFile")</f>
        <v>Constant</v>
      </c>
      <c r="J1155" s="177" t="str">
        <f>ConcatenateWithSpaces($B$1155:$H$1155)</f>
        <v>Form: Constant</v>
      </c>
    </row>
    <row r="1156" spans="2:10" x14ac:dyDescent="0.2">
      <c r="B1156" s="1" t="s">
        <v>2</v>
      </c>
      <c r="C1156" s="248">
        <f>Soil!$Q$12</f>
        <v>4.2958904109589049E-4</v>
      </c>
      <c r="J1156" s="177" t="str">
        <f>ConcatenateWithSpaces($B$1156:$H$1156)</f>
        <v>Value: 4.2958904109589E-04</v>
      </c>
    </row>
    <row r="1157" spans="2:10" x14ac:dyDescent="0.2">
      <c r="B1157" s="1" t="s">
        <v>763</v>
      </c>
      <c r="J1157" s="177" t="str">
        <f>ConcatenateWithSpaces($B$1157:$H$1157)</f>
        <v>Property: AirSoilBoundaryThickness</v>
      </c>
    </row>
    <row r="1158" spans="2:10" x14ac:dyDescent="0.2">
      <c r="B1158" s="1" t="s">
        <v>521</v>
      </c>
      <c r="C1158" s="26" t="str">
        <f>IF(ISERROR(FIND(",", $C$1159)), "Constant", "InputFromFile")</f>
        <v>Constant</v>
      </c>
      <c r="J1158" s="177" t="str">
        <f>ConcatenateWithSpaces($B$1158:$H$1158)</f>
        <v>Form: Constant</v>
      </c>
    </row>
    <row r="1159" spans="2:10" x14ac:dyDescent="0.2">
      <c r="B1159" s="1" t="s">
        <v>2</v>
      </c>
      <c r="C1159" s="26">
        <f>Soil!$Q$13</f>
        <v>5.0000000000000001E-3</v>
      </c>
      <c r="J1159" s="177" t="str">
        <f>ConcatenateWithSpaces($B$1159:$H$1159)</f>
        <v>Value: 0.005</v>
      </c>
    </row>
    <row r="1160" spans="2:10" x14ac:dyDescent="0.2">
      <c r="B1160" s="1" t="s">
        <v>4</v>
      </c>
      <c r="J1160" s="177" t="str">
        <f>ConcatenateWithSpaces($B$1160:$H$1160)</f>
        <v>Property: rho</v>
      </c>
    </row>
    <row r="1161" spans="2:10" x14ac:dyDescent="0.2">
      <c r="B1161" s="1" t="s">
        <v>521</v>
      </c>
      <c r="C1161" s="26" t="str">
        <f>IF(ISERROR(FIND(",", $C$1162)), "Constant", "InputFromFile")</f>
        <v>Constant</v>
      </c>
      <c r="J1161" s="177" t="str">
        <f>ConcatenateWithSpaces($B$1161:$H$1161)</f>
        <v>Form: Constant</v>
      </c>
    </row>
    <row r="1162" spans="2:10" x14ac:dyDescent="0.2">
      <c r="B1162" s="1" t="s">
        <v>2</v>
      </c>
      <c r="C1162" s="26">
        <f>Soil!$Q$14</f>
        <v>2600</v>
      </c>
      <c r="J1162" s="177" t="str">
        <f>ConcatenateWithSpaces($B$1162:$H$1162)</f>
        <v>Value: 2600</v>
      </c>
    </row>
    <row r="1163" spans="2:10" x14ac:dyDescent="0.2">
      <c r="B1163" s="1" t="s">
        <v>764</v>
      </c>
      <c r="J1163" s="177" t="str">
        <f>ConcatenateWithSpaces($B$1163:$H$1163)</f>
        <v>Property: Fractionofareaavailableforerosion</v>
      </c>
    </row>
    <row r="1164" spans="2:10" x14ac:dyDescent="0.2">
      <c r="B1164" s="1" t="s">
        <v>521</v>
      </c>
      <c r="C1164" s="26" t="str">
        <f>IF(ISERROR(FIND(",", $C$1165)), "Constant", "InputFromFile")</f>
        <v>Constant</v>
      </c>
      <c r="J1164" s="177" t="str">
        <f>ConcatenateWithSpaces($B$1164:$H$1164)</f>
        <v>Form: Constant</v>
      </c>
    </row>
    <row r="1165" spans="2:10" x14ac:dyDescent="0.2">
      <c r="B1165" s="1" t="s">
        <v>2</v>
      </c>
      <c r="C1165" s="26">
        <f>Soil!$Q$15</f>
        <v>1</v>
      </c>
      <c r="J1165" s="177" t="str">
        <f>ConcatenateWithSpaces($B$1165:$H$1165)</f>
        <v>Value: 1</v>
      </c>
    </row>
    <row r="1166" spans="2:10" x14ac:dyDescent="0.2">
      <c r="B1166" s="1" t="s">
        <v>765</v>
      </c>
      <c r="J1166" s="177" t="str">
        <f>ConcatenateWithSpaces($B$1166:$H$1166)</f>
        <v>Property: FractionofAreaAvailableforRunoff</v>
      </c>
    </row>
    <row r="1167" spans="2:10" x14ac:dyDescent="0.2">
      <c r="B1167" s="1" t="s">
        <v>521</v>
      </c>
      <c r="C1167" s="26" t="str">
        <f>IF(ISERROR(FIND(",", $C$1168)), "Constant", "InputFromFile")</f>
        <v>Constant</v>
      </c>
      <c r="J1167" s="177" t="str">
        <f>ConcatenateWithSpaces($B$1167:$H$1167)</f>
        <v>Form: Constant</v>
      </c>
    </row>
    <row r="1168" spans="2:10" x14ac:dyDescent="0.2">
      <c r="B1168" s="1" t="s">
        <v>2</v>
      </c>
      <c r="C1168" s="26">
        <f>Soil!$Q$16</f>
        <v>1</v>
      </c>
      <c r="J1168" s="177" t="str">
        <f>ConcatenateWithSpaces($B$1168:$H$1168)</f>
        <v>Value: 1</v>
      </c>
    </row>
    <row r="1169" spans="2:10" x14ac:dyDescent="0.2">
      <c r="B1169" s="1" t="s">
        <v>766</v>
      </c>
      <c r="J1169" s="177" t="str">
        <f>ConcatenateWithSpaces($B$1169:$H$1169)</f>
        <v>Property: Fractionofareaavailableforverticaldiffusion</v>
      </c>
    </row>
    <row r="1170" spans="2:10" x14ac:dyDescent="0.2">
      <c r="B1170" s="1" t="s">
        <v>521</v>
      </c>
      <c r="C1170" s="26" t="str">
        <f>IF(ISERROR(FIND(",", $C$1171)), "Constant", "InputFromFile")</f>
        <v>Constant</v>
      </c>
      <c r="J1170" s="177" t="str">
        <f>ConcatenateWithSpaces($B$1170:$H$1170)</f>
        <v>Form: Constant</v>
      </c>
    </row>
    <row r="1171" spans="2:10" x14ac:dyDescent="0.2">
      <c r="B1171" s="1" t="s">
        <v>2</v>
      </c>
      <c r="C1171" s="26">
        <f>Soil!$Q$17</f>
        <v>1</v>
      </c>
      <c r="J1171" s="177" t="str">
        <f>ConcatenateWithSpaces($B$1171:$H$1171)</f>
        <v>Value: 1</v>
      </c>
    </row>
    <row r="1172" spans="2:10" x14ac:dyDescent="0.2">
      <c r="B1172" s="1" t="s">
        <v>767</v>
      </c>
      <c r="J1172" s="177" t="str">
        <f>ConcatenateWithSpaces($B$1172:$H$1172)</f>
        <v>Property: FractionSand</v>
      </c>
    </row>
    <row r="1173" spans="2:10" x14ac:dyDescent="0.2">
      <c r="B1173" s="1" t="s">
        <v>521</v>
      </c>
      <c r="C1173" s="26" t="str">
        <f>IF(ISERROR(FIND(",", $C$1174)), "Constant", "InputFromFile")</f>
        <v>Constant</v>
      </c>
      <c r="J1173" s="177" t="str">
        <f>ConcatenateWithSpaces($B$1173:$H$1173)</f>
        <v>Form: Constant</v>
      </c>
    </row>
    <row r="1174" spans="2:10" x14ac:dyDescent="0.2">
      <c r="B1174" s="1" t="s">
        <v>2</v>
      </c>
      <c r="C1174" s="26">
        <f>Soil!$Q$18</f>
        <v>0.79545176947653007</v>
      </c>
      <c r="J1174" s="177" t="str">
        <f>ConcatenateWithSpaces($B$1174:$H$1174)</f>
        <v>Value: 0.79545176947653</v>
      </c>
    </row>
    <row r="1175" spans="2:10" x14ac:dyDescent="0.2">
      <c r="B1175" s="1" t="s">
        <v>261</v>
      </c>
      <c r="J1175" s="177" t="str">
        <f>ConcatenateWithSpaces($B$1175:$H$1175)</f>
        <v>Property: OrganicCarbonContent</v>
      </c>
    </row>
    <row r="1176" spans="2:10" x14ac:dyDescent="0.2">
      <c r="B1176" s="1" t="s">
        <v>521</v>
      </c>
      <c r="C1176" s="26" t="str">
        <f>IF(ISERROR(FIND(",", $C$1177)), "Constant", "InputFromFile")</f>
        <v>Constant</v>
      </c>
      <c r="J1176" s="177" t="str">
        <f>ConcatenateWithSpaces($B$1176:$H$1176)</f>
        <v>Form: Constant</v>
      </c>
    </row>
    <row r="1177" spans="2:10" x14ac:dyDescent="0.2">
      <c r="B1177" s="1" t="s">
        <v>2</v>
      </c>
      <c r="C1177" s="26">
        <f>Soil!$Q$19</f>
        <v>7.8902358618430729E-2</v>
      </c>
      <c r="J1177" s="177" t="str">
        <f>ConcatenateWithSpaces($B$1177:$H$1177)</f>
        <v>Value: 7.89023586184307E-02</v>
      </c>
    </row>
    <row r="1178" spans="2:10" x14ac:dyDescent="0.2">
      <c r="B1178" s="1" t="s">
        <v>260</v>
      </c>
      <c r="J1178" s="177" t="str">
        <f>ConcatenateWithSpaces($B$1178:$H$1178)</f>
        <v>Property: pH</v>
      </c>
    </row>
    <row r="1179" spans="2:10" x14ac:dyDescent="0.2">
      <c r="B1179" s="1" t="s">
        <v>521</v>
      </c>
      <c r="C1179" s="26" t="str">
        <f>IF(ISERROR(FIND(",", $C$1180)), "Constant", "InputFromFile")</f>
        <v>Constant</v>
      </c>
      <c r="J1179" s="177" t="str">
        <f>ConcatenateWithSpaces($B$1179:$H$1179)</f>
        <v>Form: Constant</v>
      </c>
    </row>
    <row r="1180" spans="2:10" x14ac:dyDescent="0.2">
      <c r="B1180" s="1" t="s">
        <v>2</v>
      </c>
      <c r="C1180" s="26">
        <f>Soil!$Q$20</f>
        <v>5.8781154063028644</v>
      </c>
      <c r="J1180" s="177" t="str">
        <f>ConcatenateWithSpaces($B$1180:$H$1180)</f>
        <v>Value: 5.87811540630286</v>
      </c>
    </row>
    <row r="1181" spans="2:10" x14ac:dyDescent="0.2">
      <c r="B1181" s="1" t="s">
        <v>768</v>
      </c>
      <c r="J1181" s="177" t="str">
        <f>ConcatenateWithSpaces($B$1181:$H$1181)</f>
        <v>Property: TotalRunoffRate_m3_m2_day</v>
      </c>
    </row>
    <row r="1182" spans="2:10" x14ac:dyDescent="0.2">
      <c r="B1182" s="1" t="s">
        <v>521</v>
      </c>
      <c r="C1182" s="26" t="str">
        <f>IF(ISERROR(FIND(",", $C$1183)), "Constant", "InputFromFile")</f>
        <v>Constant</v>
      </c>
      <c r="J1182" s="177" t="str">
        <f>ConcatenateWithSpaces($B$1182:$H$1182)</f>
        <v>Form: Constant</v>
      </c>
    </row>
    <row r="1183" spans="2:10" x14ac:dyDescent="0.2">
      <c r="B1183" s="1" t="s">
        <v>2</v>
      </c>
      <c r="C1183" s="248">
        <f>Soil!$Q$22</f>
        <v>5.3698630136986302E-4</v>
      </c>
      <c r="J1183" s="177" t="str">
        <f>ConcatenateWithSpaces($B$1183:$H$1183)</f>
        <v>Value: 5.36986301369863E-04</v>
      </c>
    </row>
    <row r="1184" spans="2:10" x14ac:dyDescent="0.2">
      <c r="B1184" s="1" t="s">
        <v>259</v>
      </c>
      <c r="J1184" s="177" t="str">
        <f>ConcatenateWithSpaces($B$1184:$H$1184)</f>
        <v>Property: TotalErosionRate_kg_m2_day</v>
      </c>
    </row>
    <row r="1185" spans="2:10" x14ac:dyDescent="0.2">
      <c r="B1185" s="1" t="s">
        <v>521</v>
      </c>
      <c r="C1185" s="26" t="str">
        <f>IF(ISERROR(FIND(",", $C$1186)), "Constant", "InputFromFile")</f>
        <v>Constant</v>
      </c>
      <c r="J1185" s="177" t="str">
        <f>ConcatenateWithSpaces($B$1185:$H$1185)</f>
        <v>Form: Constant</v>
      </c>
    </row>
    <row r="1186" spans="2:10" x14ac:dyDescent="0.2">
      <c r="B1186" s="1" t="s">
        <v>2</v>
      </c>
      <c r="C1186" s="248">
        <f>Soil!$Q$21</f>
        <v>8.7250006127129857E-5</v>
      </c>
      <c r="J1186" s="177" t="str">
        <f>ConcatenateWithSpaces($B$1186:$H$1186)</f>
        <v>Value: 8.72500061271299E-05</v>
      </c>
    </row>
    <row r="1187" spans="2:10" x14ac:dyDescent="0.2">
      <c r="B1187" s="1" t="s">
        <v>769</v>
      </c>
      <c r="J1187" s="177" t="str">
        <f>ConcatenateWithSpaces($B$1187:$H$1187)</f>
        <v>Property: VolumeFraction_liquid</v>
      </c>
    </row>
    <row r="1188" spans="2:10" x14ac:dyDescent="0.2">
      <c r="B1188" s="1" t="s">
        <v>521</v>
      </c>
      <c r="C1188" s="26" t="str">
        <f>IF(ISERROR(FIND(",", $C$1189)), "Constant", "InputFromFile")</f>
        <v>Constant</v>
      </c>
      <c r="J1188" s="177" t="str">
        <f>ConcatenateWithSpaces($B$1188:$H$1188)</f>
        <v>Form: Constant</v>
      </c>
    </row>
    <row r="1189" spans="2:10" x14ac:dyDescent="0.2">
      <c r="B1189" s="1" t="s">
        <v>2</v>
      </c>
      <c r="C1189" s="26">
        <f>Soil!$Q$23</f>
        <v>0.14290189412336088</v>
      </c>
      <c r="J1189" s="177" t="str">
        <f>ConcatenateWithSpaces($B$1189:$H$1189)</f>
        <v>Value: 0.142901894123361</v>
      </c>
    </row>
    <row r="1190" spans="2:10" x14ac:dyDescent="0.2">
      <c r="J1190" s="177" t="str">
        <f>ConcatenateWithSpaces($B$1190:$H$1190)</f>
        <v/>
      </c>
    </row>
    <row r="1191" spans="2:10" x14ac:dyDescent="0.2">
      <c r="B1191" s="1" t="s">
        <v>378</v>
      </c>
      <c r="C1191" s="26" t="str">
        <f>"Soil - Surface in SurfSoil_" &amp; Soil!$R$6</f>
        <v>Soil - Surface in SurfSoil_SE2</v>
      </c>
      <c r="J1191" s="177" t="str">
        <f>ConcatenateWithSpaces($B$1191:$H$1191)</f>
        <v>Compartment: Soil - Surface in SurfSoil_SE2</v>
      </c>
    </row>
    <row r="1192" spans="2:10" x14ac:dyDescent="0.2">
      <c r="B1192" s="1" t="s">
        <v>761</v>
      </c>
      <c r="J1192" s="177" t="str">
        <f>ConcatenateWithSpaces($B$1192:$H$1192)</f>
        <v>Property: VolumeFraction_vapor</v>
      </c>
    </row>
    <row r="1193" spans="2:10" x14ac:dyDescent="0.2">
      <c r="B1193" s="1" t="s">
        <v>521</v>
      </c>
      <c r="C1193" s="26" t="str">
        <f>IF(ISERROR(FIND(",", $C$1194)), "Constant", "InputFromFile")</f>
        <v>Constant</v>
      </c>
      <c r="J1193" s="177" t="str">
        <f>ConcatenateWithSpaces($B$1193:$H$1193)</f>
        <v>Form: Constant</v>
      </c>
    </row>
    <row r="1194" spans="2:10" x14ac:dyDescent="0.2">
      <c r="B1194" s="1" t="s">
        <v>2</v>
      </c>
      <c r="C1194" s="26">
        <f>Soil!$R$11</f>
        <v>0.28000000000000003</v>
      </c>
      <c r="J1194" s="177" t="str">
        <f>ConcatenateWithSpaces($B$1194:$H$1194)</f>
        <v>Value: 0.28</v>
      </c>
    </row>
    <row r="1195" spans="2:10" x14ac:dyDescent="0.2">
      <c r="B1195" s="1" t="s">
        <v>762</v>
      </c>
      <c r="J1195" s="177" t="str">
        <f>ConcatenateWithSpaces($B$1195:$H$1195)</f>
        <v>Property: AverageVerticalVelocity</v>
      </c>
    </row>
    <row r="1196" spans="2:10" x14ac:dyDescent="0.2">
      <c r="B1196" s="1" t="s">
        <v>521</v>
      </c>
      <c r="C1196" s="26" t="str">
        <f>IF(ISERROR(FIND(",", $C$1197)), "Constant", "InputFromFile")</f>
        <v>Constant</v>
      </c>
      <c r="J1196" s="177" t="str">
        <f>ConcatenateWithSpaces($B$1196:$H$1196)</f>
        <v>Form: Constant</v>
      </c>
    </row>
    <row r="1197" spans="2:10" x14ac:dyDescent="0.2">
      <c r="B1197" s="1" t="s">
        <v>2</v>
      </c>
      <c r="C1197" s="248">
        <f>Soil!$R$12</f>
        <v>4.2958904109589049E-4</v>
      </c>
      <c r="J1197" s="177" t="str">
        <f>ConcatenateWithSpaces($B$1197:$H$1197)</f>
        <v>Value: 4.2958904109589E-04</v>
      </c>
    </row>
    <row r="1198" spans="2:10" x14ac:dyDescent="0.2">
      <c r="B1198" s="1" t="s">
        <v>763</v>
      </c>
      <c r="J1198" s="177" t="str">
        <f>ConcatenateWithSpaces($B$1198:$H$1198)</f>
        <v>Property: AirSoilBoundaryThickness</v>
      </c>
    </row>
    <row r="1199" spans="2:10" x14ac:dyDescent="0.2">
      <c r="B1199" s="1" t="s">
        <v>521</v>
      </c>
      <c r="C1199" s="26" t="str">
        <f>IF(ISERROR(FIND(",", $C$1200)), "Constant", "InputFromFile")</f>
        <v>Constant</v>
      </c>
      <c r="J1199" s="177" t="str">
        <f>ConcatenateWithSpaces($B$1199:$H$1199)</f>
        <v>Form: Constant</v>
      </c>
    </row>
    <row r="1200" spans="2:10" x14ac:dyDescent="0.2">
      <c r="B1200" s="1" t="s">
        <v>2</v>
      </c>
      <c r="C1200" s="26">
        <f>Soil!$R$13</f>
        <v>5.0000000000000001E-3</v>
      </c>
      <c r="J1200" s="177" t="str">
        <f>ConcatenateWithSpaces($B$1200:$H$1200)</f>
        <v>Value: 0.005</v>
      </c>
    </row>
    <row r="1201" spans="2:10" x14ac:dyDescent="0.2">
      <c r="B1201" s="1" t="s">
        <v>4</v>
      </c>
      <c r="J1201" s="177" t="str">
        <f>ConcatenateWithSpaces($B$1201:$H$1201)</f>
        <v>Property: rho</v>
      </c>
    </row>
    <row r="1202" spans="2:10" x14ac:dyDescent="0.2">
      <c r="B1202" s="1" t="s">
        <v>521</v>
      </c>
      <c r="C1202" s="26" t="str">
        <f>IF(ISERROR(FIND(",", $C$1203)), "Constant", "InputFromFile")</f>
        <v>Constant</v>
      </c>
      <c r="J1202" s="177" t="str">
        <f>ConcatenateWithSpaces($B$1202:$H$1202)</f>
        <v>Form: Constant</v>
      </c>
    </row>
    <row r="1203" spans="2:10" x14ac:dyDescent="0.2">
      <c r="B1203" s="1" t="s">
        <v>2</v>
      </c>
      <c r="C1203" s="26">
        <f>Soil!$R$14</f>
        <v>2600</v>
      </c>
      <c r="J1203" s="177" t="str">
        <f>ConcatenateWithSpaces($B$1203:$H$1203)</f>
        <v>Value: 2600</v>
      </c>
    </row>
    <row r="1204" spans="2:10" x14ac:dyDescent="0.2">
      <c r="B1204" s="1" t="s">
        <v>764</v>
      </c>
      <c r="J1204" s="177" t="str">
        <f>ConcatenateWithSpaces($B$1204:$H$1204)</f>
        <v>Property: Fractionofareaavailableforerosion</v>
      </c>
    </row>
    <row r="1205" spans="2:10" x14ac:dyDescent="0.2">
      <c r="B1205" s="1" t="s">
        <v>521</v>
      </c>
      <c r="C1205" s="26" t="str">
        <f>IF(ISERROR(FIND(",", $C$1206)), "Constant", "InputFromFile")</f>
        <v>Constant</v>
      </c>
      <c r="J1205" s="177" t="str">
        <f>ConcatenateWithSpaces($B$1205:$H$1205)</f>
        <v>Form: Constant</v>
      </c>
    </row>
    <row r="1206" spans="2:10" x14ac:dyDescent="0.2">
      <c r="B1206" s="1" t="s">
        <v>2</v>
      </c>
      <c r="C1206" s="26">
        <f>Soil!$R$15</f>
        <v>1</v>
      </c>
      <c r="J1206" s="177" t="str">
        <f>ConcatenateWithSpaces($B$1206:$H$1206)</f>
        <v>Value: 1</v>
      </c>
    </row>
    <row r="1207" spans="2:10" x14ac:dyDescent="0.2">
      <c r="B1207" s="1" t="s">
        <v>765</v>
      </c>
      <c r="J1207" s="177" t="str">
        <f>ConcatenateWithSpaces($B$1207:$H$1207)</f>
        <v>Property: FractionofAreaAvailableforRunoff</v>
      </c>
    </row>
    <row r="1208" spans="2:10" x14ac:dyDescent="0.2">
      <c r="B1208" s="1" t="s">
        <v>521</v>
      </c>
      <c r="C1208" s="26" t="str">
        <f>IF(ISERROR(FIND(",", $C$1209)), "Constant", "InputFromFile")</f>
        <v>Constant</v>
      </c>
      <c r="J1208" s="177" t="str">
        <f>ConcatenateWithSpaces($B$1208:$H$1208)</f>
        <v>Form: Constant</v>
      </c>
    </row>
    <row r="1209" spans="2:10" x14ac:dyDescent="0.2">
      <c r="B1209" s="1" t="s">
        <v>2</v>
      </c>
      <c r="C1209" s="26">
        <f>Soil!$R$16</f>
        <v>1</v>
      </c>
      <c r="J1209" s="177" t="str">
        <f>ConcatenateWithSpaces($B$1209:$H$1209)</f>
        <v>Value: 1</v>
      </c>
    </row>
    <row r="1210" spans="2:10" x14ac:dyDescent="0.2">
      <c r="B1210" s="1" t="s">
        <v>766</v>
      </c>
      <c r="J1210" s="177" t="str">
        <f>ConcatenateWithSpaces($B$1210:$H$1210)</f>
        <v>Property: Fractionofareaavailableforverticaldiffusion</v>
      </c>
    </row>
    <row r="1211" spans="2:10" x14ac:dyDescent="0.2">
      <c r="B1211" s="1" t="s">
        <v>521</v>
      </c>
      <c r="C1211" s="26" t="str">
        <f>IF(ISERROR(FIND(",", $C$1212)), "Constant", "InputFromFile")</f>
        <v>Constant</v>
      </c>
      <c r="J1211" s="177" t="str">
        <f>ConcatenateWithSpaces($B$1211:$H$1211)</f>
        <v>Form: Constant</v>
      </c>
    </row>
    <row r="1212" spans="2:10" x14ac:dyDescent="0.2">
      <c r="B1212" s="1" t="s">
        <v>2</v>
      </c>
      <c r="C1212" s="26">
        <f>Soil!$R$17</f>
        <v>1</v>
      </c>
      <c r="J1212" s="177" t="str">
        <f>ConcatenateWithSpaces($B$1212:$H$1212)</f>
        <v>Value: 1</v>
      </c>
    </row>
    <row r="1213" spans="2:10" x14ac:dyDescent="0.2">
      <c r="B1213" s="1" t="s">
        <v>767</v>
      </c>
      <c r="J1213" s="177" t="str">
        <f>ConcatenateWithSpaces($B$1213:$H$1213)</f>
        <v>Property: FractionSand</v>
      </c>
    </row>
    <row r="1214" spans="2:10" x14ac:dyDescent="0.2">
      <c r="B1214" s="1" t="s">
        <v>521</v>
      </c>
      <c r="C1214" s="26" t="str">
        <f>IF(ISERROR(FIND(",", $C$1215)), "Constant", "InputFromFile")</f>
        <v>Constant</v>
      </c>
      <c r="J1214" s="177" t="str">
        <f>ConcatenateWithSpaces($B$1214:$H$1214)</f>
        <v>Form: Constant</v>
      </c>
    </row>
    <row r="1215" spans="2:10" x14ac:dyDescent="0.2">
      <c r="B1215" s="1" t="s">
        <v>2</v>
      </c>
      <c r="C1215" s="26">
        <f>Soil!$R$18</f>
        <v>0.7776808790604498</v>
      </c>
      <c r="J1215" s="177" t="str">
        <f>ConcatenateWithSpaces($B$1215:$H$1215)</f>
        <v>Value: 0.77768087906045</v>
      </c>
    </row>
    <row r="1216" spans="2:10" x14ac:dyDescent="0.2">
      <c r="B1216" s="1" t="s">
        <v>261</v>
      </c>
      <c r="J1216" s="177" t="str">
        <f>ConcatenateWithSpaces($B$1216:$H$1216)</f>
        <v>Property: OrganicCarbonContent</v>
      </c>
    </row>
    <row r="1217" spans="2:10" x14ac:dyDescent="0.2">
      <c r="B1217" s="1" t="s">
        <v>521</v>
      </c>
      <c r="C1217" s="26" t="str">
        <f>IF(ISERROR(FIND(",", $C$1218)), "Constant", "InputFromFile")</f>
        <v>Constant</v>
      </c>
      <c r="J1217" s="177" t="str">
        <f>ConcatenateWithSpaces($B$1217:$H$1217)</f>
        <v>Form: Constant</v>
      </c>
    </row>
    <row r="1218" spans="2:10" x14ac:dyDescent="0.2">
      <c r="B1218" s="1" t="s">
        <v>2</v>
      </c>
      <c r="C1218" s="26">
        <f>Soil!$R$19</f>
        <v>4.9801809485087514E-2</v>
      </c>
      <c r="J1218" s="177" t="str">
        <f>ConcatenateWithSpaces($B$1218:$H$1218)</f>
        <v>Value: 4.98018094850875E-02</v>
      </c>
    </row>
    <row r="1219" spans="2:10" x14ac:dyDescent="0.2">
      <c r="B1219" s="1" t="s">
        <v>260</v>
      </c>
      <c r="J1219" s="177" t="str">
        <f>ConcatenateWithSpaces($B$1219:$H$1219)</f>
        <v>Property: pH</v>
      </c>
    </row>
    <row r="1220" spans="2:10" x14ac:dyDescent="0.2">
      <c r="B1220" s="1" t="s">
        <v>521</v>
      </c>
      <c r="C1220" s="26" t="str">
        <f>IF(ISERROR(FIND(",", $C$1221)), "Constant", "InputFromFile")</f>
        <v>Constant</v>
      </c>
      <c r="J1220" s="177" t="str">
        <f>ConcatenateWithSpaces($B$1220:$H$1220)</f>
        <v>Form: Constant</v>
      </c>
    </row>
    <row r="1221" spans="2:10" x14ac:dyDescent="0.2">
      <c r="B1221" s="1" t="s">
        <v>2</v>
      </c>
      <c r="C1221" s="26">
        <f>Soil!$R$20</f>
        <v>5.9564378529957729</v>
      </c>
      <c r="J1221" s="177" t="str">
        <f>ConcatenateWithSpaces($B$1221:$H$1221)</f>
        <v>Value: 5.95643785299577</v>
      </c>
    </row>
    <row r="1222" spans="2:10" x14ac:dyDescent="0.2">
      <c r="B1222" s="1" t="s">
        <v>768</v>
      </c>
      <c r="J1222" s="177" t="str">
        <f>ConcatenateWithSpaces($B$1222:$H$1222)</f>
        <v>Property: TotalRunoffRate_m3_m2_day</v>
      </c>
    </row>
    <row r="1223" spans="2:10" x14ac:dyDescent="0.2">
      <c r="B1223" s="1" t="s">
        <v>521</v>
      </c>
      <c r="C1223" s="26" t="str">
        <f>IF(ISERROR(FIND(",", $C$1224)), "Constant", "InputFromFile")</f>
        <v>Constant</v>
      </c>
      <c r="J1223" s="177" t="str">
        <f>ConcatenateWithSpaces($B$1223:$H$1223)</f>
        <v>Form: Constant</v>
      </c>
    </row>
    <row r="1224" spans="2:10" x14ac:dyDescent="0.2">
      <c r="B1224" s="1" t="s">
        <v>2</v>
      </c>
      <c r="C1224" s="248">
        <f>Soil!$R$22</f>
        <v>7.3030136986301374E-4</v>
      </c>
      <c r="J1224" s="177" t="str">
        <f>ConcatenateWithSpaces($B$1224:$H$1224)</f>
        <v>Value: 7.30301369863014E-04</v>
      </c>
    </row>
    <row r="1225" spans="2:10" x14ac:dyDescent="0.2">
      <c r="B1225" s="1" t="s">
        <v>259</v>
      </c>
      <c r="J1225" s="177" t="str">
        <f>ConcatenateWithSpaces($B$1225:$H$1225)</f>
        <v>Property: TotalErosionRate_kg_m2_day</v>
      </c>
    </row>
    <row r="1226" spans="2:10" x14ac:dyDescent="0.2">
      <c r="B1226" s="1" t="s">
        <v>521</v>
      </c>
      <c r="C1226" s="26" t="str">
        <f>IF(ISERROR(FIND(",", $C$1227)), "Constant", "InputFromFile")</f>
        <v>Constant</v>
      </c>
      <c r="J1226" s="177" t="str">
        <f>ConcatenateWithSpaces($B$1226:$H$1226)</f>
        <v>Form: Constant</v>
      </c>
    </row>
    <row r="1227" spans="2:10" x14ac:dyDescent="0.2">
      <c r="B1227" s="1" t="s">
        <v>2</v>
      </c>
      <c r="C1227" s="248">
        <f>Soil!$R$21</f>
        <v>2.8985230852808091E-4</v>
      </c>
      <c r="J1227" s="177" t="str">
        <f>ConcatenateWithSpaces($B$1227:$H$1227)</f>
        <v>Value: 2.89852308528081E-04</v>
      </c>
    </row>
    <row r="1228" spans="2:10" x14ac:dyDescent="0.2">
      <c r="B1228" s="1" t="s">
        <v>769</v>
      </c>
      <c r="J1228" s="177" t="str">
        <f>ConcatenateWithSpaces($B$1228:$H$1228)</f>
        <v>Property: VolumeFraction_liquid</v>
      </c>
    </row>
    <row r="1229" spans="2:10" x14ac:dyDescent="0.2">
      <c r="B1229" s="1" t="s">
        <v>521</v>
      </c>
      <c r="C1229" s="26" t="str">
        <f>IF(ISERROR(FIND(",", $C$1230)), "Constant", "InputFromFile")</f>
        <v>Constant</v>
      </c>
      <c r="J1229" s="177" t="str">
        <f>ConcatenateWithSpaces($B$1229:$H$1229)</f>
        <v>Form: Constant</v>
      </c>
    </row>
    <row r="1230" spans="2:10" x14ac:dyDescent="0.2">
      <c r="B1230" s="1" t="s">
        <v>2</v>
      </c>
      <c r="C1230" s="26">
        <f>Soil!$R$23</f>
        <v>0.13680558997921866</v>
      </c>
      <c r="J1230" s="177" t="str">
        <f>ConcatenateWithSpaces($B$1230:$H$1230)</f>
        <v>Value: 0.136805589979219</v>
      </c>
    </row>
    <row r="1231" spans="2:10" x14ac:dyDescent="0.2">
      <c r="J1231" s="177" t="str">
        <f>ConcatenateWithSpaces($B$1231:$H$1231)</f>
        <v/>
      </c>
    </row>
    <row r="1232" spans="2:10" x14ac:dyDescent="0.2">
      <c r="B1232" s="1" t="s">
        <v>378</v>
      </c>
      <c r="C1232" s="26" t="str">
        <f>"Soil - Surface in SurfSoil_" &amp; Soil!$S$6</f>
        <v>Soil - Surface in SurfSoil_SW1</v>
      </c>
      <c r="J1232" s="177" t="str">
        <f>ConcatenateWithSpaces($B$1232:$H$1232)</f>
        <v>Compartment: Soil - Surface in SurfSoil_SW1</v>
      </c>
    </row>
    <row r="1233" spans="2:10" x14ac:dyDescent="0.2">
      <c r="B1233" s="1" t="s">
        <v>761</v>
      </c>
      <c r="J1233" s="177" t="str">
        <f>ConcatenateWithSpaces($B$1233:$H$1233)</f>
        <v>Property: VolumeFraction_vapor</v>
      </c>
    </row>
    <row r="1234" spans="2:10" x14ac:dyDescent="0.2">
      <c r="B1234" s="1" t="s">
        <v>521</v>
      </c>
      <c r="C1234" s="26" t="str">
        <f>IF(ISERROR(FIND(",", $C$1235)), "Constant", "InputFromFile")</f>
        <v>Constant</v>
      </c>
      <c r="J1234" s="177" t="str">
        <f>ConcatenateWithSpaces($B$1234:$H$1234)</f>
        <v>Form: Constant</v>
      </c>
    </row>
    <row r="1235" spans="2:10" x14ac:dyDescent="0.2">
      <c r="B1235" s="1" t="s">
        <v>2</v>
      </c>
      <c r="C1235" s="26">
        <f>Soil!$S$11</f>
        <v>0.28000000000000003</v>
      </c>
      <c r="J1235" s="177" t="str">
        <f>ConcatenateWithSpaces($B$1235:$H$1235)</f>
        <v>Value: 0.28</v>
      </c>
    </row>
    <row r="1236" spans="2:10" x14ac:dyDescent="0.2">
      <c r="B1236" s="1" t="s">
        <v>762</v>
      </c>
      <c r="J1236" s="177" t="str">
        <f>ConcatenateWithSpaces($B$1236:$H$1236)</f>
        <v>Property: AverageVerticalVelocity</v>
      </c>
    </row>
    <row r="1237" spans="2:10" x14ac:dyDescent="0.2">
      <c r="B1237" s="1" t="s">
        <v>521</v>
      </c>
      <c r="C1237" s="26" t="str">
        <f>IF(ISERROR(FIND(",", $C$1238)), "Constant", "InputFromFile")</f>
        <v>Constant</v>
      </c>
      <c r="J1237" s="177" t="str">
        <f>ConcatenateWithSpaces($B$1237:$H$1237)</f>
        <v>Form: Constant</v>
      </c>
    </row>
    <row r="1238" spans="2:10" x14ac:dyDescent="0.2">
      <c r="B1238" s="1" t="s">
        <v>2</v>
      </c>
      <c r="C1238" s="248">
        <f>Soil!$S$12</f>
        <v>4.2958904109589049E-4</v>
      </c>
      <c r="J1238" s="177" t="str">
        <f>ConcatenateWithSpaces($B$1238:$H$1238)</f>
        <v>Value: 4.2958904109589E-04</v>
      </c>
    </row>
    <row r="1239" spans="2:10" x14ac:dyDescent="0.2">
      <c r="B1239" s="1" t="s">
        <v>763</v>
      </c>
      <c r="J1239" s="177" t="str">
        <f>ConcatenateWithSpaces($B$1239:$H$1239)</f>
        <v>Property: AirSoilBoundaryThickness</v>
      </c>
    </row>
    <row r="1240" spans="2:10" x14ac:dyDescent="0.2">
      <c r="B1240" s="1" t="s">
        <v>521</v>
      </c>
      <c r="C1240" s="26" t="str">
        <f>IF(ISERROR(FIND(",", $C$1241)), "Constant", "InputFromFile")</f>
        <v>Constant</v>
      </c>
      <c r="J1240" s="177" t="str">
        <f>ConcatenateWithSpaces($B$1240:$H$1240)</f>
        <v>Form: Constant</v>
      </c>
    </row>
    <row r="1241" spans="2:10" x14ac:dyDescent="0.2">
      <c r="B1241" s="1" t="s">
        <v>2</v>
      </c>
      <c r="C1241" s="26">
        <f>Soil!$S$13</f>
        <v>5.0000000000000001E-3</v>
      </c>
      <c r="J1241" s="177" t="str">
        <f>ConcatenateWithSpaces($B$1241:$H$1241)</f>
        <v>Value: 0.005</v>
      </c>
    </row>
    <row r="1242" spans="2:10" x14ac:dyDescent="0.2">
      <c r="B1242" s="1" t="s">
        <v>4</v>
      </c>
      <c r="J1242" s="177" t="str">
        <f>ConcatenateWithSpaces($B$1242:$H$1242)</f>
        <v>Property: rho</v>
      </c>
    </row>
    <row r="1243" spans="2:10" x14ac:dyDescent="0.2">
      <c r="B1243" s="1" t="s">
        <v>521</v>
      </c>
      <c r="C1243" s="26" t="str">
        <f>IF(ISERROR(FIND(",", $C$1244)), "Constant", "InputFromFile")</f>
        <v>Constant</v>
      </c>
      <c r="J1243" s="177" t="str">
        <f>ConcatenateWithSpaces($B$1243:$H$1243)</f>
        <v>Form: Constant</v>
      </c>
    </row>
    <row r="1244" spans="2:10" x14ac:dyDescent="0.2">
      <c r="B1244" s="1" t="s">
        <v>2</v>
      </c>
      <c r="C1244" s="26">
        <f>Soil!$S$14</f>
        <v>2600</v>
      </c>
      <c r="J1244" s="177" t="str">
        <f>ConcatenateWithSpaces($B$1244:$H$1244)</f>
        <v>Value: 2600</v>
      </c>
    </row>
    <row r="1245" spans="2:10" x14ac:dyDescent="0.2">
      <c r="B1245" s="1" t="s">
        <v>764</v>
      </c>
      <c r="J1245" s="177" t="str">
        <f>ConcatenateWithSpaces($B$1245:$H$1245)</f>
        <v>Property: Fractionofareaavailableforerosion</v>
      </c>
    </row>
    <row r="1246" spans="2:10" x14ac:dyDescent="0.2">
      <c r="B1246" s="1" t="s">
        <v>521</v>
      </c>
      <c r="C1246" s="26" t="str">
        <f>IF(ISERROR(FIND(",", $C$1247)), "Constant", "InputFromFile")</f>
        <v>Constant</v>
      </c>
      <c r="J1246" s="177" t="str">
        <f>ConcatenateWithSpaces($B$1246:$H$1246)</f>
        <v>Form: Constant</v>
      </c>
    </row>
    <row r="1247" spans="2:10" x14ac:dyDescent="0.2">
      <c r="B1247" s="1" t="s">
        <v>2</v>
      </c>
      <c r="C1247" s="26">
        <f>Soil!$S$15</f>
        <v>1</v>
      </c>
      <c r="J1247" s="177" t="str">
        <f>ConcatenateWithSpaces($B$1247:$H$1247)</f>
        <v>Value: 1</v>
      </c>
    </row>
    <row r="1248" spans="2:10" x14ac:dyDescent="0.2">
      <c r="B1248" s="1" t="s">
        <v>765</v>
      </c>
      <c r="J1248" s="177" t="str">
        <f>ConcatenateWithSpaces($B$1248:$H$1248)</f>
        <v>Property: FractionofAreaAvailableforRunoff</v>
      </c>
    </row>
    <row r="1249" spans="2:10" x14ac:dyDescent="0.2">
      <c r="B1249" s="1" t="s">
        <v>521</v>
      </c>
      <c r="C1249" s="26" t="str">
        <f>IF(ISERROR(FIND(",", $C$1250)), "Constant", "InputFromFile")</f>
        <v>Constant</v>
      </c>
      <c r="J1249" s="177" t="str">
        <f>ConcatenateWithSpaces($B$1249:$H$1249)</f>
        <v>Form: Constant</v>
      </c>
    </row>
    <row r="1250" spans="2:10" x14ac:dyDescent="0.2">
      <c r="B1250" s="1" t="s">
        <v>2</v>
      </c>
      <c r="C1250" s="26">
        <f>Soil!$S$16</f>
        <v>1</v>
      </c>
      <c r="J1250" s="177" t="str">
        <f>ConcatenateWithSpaces($B$1250:$H$1250)</f>
        <v>Value: 1</v>
      </c>
    </row>
    <row r="1251" spans="2:10" x14ac:dyDescent="0.2">
      <c r="B1251" s="1" t="s">
        <v>766</v>
      </c>
      <c r="J1251" s="177" t="str">
        <f>ConcatenateWithSpaces($B$1251:$H$1251)</f>
        <v>Property: Fractionofareaavailableforverticaldiffusion</v>
      </c>
    </row>
    <row r="1252" spans="2:10" x14ac:dyDescent="0.2">
      <c r="B1252" s="1" t="s">
        <v>521</v>
      </c>
      <c r="C1252" s="26" t="str">
        <f>IF(ISERROR(FIND(",", $C$1253)), "Constant", "InputFromFile")</f>
        <v>Constant</v>
      </c>
      <c r="J1252" s="177" t="str">
        <f>ConcatenateWithSpaces($B$1252:$H$1252)</f>
        <v>Form: Constant</v>
      </c>
    </row>
    <row r="1253" spans="2:10" x14ac:dyDescent="0.2">
      <c r="B1253" s="1" t="s">
        <v>2</v>
      </c>
      <c r="C1253" s="26">
        <f>Soil!$S$17</f>
        <v>1</v>
      </c>
      <c r="J1253" s="177" t="str">
        <f>ConcatenateWithSpaces($B$1253:$H$1253)</f>
        <v>Value: 1</v>
      </c>
    </row>
    <row r="1254" spans="2:10" x14ac:dyDescent="0.2">
      <c r="B1254" s="1" t="s">
        <v>767</v>
      </c>
      <c r="J1254" s="177" t="str">
        <f>ConcatenateWithSpaces($B$1254:$H$1254)</f>
        <v>Property: FractionSand</v>
      </c>
    </row>
    <row r="1255" spans="2:10" x14ac:dyDescent="0.2">
      <c r="B1255" s="1" t="s">
        <v>521</v>
      </c>
      <c r="C1255" s="26" t="str">
        <f>IF(ISERROR(FIND(",", $C$1256)), "Constant", "InputFromFile")</f>
        <v>Constant</v>
      </c>
      <c r="J1255" s="177" t="str">
        <f>ConcatenateWithSpaces($B$1255:$H$1255)</f>
        <v>Form: Constant</v>
      </c>
    </row>
    <row r="1256" spans="2:10" x14ac:dyDescent="0.2">
      <c r="B1256" s="1" t="s">
        <v>2</v>
      </c>
      <c r="C1256" s="26">
        <f>Soil!$S$18</f>
        <v>0.78553925156856874</v>
      </c>
      <c r="J1256" s="177" t="str">
        <f>ConcatenateWithSpaces($B$1256:$H$1256)</f>
        <v>Value: 0.785539251568569</v>
      </c>
    </row>
    <row r="1257" spans="2:10" x14ac:dyDescent="0.2">
      <c r="B1257" s="1" t="s">
        <v>261</v>
      </c>
      <c r="J1257" s="177" t="str">
        <f>ConcatenateWithSpaces($B$1257:$H$1257)</f>
        <v>Property: OrganicCarbonContent</v>
      </c>
    </row>
    <row r="1258" spans="2:10" x14ac:dyDescent="0.2">
      <c r="B1258" s="1" t="s">
        <v>521</v>
      </c>
      <c r="C1258" s="26" t="str">
        <f>IF(ISERROR(FIND(",", $C$1259)), "Constant", "InputFromFile")</f>
        <v>Constant</v>
      </c>
      <c r="J1258" s="177" t="str">
        <f>ConcatenateWithSpaces($B$1258:$H$1258)</f>
        <v>Form: Constant</v>
      </c>
    </row>
    <row r="1259" spans="2:10" x14ac:dyDescent="0.2">
      <c r="B1259" s="1" t="s">
        <v>2</v>
      </c>
      <c r="C1259" s="26">
        <f>Soil!$S$19</f>
        <v>8.7706674442052379E-2</v>
      </c>
      <c r="J1259" s="177" t="str">
        <f>ConcatenateWithSpaces($B$1259:$H$1259)</f>
        <v>Value: 8.77066744420524E-02</v>
      </c>
    </row>
    <row r="1260" spans="2:10" x14ac:dyDescent="0.2">
      <c r="B1260" s="1" t="s">
        <v>260</v>
      </c>
      <c r="J1260" s="177" t="str">
        <f>ConcatenateWithSpaces($B$1260:$H$1260)</f>
        <v>Property: pH</v>
      </c>
    </row>
    <row r="1261" spans="2:10" x14ac:dyDescent="0.2">
      <c r="B1261" s="1" t="s">
        <v>521</v>
      </c>
      <c r="C1261" s="26" t="str">
        <f>IF(ISERROR(FIND(",", $C$1262)), "Constant", "InputFromFile")</f>
        <v>Constant</v>
      </c>
      <c r="J1261" s="177" t="str">
        <f>ConcatenateWithSpaces($B$1261:$H$1261)</f>
        <v>Form: Constant</v>
      </c>
    </row>
    <row r="1262" spans="2:10" x14ac:dyDescent="0.2">
      <c r="B1262" s="1" t="s">
        <v>2</v>
      </c>
      <c r="C1262" s="26">
        <f>Soil!$S$20</f>
        <v>5.8220354955237941</v>
      </c>
      <c r="J1262" s="177" t="str">
        <f>ConcatenateWithSpaces($B$1262:$H$1262)</f>
        <v>Value: 5.82203549552379</v>
      </c>
    </row>
    <row r="1263" spans="2:10" x14ac:dyDescent="0.2">
      <c r="B1263" s="1" t="s">
        <v>768</v>
      </c>
      <c r="J1263" s="177" t="str">
        <f>ConcatenateWithSpaces($B$1263:$H$1263)</f>
        <v>Property: TotalRunoffRate_m3_m2_day</v>
      </c>
    </row>
    <row r="1264" spans="2:10" x14ac:dyDescent="0.2">
      <c r="B1264" s="1" t="s">
        <v>521</v>
      </c>
      <c r="C1264" s="26" t="str">
        <f>IF(ISERROR(FIND(",", $C$1265)), "Constant", "InputFromFile")</f>
        <v>Constant</v>
      </c>
      <c r="J1264" s="177" t="str">
        <f>ConcatenateWithSpaces($B$1264:$H$1264)</f>
        <v>Form: Constant</v>
      </c>
    </row>
    <row r="1265" spans="2:10" x14ac:dyDescent="0.2">
      <c r="B1265" s="1" t="s">
        <v>2</v>
      </c>
      <c r="C1265" s="248">
        <f>Soil!$S$22</f>
        <v>7.3030136986301374E-4</v>
      </c>
      <c r="J1265" s="177" t="str">
        <f>ConcatenateWithSpaces($B$1265:$H$1265)</f>
        <v>Value: 7.30301369863014E-04</v>
      </c>
    </row>
    <row r="1266" spans="2:10" x14ac:dyDescent="0.2">
      <c r="B1266" s="1" t="s">
        <v>259</v>
      </c>
      <c r="J1266" s="177" t="str">
        <f>ConcatenateWithSpaces($B$1266:$H$1266)</f>
        <v>Property: TotalErosionRate_kg_m2_day</v>
      </c>
    </row>
    <row r="1267" spans="2:10" x14ac:dyDescent="0.2">
      <c r="B1267" s="1" t="s">
        <v>521</v>
      </c>
      <c r="C1267" s="26" t="str">
        <f>IF(ISERROR(FIND(",", $C$1268)), "Constant", "InputFromFile")</f>
        <v>Constant</v>
      </c>
      <c r="J1267" s="177" t="str">
        <f>ConcatenateWithSpaces($B$1267:$H$1267)</f>
        <v>Form: Constant</v>
      </c>
    </row>
    <row r="1268" spans="2:10" x14ac:dyDescent="0.2">
      <c r="B1268" s="1" t="s">
        <v>2</v>
      </c>
      <c r="C1268" s="248">
        <f>Soil!$S$21</f>
        <v>3.3117509633560579E-4</v>
      </c>
      <c r="J1268" s="177" t="str">
        <f>ConcatenateWithSpaces($B$1268:$H$1268)</f>
        <v>Value: 3.31175096335606E-04</v>
      </c>
    </row>
    <row r="1269" spans="2:10" x14ac:dyDescent="0.2">
      <c r="B1269" s="1" t="s">
        <v>769</v>
      </c>
      <c r="J1269" s="177" t="str">
        <f>ConcatenateWithSpaces($B$1269:$H$1269)</f>
        <v>Property: VolumeFraction_liquid</v>
      </c>
    </row>
    <row r="1270" spans="2:10" x14ac:dyDescent="0.2">
      <c r="B1270" s="1" t="s">
        <v>521</v>
      </c>
      <c r="C1270" s="26" t="str">
        <f>IF(ISERROR(FIND(",", $C$1271)), "Constant", "InputFromFile")</f>
        <v>Constant</v>
      </c>
      <c r="J1270" s="177" t="str">
        <f>ConcatenateWithSpaces($B$1270:$H$1270)</f>
        <v>Form: Constant</v>
      </c>
    </row>
    <row r="1271" spans="2:10" x14ac:dyDescent="0.2">
      <c r="B1271" s="1" t="s">
        <v>2</v>
      </c>
      <c r="C1271" s="26">
        <f>Soil!$S$23</f>
        <v>0.1543071063146495</v>
      </c>
      <c r="J1271" s="177" t="str">
        <f>ConcatenateWithSpaces($B$1271:$H$1271)</f>
        <v>Value: 0.15430710631465</v>
      </c>
    </row>
    <row r="1272" spans="2:10" x14ac:dyDescent="0.2">
      <c r="J1272" s="177" t="str">
        <f>ConcatenateWithSpaces($B$1272:$H$1272)</f>
        <v/>
      </c>
    </row>
    <row r="1273" spans="2:10" x14ac:dyDescent="0.2">
      <c r="B1273" s="1" t="s">
        <v>378</v>
      </c>
      <c r="C1273" s="26" t="str">
        <f>"Soil - Surface in SurfSoil_" &amp; Soil!$T$6</f>
        <v>Soil - Surface in SurfSoil_SW2</v>
      </c>
      <c r="J1273" s="177" t="str">
        <f>ConcatenateWithSpaces($B$1273:$H$1273)</f>
        <v>Compartment: Soil - Surface in SurfSoil_SW2</v>
      </c>
    </row>
    <row r="1274" spans="2:10" x14ac:dyDescent="0.2">
      <c r="B1274" s="1" t="s">
        <v>761</v>
      </c>
      <c r="J1274" s="177" t="str">
        <f>ConcatenateWithSpaces($B$1274:$H$1274)</f>
        <v>Property: VolumeFraction_vapor</v>
      </c>
    </row>
    <row r="1275" spans="2:10" x14ac:dyDescent="0.2">
      <c r="B1275" s="1" t="s">
        <v>521</v>
      </c>
      <c r="C1275" s="26" t="str">
        <f>IF(ISERROR(FIND(",", $C$1276)), "Constant", "InputFromFile")</f>
        <v>Constant</v>
      </c>
      <c r="J1275" s="177" t="str">
        <f>ConcatenateWithSpaces($B$1275:$H$1275)</f>
        <v>Form: Constant</v>
      </c>
    </row>
    <row r="1276" spans="2:10" x14ac:dyDescent="0.2">
      <c r="B1276" s="1" t="s">
        <v>2</v>
      </c>
      <c r="C1276" s="26">
        <f>Soil!$T$11</f>
        <v>0.1</v>
      </c>
      <c r="J1276" s="177" t="str">
        <f>ConcatenateWithSpaces($B$1276:$H$1276)</f>
        <v>Value: 0.1</v>
      </c>
    </row>
    <row r="1277" spans="2:10" x14ac:dyDescent="0.2">
      <c r="B1277" s="1" t="s">
        <v>762</v>
      </c>
      <c r="J1277" s="177" t="str">
        <f>ConcatenateWithSpaces($B$1277:$H$1277)</f>
        <v>Property: AverageVerticalVelocity</v>
      </c>
    </row>
    <row r="1278" spans="2:10" x14ac:dyDescent="0.2">
      <c r="B1278" s="1" t="s">
        <v>521</v>
      </c>
      <c r="C1278" s="26" t="str">
        <f>IF(ISERROR(FIND(",", $C$1279)), "Constant", "InputFromFile")</f>
        <v>Constant</v>
      </c>
      <c r="J1278" s="177" t="str">
        <f>ConcatenateWithSpaces($B$1278:$H$1278)</f>
        <v>Form: Constant</v>
      </c>
    </row>
    <row r="1279" spans="2:10" x14ac:dyDescent="0.2">
      <c r="B1279" s="1" t="s">
        <v>2</v>
      </c>
      <c r="C1279" s="248">
        <f>Soil!$T$12</f>
        <v>0</v>
      </c>
      <c r="J1279" s="177" t="str">
        <f>ConcatenateWithSpaces($B$1279:$H$1279)</f>
        <v>Value: 0</v>
      </c>
    </row>
    <row r="1280" spans="2:10" x14ac:dyDescent="0.2">
      <c r="B1280" s="1" t="s">
        <v>763</v>
      </c>
      <c r="J1280" s="177" t="str">
        <f>ConcatenateWithSpaces($B$1280:$H$1280)</f>
        <v>Property: AirSoilBoundaryThickness</v>
      </c>
    </row>
    <row r="1281" spans="2:10" x14ac:dyDescent="0.2">
      <c r="B1281" s="1" t="s">
        <v>521</v>
      </c>
      <c r="C1281" s="26" t="str">
        <f>IF(ISERROR(FIND(",", $C$1282)), "Constant", "InputFromFile")</f>
        <v>Constant</v>
      </c>
      <c r="J1281" s="177" t="str">
        <f>ConcatenateWithSpaces($B$1281:$H$1281)</f>
        <v>Form: Constant</v>
      </c>
    </row>
    <row r="1282" spans="2:10" x14ac:dyDescent="0.2">
      <c r="B1282" s="1" t="s">
        <v>2</v>
      </c>
      <c r="C1282" s="26">
        <f>Soil!$T$13</f>
        <v>5.0000000000000001E-3</v>
      </c>
      <c r="J1282" s="177" t="str">
        <f>ConcatenateWithSpaces($B$1282:$H$1282)</f>
        <v>Value: 0.005</v>
      </c>
    </row>
    <row r="1283" spans="2:10" x14ac:dyDescent="0.2">
      <c r="B1283" s="1" t="s">
        <v>4</v>
      </c>
      <c r="J1283" s="177" t="str">
        <f>ConcatenateWithSpaces($B$1283:$H$1283)</f>
        <v>Property: rho</v>
      </c>
    </row>
    <row r="1284" spans="2:10" x14ac:dyDescent="0.2">
      <c r="B1284" s="1" t="s">
        <v>521</v>
      </c>
      <c r="C1284" s="26" t="str">
        <f>IF(ISERROR(FIND(",", $C$1285)), "Constant", "InputFromFile")</f>
        <v>Constant</v>
      </c>
      <c r="J1284" s="177" t="str">
        <f>ConcatenateWithSpaces($B$1284:$H$1284)</f>
        <v>Form: Constant</v>
      </c>
    </row>
    <row r="1285" spans="2:10" x14ac:dyDescent="0.2">
      <c r="B1285" s="1" t="s">
        <v>2</v>
      </c>
      <c r="C1285" s="26">
        <f>Soil!$T$14</f>
        <v>500</v>
      </c>
      <c r="J1285" s="177" t="str">
        <f>ConcatenateWithSpaces($B$1285:$H$1285)</f>
        <v>Value: 500</v>
      </c>
    </row>
    <row r="1286" spans="2:10" x14ac:dyDescent="0.2">
      <c r="B1286" s="1" t="s">
        <v>764</v>
      </c>
      <c r="J1286" s="177" t="str">
        <f>ConcatenateWithSpaces($B$1286:$H$1286)</f>
        <v>Property: Fractionofareaavailableforerosion</v>
      </c>
    </row>
    <row r="1287" spans="2:10" x14ac:dyDescent="0.2">
      <c r="B1287" s="1" t="s">
        <v>521</v>
      </c>
      <c r="C1287" s="26" t="str">
        <f>IF(ISERROR(FIND(",", $C$1288)), "Constant", "InputFromFile")</f>
        <v>Constant</v>
      </c>
      <c r="J1287" s="177" t="str">
        <f>ConcatenateWithSpaces($B$1287:$H$1287)</f>
        <v>Form: Constant</v>
      </c>
    </row>
    <row r="1288" spans="2:10" x14ac:dyDescent="0.2">
      <c r="B1288" s="1" t="s">
        <v>2</v>
      </c>
      <c r="C1288" s="26">
        <f>Soil!$T$15</f>
        <v>1</v>
      </c>
      <c r="J1288" s="177" t="str">
        <f>ConcatenateWithSpaces($B$1288:$H$1288)</f>
        <v>Value: 1</v>
      </c>
    </row>
    <row r="1289" spans="2:10" x14ac:dyDescent="0.2">
      <c r="B1289" s="1" t="s">
        <v>765</v>
      </c>
      <c r="J1289" s="177" t="str">
        <f>ConcatenateWithSpaces($B$1289:$H$1289)</f>
        <v>Property: FractionofAreaAvailableforRunoff</v>
      </c>
    </row>
    <row r="1290" spans="2:10" x14ac:dyDescent="0.2">
      <c r="B1290" s="1" t="s">
        <v>521</v>
      </c>
      <c r="C1290" s="26" t="str">
        <f>IF(ISERROR(FIND(",", $C$1291)), "Constant", "InputFromFile")</f>
        <v>Constant</v>
      </c>
      <c r="J1290" s="177" t="str">
        <f>ConcatenateWithSpaces($B$1290:$H$1290)</f>
        <v>Form: Constant</v>
      </c>
    </row>
    <row r="1291" spans="2:10" x14ac:dyDescent="0.2">
      <c r="B1291" s="1" t="s">
        <v>2</v>
      </c>
      <c r="C1291" s="26">
        <f>Soil!$T$16</f>
        <v>1</v>
      </c>
      <c r="J1291" s="177" t="str">
        <f>ConcatenateWithSpaces($B$1291:$H$1291)</f>
        <v>Value: 1</v>
      </c>
    </row>
    <row r="1292" spans="2:10" x14ac:dyDescent="0.2">
      <c r="B1292" s="1" t="s">
        <v>766</v>
      </c>
      <c r="J1292" s="177" t="str">
        <f>ConcatenateWithSpaces($B$1292:$H$1292)</f>
        <v>Property: Fractionofareaavailableforverticaldiffusion</v>
      </c>
    </row>
    <row r="1293" spans="2:10" x14ac:dyDescent="0.2">
      <c r="B1293" s="1" t="s">
        <v>521</v>
      </c>
      <c r="C1293" s="26" t="str">
        <f>IF(ISERROR(FIND(",", $C$1294)), "Constant", "InputFromFile")</f>
        <v>Constant</v>
      </c>
      <c r="J1293" s="177" t="str">
        <f>ConcatenateWithSpaces($B$1293:$H$1293)</f>
        <v>Form: Constant</v>
      </c>
    </row>
    <row r="1294" spans="2:10" x14ac:dyDescent="0.2">
      <c r="B1294" s="1" t="s">
        <v>2</v>
      </c>
      <c r="C1294" s="26">
        <f>Soil!$T$17</f>
        <v>1</v>
      </c>
      <c r="J1294" s="177" t="str">
        <f>ConcatenateWithSpaces($B$1294:$H$1294)</f>
        <v>Value: 1</v>
      </c>
    </row>
    <row r="1295" spans="2:10" x14ac:dyDescent="0.2">
      <c r="B1295" s="1" t="s">
        <v>767</v>
      </c>
      <c r="J1295" s="177" t="str">
        <f>ConcatenateWithSpaces($B$1295:$H$1295)</f>
        <v>Property: FractionSand</v>
      </c>
    </row>
    <row r="1296" spans="2:10" x14ac:dyDescent="0.2">
      <c r="B1296" s="1" t="s">
        <v>521</v>
      </c>
      <c r="C1296" s="26" t="str">
        <f>IF(ISERROR(FIND(",", $C$1297)), "Constant", "InputFromFile")</f>
        <v>Constant</v>
      </c>
      <c r="J1296" s="177" t="str">
        <f>ConcatenateWithSpaces($B$1296:$H$1296)</f>
        <v>Form: Constant</v>
      </c>
    </row>
    <row r="1297" spans="2:10" x14ac:dyDescent="0.2">
      <c r="B1297" s="1" t="s">
        <v>2</v>
      </c>
      <c r="C1297" s="26">
        <f>Soil!$T$18</f>
        <v>0.71662794341055824</v>
      </c>
      <c r="J1297" s="177" t="str">
        <f>ConcatenateWithSpaces($B$1297:$H$1297)</f>
        <v>Value: 0.716627943410558</v>
      </c>
    </row>
    <row r="1298" spans="2:10" x14ac:dyDescent="0.2">
      <c r="B1298" s="1" t="s">
        <v>261</v>
      </c>
      <c r="J1298" s="177" t="str">
        <f>ConcatenateWithSpaces($B$1298:$H$1298)</f>
        <v>Property: OrganicCarbonContent</v>
      </c>
    </row>
    <row r="1299" spans="2:10" x14ac:dyDescent="0.2">
      <c r="B1299" s="1" t="s">
        <v>521</v>
      </c>
      <c r="C1299" s="26" t="str">
        <f>IF(ISERROR(FIND(",", $C$1300)), "Constant", "InputFromFile")</f>
        <v>Constant</v>
      </c>
      <c r="J1299" s="177" t="str">
        <f>ConcatenateWithSpaces($B$1299:$H$1299)</f>
        <v>Form: Constant</v>
      </c>
    </row>
    <row r="1300" spans="2:10" x14ac:dyDescent="0.2">
      <c r="B1300" s="1" t="s">
        <v>2</v>
      </c>
      <c r="C1300" s="26">
        <f>Soil!$T$19</f>
        <v>0.19878341878776787</v>
      </c>
      <c r="J1300" s="177" t="str">
        <f>ConcatenateWithSpaces($B$1300:$H$1300)</f>
        <v>Value: 0.198783418787768</v>
      </c>
    </row>
    <row r="1301" spans="2:10" x14ac:dyDescent="0.2">
      <c r="B1301" s="1" t="s">
        <v>260</v>
      </c>
      <c r="J1301" s="177" t="str">
        <f>ConcatenateWithSpaces($B$1301:$H$1301)</f>
        <v>Property: pH</v>
      </c>
    </row>
    <row r="1302" spans="2:10" x14ac:dyDescent="0.2">
      <c r="B1302" s="1" t="s">
        <v>521</v>
      </c>
      <c r="C1302" s="26" t="str">
        <f>IF(ISERROR(FIND(",", $C$1303)), "Constant", "InputFromFile")</f>
        <v>Constant</v>
      </c>
      <c r="J1302" s="177" t="str">
        <f>ConcatenateWithSpaces($B$1302:$H$1302)</f>
        <v>Form: Constant</v>
      </c>
    </row>
    <row r="1303" spans="2:10" x14ac:dyDescent="0.2">
      <c r="B1303" s="1" t="s">
        <v>2</v>
      </c>
      <c r="C1303" s="26">
        <f>Soil!$T$20</f>
        <v>5.6823983045858597</v>
      </c>
      <c r="J1303" s="177" t="str">
        <f>ConcatenateWithSpaces($B$1303:$H$1303)</f>
        <v>Value: 5.68239830458586</v>
      </c>
    </row>
    <row r="1304" spans="2:10" x14ac:dyDescent="0.2">
      <c r="B1304" s="1" t="s">
        <v>768</v>
      </c>
      <c r="J1304" s="177" t="str">
        <f>ConcatenateWithSpaces($B$1304:$H$1304)</f>
        <v>Property: TotalRunoffRate_m3_m2_day</v>
      </c>
    </row>
    <row r="1305" spans="2:10" x14ac:dyDescent="0.2">
      <c r="B1305" s="1" t="s">
        <v>521</v>
      </c>
      <c r="C1305" s="26" t="str">
        <f>IF(ISERROR(FIND(",", $C$1306)), "Constant", "InputFromFile")</f>
        <v>Constant</v>
      </c>
      <c r="J1305" s="177" t="str">
        <f>ConcatenateWithSpaces($B$1305:$H$1305)</f>
        <v>Form: Constant</v>
      </c>
    </row>
    <row r="1306" spans="2:10" x14ac:dyDescent="0.2">
      <c r="B1306" s="1" t="s">
        <v>2</v>
      </c>
      <c r="C1306" s="248">
        <f>Soil!$T$22</f>
        <v>3.8663013698630137E-4</v>
      </c>
      <c r="J1306" s="177" t="str">
        <f>ConcatenateWithSpaces($B$1306:$H$1306)</f>
        <v>Value: 3.86630136986301E-04</v>
      </c>
    </row>
    <row r="1307" spans="2:10" x14ac:dyDescent="0.2">
      <c r="B1307" s="1" t="s">
        <v>259</v>
      </c>
      <c r="J1307" s="177" t="str">
        <f>ConcatenateWithSpaces($B$1307:$H$1307)</f>
        <v>Property: TotalErosionRate_kg_m2_day</v>
      </c>
    </row>
    <row r="1308" spans="2:10" x14ac:dyDescent="0.2">
      <c r="B1308" s="1" t="s">
        <v>521</v>
      </c>
      <c r="C1308" s="26" t="str">
        <f>IF(ISERROR(FIND(",", $C$1309)), "Constant", "InputFromFile")</f>
        <v>Constant</v>
      </c>
      <c r="J1308" s="177" t="str">
        <f>ConcatenateWithSpaces($B$1308:$H$1308)</f>
        <v>Form: Constant</v>
      </c>
    </row>
    <row r="1309" spans="2:10" x14ac:dyDescent="0.2">
      <c r="B1309" s="1" t="s">
        <v>2</v>
      </c>
      <c r="C1309" s="248">
        <f>Soil!$T$21</f>
        <v>2.9217122254441019E-5</v>
      </c>
      <c r="J1309" s="177" t="str">
        <f>ConcatenateWithSpaces($B$1309:$H$1309)</f>
        <v>Value: 2.9217122254441E-05</v>
      </c>
    </row>
    <row r="1310" spans="2:10" x14ac:dyDescent="0.2">
      <c r="B1310" s="1" t="s">
        <v>769</v>
      </c>
      <c r="J1310" s="177" t="str">
        <f>ConcatenateWithSpaces($B$1310:$H$1310)</f>
        <v>Property: VolumeFraction_liquid</v>
      </c>
    </row>
    <row r="1311" spans="2:10" x14ac:dyDescent="0.2">
      <c r="B1311" s="1" t="s">
        <v>521</v>
      </c>
      <c r="C1311" s="26" t="str">
        <f>IF(ISERROR(FIND(",", $C$1312)), "Constant", "InputFromFile")</f>
        <v>Constant</v>
      </c>
      <c r="J1311" s="177" t="str">
        <f>ConcatenateWithSpaces($B$1311:$H$1311)</f>
        <v>Form: Constant</v>
      </c>
    </row>
    <row r="1312" spans="2:10" x14ac:dyDescent="0.2">
      <c r="B1312" s="1" t="s">
        <v>2</v>
      </c>
      <c r="C1312" s="26">
        <f>Soil!$T$23</f>
        <v>0.6</v>
      </c>
      <c r="J1312" s="177" t="str">
        <f>ConcatenateWithSpaces($B$1312:$H$1312)</f>
        <v>Value: 0.6</v>
      </c>
    </row>
    <row r="1313" spans="2:10" x14ac:dyDescent="0.2">
      <c r="J1313" s="177" t="str">
        <f>ConcatenateWithSpaces($B$1313:$H$1313)</f>
        <v/>
      </c>
    </row>
    <row r="1314" spans="2:10" x14ac:dyDescent="0.2">
      <c r="B1314" s="1" t="s">
        <v>378</v>
      </c>
      <c r="C1314" s="26" t="str">
        <f>"Soil - Surface in SurfSoil_" &amp; Soil!$U$6</f>
        <v>Soil - Surface in SurfSoil_W1</v>
      </c>
      <c r="J1314" s="177" t="str">
        <f>ConcatenateWithSpaces($B$1314:$H$1314)</f>
        <v>Compartment: Soil - Surface in SurfSoil_W1</v>
      </c>
    </row>
    <row r="1315" spans="2:10" x14ac:dyDescent="0.2">
      <c r="B1315" s="1" t="s">
        <v>761</v>
      </c>
      <c r="J1315" s="177" t="str">
        <f>ConcatenateWithSpaces($B$1315:$H$1315)</f>
        <v>Property: VolumeFraction_vapor</v>
      </c>
    </row>
    <row r="1316" spans="2:10" x14ac:dyDescent="0.2">
      <c r="B1316" s="1" t="s">
        <v>521</v>
      </c>
      <c r="C1316" s="26" t="str">
        <f>IF(ISERROR(FIND(",", $C$1317)), "Constant", "InputFromFile")</f>
        <v>Constant</v>
      </c>
      <c r="J1316" s="177" t="str">
        <f>ConcatenateWithSpaces($B$1316:$H$1316)</f>
        <v>Form: Constant</v>
      </c>
    </row>
    <row r="1317" spans="2:10" x14ac:dyDescent="0.2">
      <c r="B1317" s="1" t="s">
        <v>2</v>
      </c>
      <c r="C1317" s="26">
        <f>Soil!$U$11</f>
        <v>0.28000000000000003</v>
      </c>
      <c r="J1317" s="177" t="str">
        <f>ConcatenateWithSpaces($B$1317:$H$1317)</f>
        <v>Value: 0.28</v>
      </c>
    </row>
    <row r="1318" spans="2:10" x14ac:dyDescent="0.2">
      <c r="B1318" s="1" t="s">
        <v>762</v>
      </c>
      <c r="J1318" s="177" t="str">
        <f>ConcatenateWithSpaces($B$1318:$H$1318)</f>
        <v>Property: AverageVerticalVelocity</v>
      </c>
    </row>
    <row r="1319" spans="2:10" x14ac:dyDescent="0.2">
      <c r="B1319" s="1" t="s">
        <v>521</v>
      </c>
      <c r="C1319" s="26" t="str">
        <f>IF(ISERROR(FIND(",", $C$1320)), "Constant", "InputFromFile")</f>
        <v>Constant</v>
      </c>
      <c r="J1319" s="177" t="str">
        <f>ConcatenateWithSpaces($B$1319:$H$1319)</f>
        <v>Form: Constant</v>
      </c>
    </row>
    <row r="1320" spans="2:10" x14ac:dyDescent="0.2">
      <c r="B1320" s="1" t="s">
        <v>2</v>
      </c>
      <c r="C1320" s="248">
        <f>Soil!$U$12</f>
        <v>4.2958904109589049E-4</v>
      </c>
      <c r="J1320" s="177" t="str">
        <f>ConcatenateWithSpaces($B$1320:$H$1320)</f>
        <v>Value: 4.2958904109589E-04</v>
      </c>
    </row>
    <row r="1321" spans="2:10" x14ac:dyDescent="0.2">
      <c r="B1321" s="1" t="s">
        <v>763</v>
      </c>
      <c r="J1321" s="177" t="str">
        <f>ConcatenateWithSpaces($B$1321:$H$1321)</f>
        <v>Property: AirSoilBoundaryThickness</v>
      </c>
    </row>
    <row r="1322" spans="2:10" x14ac:dyDescent="0.2">
      <c r="B1322" s="1" t="s">
        <v>521</v>
      </c>
      <c r="C1322" s="26" t="str">
        <f>IF(ISERROR(FIND(",", $C$1323)), "Constant", "InputFromFile")</f>
        <v>Constant</v>
      </c>
      <c r="J1322" s="177" t="str">
        <f>ConcatenateWithSpaces($B$1322:$H$1322)</f>
        <v>Form: Constant</v>
      </c>
    </row>
    <row r="1323" spans="2:10" x14ac:dyDescent="0.2">
      <c r="B1323" s="1" t="s">
        <v>2</v>
      </c>
      <c r="C1323" s="26">
        <f>Soil!$U$13</f>
        <v>5.0000000000000001E-3</v>
      </c>
      <c r="J1323" s="177" t="str">
        <f>ConcatenateWithSpaces($B$1323:$H$1323)</f>
        <v>Value: 0.005</v>
      </c>
    </row>
    <row r="1324" spans="2:10" x14ac:dyDescent="0.2">
      <c r="B1324" s="1" t="s">
        <v>4</v>
      </c>
      <c r="J1324" s="177" t="str">
        <f>ConcatenateWithSpaces($B$1324:$H$1324)</f>
        <v>Property: rho</v>
      </c>
    </row>
    <row r="1325" spans="2:10" x14ac:dyDescent="0.2">
      <c r="B1325" s="1" t="s">
        <v>521</v>
      </c>
      <c r="C1325" s="26" t="str">
        <f>IF(ISERROR(FIND(",", $C$1326)), "Constant", "InputFromFile")</f>
        <v>Constant</v>
      </c>
      <c r="J1325" s="177" t="str">
        <f>ConcatenateWithSpaces($B$1325:$H$1325)</f>
        <v>Form: Constant</v>
      </c>
    </row>
    <row r="1326" spans="2:10" x14ac:dyDescent="0.2">
      <c r="B1326" s="1" t="s">
        <v>2</v>
      </c>
      <c r="C1326" s="26">
        <f>Soil!$U$14</f>
        <v>2600</v>
      </c>
      <c r="J1326" s="177" t="str">
        <f>ConcatenateWithSpaces($B$1326:$H$1326)</f>
        <v>Value: 2600</v>
      </c>
    </row>
    <row r="1327" spans="2:10" x14ac:dyDescent="0.2">
      <c r="B1327" s="1" t="s">
        <v>764</v>
      </c>
      <c r="J1327" s="177" t="str">
        <f>ConcatenateWithSpaces($B$1327:$H$1327)</f>
        <v>Property: Fractionofareaavailableforerosion</v>
      </c>
    </row>
    <row r="1328" spans="2:10" x14ac:dyDescent="0.2">
      <c r="B1328" s="1" t="s">
        <v>521</v>
      </c>
      <c r="C1328" s="26" t="str">
        <f>IF(ISERROR(FIND(",", $C$1329)), "Constant", "InputFromFile")</f>
        <v>Constant</v>
      </c>
      <c r="J1328" s="177" t="str">
        <f>ConcatenateWithSpaces($B$1328:$H$1328)</f>
        <v>Form: Constant</v>
      </c>
    </row>
    <row r="1329" spans="2:10" x14ac:dyDescent="0.2">
      <c r="B1329" s="1" t="s">
        <v>2</v>
      </c>
      <c r="C1329" s="26">
        <f>Soil!$U$15</f>
        <v>1</v>
      </c>
      <c r="J1329" s="177" t="str">
        <f>ConcatenateWithSpaces($B$1329:$H$1329)</f>
        <v>Value: 1</v>
      </c>
    </row>
    <row r="1330" spans="2:10" x14ac:dyDescent="0.2">
      <c r="B1330" s="1" t="s">
        <v>765</v>
      </c>
      <c r="J1330" s="177" t="str">
        <f>ConcatenateWithSpaces($B$1330:$H$1330)</f>
        <v>Property: FractionofAreaAvailableforRunoff</v>
      </c>
    </row>
    <row r="1331" spans="2:10" x14ac:dyDescent="0.2">
      <c r="B1331" s="1" t="s">
        <v>521</v>
      </c>
      <c r="C1331" s="26" t="str">
        <f>IF(ISERROR(FIND(",", $C$1332)), "Constant", "InputFromFile")</f>
        <v>Constant</v>
      </c>
      <c r="J1331" s="177" t="str">
        <f>ConcatenateWithSpaces($B$1331:$H$1331)</f>
        <v>Form: Constant</v>
      </c>
    </row>
    <row r="1332" spans="2:10" x14ac:dyDescent="0.2">
      <c r="B1332" s="1" t="s">
        <v>2</v>
      </c>
      <c r="C1332" s="26">
        <f>Soil!$U$16</f>
        <v>1</v>
      </c>
      <c r="J1332" s="177" t="str">
        <f>ConcatenateWithSpaces($B$1332:$H$1332)</f>
        <v>Value: 1</v>
      </c>
    </row>
    <row r="1333" spans="2:10" x14ac:dyDescent="0.2">
      <c r="B1333" s="1" t="s">
        <v>766</v>
      </c>
      <c r="J1333" s="177" t="str">
        <f>ConcatenateWithSpaces($B$1333:$H$1333)</f>
        <v>Property: Fractionofareaavailableforverticaldiffusion</v>
      </c>
    </row>
    <row r="1334" spans="2:10" x14ac:dyDescent="0.2">
      <c r="B1334" s="1" t="s">
        <v>521</v>
      </c>
      <c r="C1334" s="26" t="str">
        <f>IF(ISERROR(FIND(",", $C$1335)), "Constant", "InputFromFile")</f>
        <v>Constant</v>
      </c>
      <c r="J1334" s="177" t="str">
        <f>ConcatenateWithSpaces($B$1334:$H$1334)</f>
        <v>Form: Constant</v>
      </c>
    </row>
    <row r="1335" spans="2:10" x14ac:dyDescent="0.2">
      <c r="B1335" s="1" t="s">
        <v>2</v>
      </c>
      <c r="C1335" s="26">
        <f>Soil!$U$17</f>
        <v>1</v>
      </c>
      <c r="J1335" s="177" t="str">
        <f>ConcatenateWithSpaces($B$1335:$H$1335)</f>
        <v>Value: 1</v>
      </c>
    </row>
    <row r="1336" spans="2:10" x14ac:dyDescent="0.2">
      <c r="B1336" s="1" t="s">
        <v>767</v>
      </c>
      <c r="J1336" s="177" t="str">
        <f>ConcatenateWithSpaces($B$1336:$H$1336)</f>
        <v>Property: FractionSand</v>
      </c>
    </row>
    <row r="1337" spans="2:10" x14ac:dyDescent="0.2">
      <c r="B1337" s="1" t="s">
        <v>521</v>
      </c>
      <c r="C1337" s="26" t="str">
        <f>IF(ISERROR(FIND(",", $C$1338)), "Constant", "InputFromFile")</f>
        <v>Constant</v>
      </c>
      <c r="J1337" s="177" t="str">
        <f>ConcatenateWithSpaces($B$1337:$H$1337)</f>
        <v>Form: Constant</v>
      </c>
    </row>
    <row r="1338" spans="2:10" x14ac:dyDescent="0.2">
      <c r="B1338" s="1" t="s">
        <v>2</v>
      </c>
      <c r="C1338" s="26">
        <f>Soil!$U$18</f>
        <v>0.81869625084618847</v>
      </c>
      <c r="J1338" s="177" t="str">
        <f>ConcatenateWithSpaces($B$1338:$H$1338)</f>
        <v>Value: 0.818696250846188</v>
      </c>
    </row>
    <row r="1339" spans="2:10" x14ac:dyDescent="0.2">
      <c r="B1339" s="1" t="s">
        <v>261</v>
      </c>
      <c r="J1339" s="177" t="str">
        <f>ConcatenateWithSpaces($B$1339:$H$1339)</f>
        <v>Property: OrganicCarbonContent</v>
      </c>
    </row>
    <row r="1340" spans="2:10" x14ac:dyDescent="0.2">
      <c r="B1340" s="1" t="s">
        <v>521</v>
      </c>
      <c r="C1340" s="26" t="str">
        <f>IF(ISERROR(FIND(",", $C$1341)), "Constant", "InputFromFile")</f>
        <v>Constant</v>
      </c>
      <c r="J1340" s="177" t="str">
        <f>ConcatenateWithSpaces($B$1340:$H$1340)</f>
        <v>Form: Constant</v>
      </c>
    </row>
    <row r="1341" spans="2:10" x14ac:dyDescent="0.2">
      <c r="B1341" s="1" t="s">
        <v>2</v>
      </c>
      <c r="C1341" s="26">
        <f>Soil!$U$19</f>
        <v>0.13283975166064746</v>
      </c>
      <c r="J1341" s="177" t="str">
        <f>ConcatenateWithSpaces($B$1341:$H$1341)</f>
        <v>Value: 0.132839751660647</v>
      </c>
    </row>
    <row r="1342" spans="2:10" x14ac:dyDescent="0.2">
      <c r="B1342" s="1" t="s">
        <v>260</v>
      </c>
      <c r="J1342" s="177" t="str">
        <f>ConcatenateWithSpaces($B$1342:$H$1342)</f>
        <v>Property: pH</v>
      </c>
    </row>
    <row r="1343" spans="2:10" x14ac:dyDescent="0.2">
      <c r="B1343" s="1" t="s">
        <v>521</v>
      </c>
      <c r="C1343" s="26" t="str">
        <f>IF(ISERROR(FIND(",", $C$1344)), "Constant", "InputFromFile")</f>
        <v>Constant</v>
      </c>
      <c r="J1343" s="177" t="str">
        <f>ConcatenateWithSpaces($B$1343:$H$1343)</f>
        <v>Form: Constant</v>
      </c>
    </row>
    <row r="1344" spans="2:10" x14ac:dyDescent="0.2">
      <c r="B1344" s="1" t="s">
        <v>2</v>
      </c>
      <c r="C1344" s="26">
        <f>Soil!$U$20</f>
        <v>5.781641490726698</v>
      </c>
      <c r="J1344" s="177" t="str">
        <f>ConcatenateWithSpaces($B$1344:$H$1344)</f>
        <v>Value: 5.7816414907267</v>
      </c>
    </row>
    <row r="1345" spans="2:10" x14ac:dyDescent="0.2">
      <c r="B1345" s="1" t="s">
        <v>768</v>
      </c>
      <c r="J1345" s="177" t="str">
        <f>ConcatenateWithSpaces($B$1345:$H$1345)</f>
        <v>Property: TotalRunoffRate_m3_m2_day</v>
      </c>
    </row>
    <row r="1346" spans="2:10" x14ac:dyDescent="0.2">
      <c r="B1346" s="1" t="s">
        <v>521</v>
      </c>
      <c r="C1346" s="26" t="str">
        <f>IF(ISERROR(FIND(",", $C$1347)), "Constant", "InputFromFile")</f>
        <v>Constant</v>
      </c>
      <c r="J1346" s="177" t="str">
        <f>ConcatenateWithSpaces($B$1346:$H$1346)</f>
        <v>Form: Constant</v>
      </c>
    </row>
    <row r="1347" spans="2:10" x14ac:dyDescent="0.2">
      <c r="B1347" s="1" t="s">
        <v>2</v>
      </c>
      <c r="C1347" s="248">
        <f>Soil!$U$22</f>
        <v>3.4367123287671231E-4</v>
      </c>
      <c r="J1347" s="177" t="str">
        <f>ConcatenateWithSpaces($B$1347:$H$1347)</f>
        <v>Value: 3.43671232876712E-04</v>
      </c>
    </row>
    <row r="1348" spans="2:10" x14ac:dyDescent="0.2">
      <c r="B1348" s="1" t="s">
        <v>259</v>
      </c>
      <c r="J1348" s="177" t="str">
        <f>ConcatenateWithSpaces($B$1348:$H$1348)</f>
        <v>Property: TotalErosionRate_kg_m2_day</v>
      </c>
    </row>
    <row r="1349" spans="2:10" x14ac:dyDescent="0.2">
      <c r="B1349" s="1" t="s">
        <v>521</v>
      </c>
      <c r="C1349" s="26" t="str">
        <f>IF(ISERROR(FIND(",", $C$1350)), "Constant", "InputFromFile")</f>
        <v>Constant</v>
      </c>
      <c r="J1349" s="177" t="str">
        <f>ConcatenateWithSpaces($B$1349:$H$1349)</f>
        <v>Form: Constant</v>
      </c>
    </row>
    <row r="1350" spans="2:10" x14ac:dyDescent="0.2">
      <c r="B1350" s="1" t="s">
        <v>2</v>
      </c>
      <c r="C1350" s="248">
        <f>Soil!$U$21</f>
        <v>1.3828149169281125E-4</v>
      </c>
      <c r="J1350" s="177" t="str">
        <f>ConcatenateWithSpaces($B$1350:$H$1350)</f>
        <v>Value: 1.38281491692811E-04</v>
      </c>
    </row>
    <row r="1351" spans="2:10" x14ac:dyDescent="0.2">
      <c r="B1351" s="1" t="s">
        <v>769</v>
      </c>
      <c r="J1351" s="177" t="str">
        <f>ConcatenateWithSpaces($B$1351:$H$1351)</f>
        <v>Property: VolumeFraction_liquid</v>
      </c>
    </row>
    <row r="1352" spans="2:10" x14ac:dyDescent="0.2">
      <c r="B1352" s="1" t="s">
        <v>521</v>
      </c>
      <c r="C1352" s="26" t="str">
        <f>IF(ISERROR(FIND(",", $C$1353)), "Constant", "InputFromFile")</f>
        <v>Constant</v>
      </c>
      <c r="J1352" s="177" t="str">
        <f>ConcatenateWithSpaces($B$1352:$H$1352)</f>
        <v>Form: Constant</v>
      </c>
    </row>
    <row r="1353" spans="2:10" x14ac:dyDescent="0.2">
      <c r="B1353" s="1" t="s">
        <v>2</v>
      </c>
      <c r="C1353" s="26">
        <f>Soil!$U$23</f>
        <v>0.16547227059258085</v>
      </c>
      <c r="J1353" s="177" t="str">
        <f>ConcatenateWithSpaces($B$1353:$H$1353)</f>
        <v>Value: 0.165472270592581</v>
      </c>
    </row>
    <row r="1354" spans="2:10" x14ac:dyDescent="0.2">
      <c r="J1354" s="177" t="str">
        <f>ConcatenateWithSpaces($B$1354:$H$1354)</f>
        <v/>
      </c>
    </row>
  </sheetData>
  <mergeCells count="6">
    <mergeCell ref="M7:O8"/>
    <mergeCell ref="M9:O10"/>
    <mergeCell ref="J2:J3"/>
    <mergeCell ref="C3:E3"/>
    <mergeCell ref="C2:E2"/>
    <mergeCell ref="M5:O6"/>
  </mergeCells>
  <phoneticPr fontId="5" type="noConversion"/>
  <hyperlinks>
    <hyperlink ref="M1" location="'Main'!A1" display="Main" xr:uid="{00000000-0004-0000-0F00-000000000000}"/>
  </hyperlinks>
  <pageMargins left="0.75" right="0.75" top="1" bottom="1" header="0.5" footer="0.5"/>
  <pageSetup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ExportFile">
                <anchor moveWithCells="1" sizeWithCells="1">
                  <from>
                    <xdr:col>6</xdr:col>
                    <xdr:colOff>57150</xdr:colOff>
                    <xdr:row>1</xdr:row>
                    <xdr:rowOff>38100</xdr:rowOff>
                  </from>
                  <to>
                    <xdr:col>6</xdr:col>
                    <xdr:colOff>628650</xdr:colOff>
                    <xdr:row>2</xdr:row>
                    <xdr:rowOff>247650</xdr:rowOff>
                  </to>
                </anchor>
              </controlPr>
            </control>
          </mc:Choice>
        </mc:AlternateContent>
        <mc:AlternateContent xmlns:mc="http://schemas.openxmlformats.org/markup-compatibility/2006">
          <mc:Choice Requires="x14">
            <control shapeId="27650" r:id="rId5" name="Button 2">
              <controlPr defaultSize="0" print="0" autoFill="0" autoPict="0" macro="[0]!GenerateProperties">
                <anchor moveWithCells="1" sizeWithCells="1">
                  <from>
                    <xdr:col>5</xdr:col>
                    <xdr:colOff>76200</xdr:colOff>
                    <xdr:row>1</xdr:row>
                    <xdr:rowOff>28575</xdr:rowOff>
                  </from>
                  <to>
                    <xdr:col>5</xdr:col>
                    <xdr:colOff>742950</xdr:colOff>
                    <xdr:row>2</xdr:row>
                    <xdr:rowOff>247650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8">
    <tabColor indexed="46"/>
  </sheetPr>
  <dimension ref="A1:O3480"/>
  <sheetViews>
    <sheetView workbookViewId="0"/>
  </sheetViews>
  <sheetFormatPr defaultColWidth="9.28515625" defaultRowHeight="12.75" x14ac:dyDescent="0.2"/>
  <cols>
    <col min="1" max="1" width="4.28515625" style="303" customWidth="1"/>
    <col min="2" max="2" width="9.28515625" style="322"/>
    <col min="3" max="3" width="16.5703125" style="322" customWidth="1"/>
    <col min="4" max="4" width="11.5703125" style="322" bestFit="1" customWidth="1"/>
    <col min="5" max="5" width="9.28515625" style="322"/>
    <col min="6" max="6" width="12.5703125" style="322" bestFit="1" customWidth="1"/>
    <col min="7" max="7" width="14.7109375" style="322" customWidth="1"/>
    <col min="8" max="8" width="9.28515625" style="322"/>
    <col min="9" max="9" width="4.28515625" style="303" customWidth="1"/>
    <col min="10" max="10" width="60.7109375" style="326" customWidth="1"/>
    <col min="11" max="11" width="4.28515625" style="303" customWidth="1"/>
    <col min="12" max="12" width="4.28515625" style="300" customWidth="1"/>
    <col min="13" max="15" width="8.5703125" style="300" customWidth="1"/>
    <col min="16" max="16384" width="9.28515625" style="300"/>
  </cols>
  <sheetData>
    <row r="1" spans="1:15" ht="13.5" thickBot="1" x14ac:dyDescent="0.25">
      <c r="A1" s="296"/>
      <c r="B1" s="297"/>
      <c r="C1" s="297"/>
      <c r="D1" s="297"/>
      <c r="E1" s="297"/>
      <c r="F1" s="297"/>
      <c r="G1" s="297"/>
      <c r="H1" s="297"/>
      <c r="I1" s="298"/>
      <c r="J1" s="297"/>
      <c r="K1" s="299"/>
      <c r="L1" s="54"/>
      <c r="M1" s="54" t="s">
        <v>13</v>
      </c>
    </row>
    <row r="2" spans="1:15" ht="46.5" customHeight="1" x14ac:dyDescent="0.2">
      <c r="A2" s="301"/>
      <c r="B2" s="302" t="s">
        <v>8</v>
      </c>
      <c r="C2" s="616" t="str">
        <f>setupfile_dir</f>
        <v>C:\RTR\Foundries\TRIM</v>
      </c>
      <c r="D2" s="617"/>
      <c r="E2" s="618"/>
      <c r="F2" s="303"/>
      <c r="G2" s="304"/>
      <c r="H2" s="303"/>
      <c r="I2" s="304"/>
      <c r="J2" s="619" t="s">
        <v>237</v>
      </c>
      <c r="K2" s="305"/>
    </row>
    <row r="3" spans="1:15" ht="26.25" thickBot="1" x14ac:dyDescent="0.25">
      <c r="A3" s="301"/>
      <c r="B3" s="306" t="s">
        <v>7</v>
      </c>
      <c r="C3" s="621" t="str">
        <f>scenario_name &amp; " (5) Other Properties.txt"</f>
        <v>Foundries_SS (5) Other Properties.txt</v>
      </c>
      <c r="D3" s="622"/>
      <c r="E3" s="623"/>
      <c r="F3" s="303"/>
      <c r="G3" s="307"/>
      <c r="H3" s="303"/>
      <c r="I3" s="304"/>
      <c r="J3" s="620"/>
      <c r="K3" s="305"/>
    </row>
    <row r="4" spans="1:15" ht="13.5" thickBot="1" x14ac:dyDescent="0.25">
      <c r="A4" s="301"/>
      <c r="B4" s="308"/>
      <c r="C4" s="308"/>
      <c r="D4" s="308"/>
      <c r="E4" s="308"/>
      <c r="F4" s="308"/>
      <c r="G4" s="308"/>
      <c r="H4" s="308"/>
      <c r="I4" s="304"/>
      <c r="J4" s="308"/>
      <c r="K4" s="305"/>
    </row>
    <row r="5" spans="1:15" ht="12.75" customHeight="1" x14ac:dyDescent="0.2">
      <c r="A5" s="301"/>
      <c r="B5" s="309" t="s">
        <v>653</v>
      </c>
      <c r="C5" s="310"/>
      <c r="D5" s="310"/>
      <c r="E5" s="310"/>
      <c r="F5" s="310"/>
      <c r="G5" s="310"/>
      <c r="H5" s="311"/>
      <c r="I5" s="304"/>
      <c r="J5" s="312" t="str">
        <f t="shared" ref="J5:J68" si="0">ConcatenateWithSpaces(B5:H5)</f>
        <v>// TRIM.FaTE scenario properties (manually added)</v>
      </c>
      <c r="K5" s="305"/>
      <c r="M5" s="624" t="s">
        <v>231</v>
      </c>
      <c r="N5" s="625"/>
      <c r="O5" s="626"/>
    </row>
    <row r="6" spans="1:15" ht="13.5" thickBot="1" x14ac:dyDescent="0.25">
      <c r="A6" s="301"/>
      <c r="B6" s="313"/>
      <c r="C6" s="314"/>
      <c r="D6" s="314"/>
      <c r="E6" s="314"/>
      <c r="F6" s="314"/>
      <c r="G6" s="314"/>
      <c r="H6" s="315"/>
      <c r="I6" s="304"/>
      <c r="J6" s="312" t="str">
        <f t="shared" si="0"/>
        <v/>
      </c>
      <c r="K6" s="305"/>
      <c r="M6" s="627"/>
      <c r="N6" s="628"/>
      <c r="O6" s="629"/>
    </row>
    <row r="7" spans="1:15" x14ac:dyDescent="0.2">
      <c r="A7" s="301"/>
      <c r="B7" s="316" t="str">
        <f>"// "&amp; pretty_scenario_name</f>
        <v>// Foundries_SS</v>
      </c>
      <c r="C7" s="314"/>
      <c r="D7" s="314"/>
      <c r="E7" s="314"/>
      <c r="F7" s="314"/>
      <c r="G7" s="314"/>
      <c r="H7" s="315"/>
      <c r="I7" s="304"/>
      <c r="J7" s="312" t="str">
        <f t="shared" si="0"/>
        <v>// Foundries_SS</v>
      </c>
      <c r="K7" s="305"/>
      <c r="M7" s="630" t="s">
        <v>232</v>
      </c>
      <c r="N7" s="631"/>
      <c r="O7" s="632"/>
    </row>
    <row r="8" spans="1:15" ht="13.5" thickBot="1" x14ac:dyDescent="0.25">
      <c r="A8" s="301"/>
      <c r="B8" s="316" t="str">
        <f>"// "&amp; scenario_description</f>
        <v>// Site-specific scenario for Int Iron Steel Foundries in Wexford County, MI</v>
      </c>
      <c r="C8" s="314"/>
      <c r="D8" s="314"/>
      <c r="E8" s="314"/>
      <c r="F8" s="314"/>
      <c r="G8" s="314"/>
      <c r="H8" s="315"/>
      <c r="I8" s="304"/>
      <c r="J8" s="312" t="str">
        <f t="shared" si="0"/>
        <v>// Site-specific scenario for Int Iron Steel Foundries in Wexford County, MI</v>
      </c>
      <c r="K8" s="305"/>
      <c r="M8" s="633"/>
      <c r="N8" s="634"/>
      <c r="O8" s="635"/>
    </row>
    <row r="9" spans="1:15" x14ac:dyDescent="0.2">
      <c r="A9" s="301"/>
      <c r="B9" s="313"/>
      <c r="C9" s="314"/>
      <c r="D9" s="314"/>
      <c r="E9" s="314"/>
      <c r="F9" s="314"/>
      <c r="G9" s="314"/>
      <c r="H9" s="315"/>
      <c r="I9" s="304"/>
      <c r="J9" s="312" t="str">
        <f t="shared" si="0"/>
        <v/>
      </c>
      <c r="K9" s="305"/>
      <c r="M9" s="610" t="s">
        <v>233</v>
      </c>
      <c r="N9" s="611"/>
      <c r="O9" s="612"/>
    </row>
    <row r="10" spans="1:15" ht="13.5" thickBot="1" x14ac:dyDescent="0.25">
      <c r="A10" s="301"/>
      <c r="B10" s="313" t="s">
        <v>374</v>
      </c>
      <c r="C10" s="317">
        <f ca="1">NOW()</f>
        <v>43843.428775231485</v>
      </c>
      <c r="D10" s="314"/>
      <c r="E10" s="314"/>
      <c r="F10" s="314"/>
      <c r="G10" s="314"/>
      <c r="H10" s="315"/>
      <c r="I10" s="304"/>
      <c r="J10" s="312" t="str">
        <f t="shared" ca="1" si="0"/>
        <v>// Generated:  1/13/2020 10:17:26 AM</v>
      </c>
      <c r="K10" s="305"/>
      <c r="M10" s="613"/>
      <c r="N10" s="614"/>
      <c r="O10" s="615"/>
    </row>
    <row r="11" spans="1:15" x14ac:dyDescent="0.2">
      <c r="A11" s="301"/>
      <c r="B11" s="313"/>
      <c r="C11" s="314"/>
      <c r="D11" s="314"/>
      <c r="E11" s="314"/>
      <c r="F11" s="314"/>
      <c r="G11" s="314"/>
      <c r="H11" s="315"/>
      <c r="I11" s="304"/>
      <c r="J11" s="312" t="str">
        <f t="shared" si="0"/>
        <v/>
      </c>
      <c r="K11" s="305"/>
    </row>
    <row r="12" spans="1:15" x14ac:dyDescent="0.2">
      <c r="A12" s="301"/>
      <c r="B12" s="313" t="s">
        <v>562</v>
      </c>
      <c r="C12" s="314"/>
      <c r="D12" s="314"/>
      <c r="E12" s="314"/>
      <c r="F12" s="314"/>
      <c r="G12" s="314"/>
      <c r="H12" s="315"/>
      <c r="I12" s="304"/>
      <c r="J12" s="312" t="str">
        <f t="shared" si="0"/>
        <v>// *****************************************************</v>
      </c>
      <c r="K12" s="305"/>
    </row>
    <row r="13" spans="1:15" x14ac:dyDescent="0.2">
      <c r="A13" s="301"/>
      <c r="B13" s="313" t="s">
        <v>654</v>
      </c>
      <c r="C13" s="314"/>
      <c r="D13" s="314"/>
      <c r="E13" s="314"/>
      <c r="F13" s="314"/>
      <c r="G13" s="314"/>
      <c r="H13" s="315"/>
      <c r="I13" s="304"/>
      <c r="J13" s="312" t="str">
        <f t="shared" si="0"/>
        <v>//  NOTE: These are manually added TRIM.FaTE properties;</v>
      </c>
      <c r="K13" s="305"/>
    </row>
    <row r="14" spans="1:15" x14ac:dyDescent="0.2">
      <c r="A14" s="301"/>
      <c r="B14" s="313" t="s">
        <v>655</v>
      </c>
      <c r="C14" s="314"/>
      <c r="D14" s="314"/>
      <c r="E14" s="314"/>
      <c r="F14" s="314"/>
      <c r="G14" s="314"/>
      <c r="H14" s="315"/>
      <c r="I14" s="304"/>
      <c r="J14" s="312" t="str">
        <f t="shared" si="0"/>
        <v>//   this tool will not verify or validate any of the information added below.</v>
      </c>
      <c r="K14" s="305"/>
    </row>
    <row r="15" spans="1:15" x14ac:dyDescent="0.2">
      <c r="A15" s="301"/>
      <c r="B15" s="313" t="s">
        <v>562</v>
      </c>
      <c r="C15" s="314"/>
      <c r="D15" s="314"/>
      <c r="E15" s="314"/>
      <c r="F15" s="314"/>
      <c r="G15" s="314"/>
      <c r="H15" s="315"/>
      <c r="I15" s="304"/>
      <c r="J15" s="312" t="str">
        <f t="shared" si="0"/>
        <v>// *****************************************************</v>
      </c>
      <c r="K15" s="305"/>
    </row>
    <row r="16" spans="1:15" x14ac:dyDescent="0.2">
      <c r="A16" s="301"/>
      <c r="B16" s="313"/>
      <c r="C16" s="314"/>
      <c r="D16" s="314"/>
      <c r="E16" s="314"/>
      <c r="F16" s="314"/>
      <c r="G16" s="314"/>
      <c r="H16" s="315"/>
      <c r="I16" s="304"/>
      <c r="J16" s="312" t="str">
        <f t="shared" si="0"/>
        <v/>
      </c>
      <c r="K16" s="305"/>
    </row>
    <row r="17" spans="1:11" x14ac:dyDescent="0.2">
      <c r="A17" s="301"/>
      <c r="B17" s="313" t="s">
        <v>257</v>
      </c>
      <c r="C17" s="314"/>
      <c r="D17" s="314"/>
      <c r="E17" s="314"/>
      <c r="F17" s="314"/>
      <c r="G17" s="314"/>
      <c r="H17" s="315"/>
      <c r="I17" s="304"/>
      <c r="J17" s="312" t="str">
        <f t="shared" si="0"/>
        <v>Version:1</v>
      </c>
      <c r="K17" s="305"/>
    </row>
    <row r="18" spans="1:11" x14ac:dyDescent="0.2">
      <c r="A18" s="301"/>
      <c r="B18" s="313" t="s">
        <v>542</v>
      </c>
      <c r="C18" s="318" t="str">
        <f>scenario_name</f>
        <v>Foundries_SS</v>
      </c>
      <c r="D18" s="314"/>
      <c r="E18" s="314"/>
      <c r="F18" s="314"/>
      <c r="G18" s="314"/>
      <c r="H18" s="315"/>
      <c r="I18" s="304"/>
      <c r="J18" s="312" t="str">
        <f t="shared" si="0"/>
        <v>Scenario: Foundries_SS</v>
      </c>
      <c r="K18" s="305"/>
    </row>
    <row r="19" spans="1:11" x14ac:dyDescent="0.2">
      <c r="A19" s="301"/>
      <c r="B19" s="313" t="s">
        <v>258</v>
      </c>
      <c r="C19" s="314"/>
      <c r="D19" s="314"/>
      <c r="E19" s="314"/>
      <c r="F19" s="314"/>
      <c r="G19" s="314"/>
      <c r="H19" s="315"/>
      <c r="I19" s="304"/>
      <c r="J19" s="312" t="str">
        <f t="shared" si="0"/>
        <v>Run: BaseRun</v>
      </c>
      <c r="K19" s="305"/>
    </row>
    <row r="20" spans="1:11" x14ac:dyDescent="0.2">
      <c r="A20" s="301"/>
      <c r="B20" s="313"/>
      <c r="C20" s="314"/>
      <c r="D20" s="314"/>
      <c r="E20" s="314"/>
      <c r="F20" s="314"/>
      <c r="G20" s="314"/>
      <c r="H20" s="315"/>
      <c r="I20" s="304"/>
      <c r="J20" s="312" t="str">
        <f t="shared" si="0"/>
        <v/>
      </c>
      <c r="K20" s="305"/>
    </row>
    <row r="21" spans="1:11" ht="13.5" thickBot="1" x14ac:dyDescent="0.25">
      <c r="A21" s="301"/>
      <c r="B21" s="319" t="s">
        <v>656</v>
      </c>
      <c r="C21" s="320"/>
      <c r="D21" s="320"/>
      <c r="E21" s="320"/>
      <c r="F21" s="320"/>
      <c r="G21" s="320"/>
      <c r="H21" s="321"/>
      <c r="I21" s="304"/>
      <c r="J21" s="312" t="str">
        <f t="shared" si="0"/>
        <v>// add other property-file input below this line ----------------------------------------</v>
      </c>
      <c r="K21" s="305"/>
    </row>
    <row r="22" spans="1:11" x14ac:dyDescent="0.2">
      <c r="A22" s="301"/>
      <c r="B22" s="358" t="s">
        <v>851</v>
      </c>
      <c r="C22" s="358" t="s">
        <v>863</v>
      </c>
      <c r="D22" s="358"/>
      <c r="E22" s="358"/>
      <c r="F22" s="358"/>
      <c r="G22" s="358"/>
      <c r="H22" s="358"/>
      <c r="I22" s="304"/>
      <c r="J22" s="312" t="str">
        <f t="shared" si="0"/>
        <v>Compartment:  Soil - Surface in SurfSoil_E1</v>
      </c>
      <c r="K22" s="305"/>
    </row>
    <row r="23" spans="1:11" x14ac:dyDescent="0.2">
      <c r="A23" s="301"/>
      <c r="B23" s="358" t="s">
        <v>519</v>
      </c>
      <c r="C23" s="358" t="s">
        <v>852</v>
      </c>
      <c r="D23" s="358"/>
      <c r="E23" s="358"/>
      <c r="F23" s="358"/>
      <c r="G23" s="358"/>
      <c r="H23" s="358"/>
      <c r="I23" s="304"/>
      <c r="J23" s="312" t="str">
        <f t="shared" si="0"/>
        <v>Property: MethylationRate</v>
      </c>
      <c r="K23" s="305"/>
    </row>
    <row r="24" spans="1:11" x14ac:dyDescent="0.2">
      <c r="A24" s="301"/>
      <c r="B24" s="358" t="s">
        <v>521</v>
      </c>
      <c r="C24" s="358" t="s">
        <v>774</v>
      </c>
      <c r="D24" s="358"/>
      <c r="E24" s="358"/>
      <c r="F24" s="358"/>
      <c r="G24" s="358"/>
      <c r="H24" s="358"/>
      <c r="I24" s="304"/>
      <c r="J24" s="312" t="str">
        <f t="shared" si="0"/>
        <v>Form: Constant</v>
      </c>
      <c r="K24" s="305"/>
    </row>
    <row r="25" spans="1:11" x14ac:dyDescent="0.2">
      <c r="A25" s="301"/>
      <c r="B25" s="358" t="s">
        <v>2</v>
      </c>
      <c r="C25" s="358" t="s">
        <v>853</v>
      </c>
      <c r="D25" s="358"/>
      <c r="E25" s="358"/>
      <c r="F25" s="358"/>
      <c r="G25" s="358"/>
      <c r="H25" s="358"/>
      <c r="I25" s="304"/>
      <c r="J25" s="312" t="str">
        <f t="shared" si="0"/>
        <v>Value: {Divalent Mercury} 0.001</v>
      </c>
      <c r="K25" s="305"/>
    </row>
    <row r="26" spans="1:11" x14ac:dyDescent="0.2">
      <c r="A26" s="301"/>
      <c r="B26" s="358" t="s">
        <v>849</v>
      </c>
      <c r="C26" s="358" t="s">
        <v>854</v>
      </c>
      <c r="D26" s="358" t="s">
        <v>850</v>
      </c>
      <c r="E26" s="358"/>
      <c r="F26" s="358"/>
      <c r="G26" s="358"/>
      <c r="H26" s="358"/>
      <c r="I26" s="304"/>
      <c r="J26" s="312" t="str">
        <f t="shared" si="0"/>
        <v>// Description: [[ See other documentation ]]</v>
      </c>
      <c r="K26" s="305"/>
    </row>
    <row r="27" spans="1:11" x14ac:dyDescent="0.2">
      <c r="A27" s="301"/>
      <c r="B27" s="358" t="s">
        <v>519</v>
      </c>
      <c r="C27" s="358" t="s">
        <v>855</v>
      </c>
      <c r="D27" s="358"/>
      <c r="E27" s="358"/>
      <c r="F27" s="358"/>
      <c r="G27" s="358"/>
      <c r="H27" s="358"/>
      <c r="I27" s="304"/>
      <c r="J27" s="312" t="str">
        <f t="shared" si="0"/>
        <v>Property: DemethylationRate</v>
      </c>
      <c r="K27" s="305"/>
    </row>
    <row r="28" spans="1:11" x14ac:dyDescent="0.2">
      <c r="A28" s="301"/>
      <c r="B28" s="358" t="s">
        <v>521</v>
      </c>
      <c r="C28" s="358" t="s">
        <v>774</v>
      </c>
      <c r="D28" s="358"/>
      <c r="E28" s="358"/>
      <c r="F28" s="358"/>
      <c r="G28" s="358"/>
      <c r="H28" s="358"/>
      <c r="I28" s="304"/>
      <c r="J28" s="312" t="str">
        <f t="shared" si="0"/>
        <v>Form: Constant</v>
      </c>
      <c r="K28" s="305"/>
    </row>
    <row r="29" spans="1:11" x14ac:dyDescent="0.2">
      <c r="A29" s="301"/>
      <c r="B29" s="358" t="s">
        <v>2</v>
      </c>
      <c r="C29" s="358" t="s">
        <v>856</v>
      </c>
      <c r="D29" s="358"/>
      <c r="E29" s="358"/>
      <c r="F29" s="358"/>
      <c r="G29" s="358"/>
      <c r="H29" s="358"/>
      <c r="I29" s="304"/>
      <c r="J29" s="312" t="str">
        <f t="shared" si="0"/>
        <v>Value: {MethylMercury} 0.06</v>
      </c>
      <c r="K29" s="305"/>
    </row>
    <row r="30" spans="1:11" x14ac:dyDescent="0.2">
      <c r="A30" s="301"/>
      <c r="B30" s="358" t="s">
        <v>849</v>
      </c>
      <c r="C30" s="358" t="s">
        <v>854</v>
      </c>
      <c r="D30" s="358" t="s">
        <v>850</v>
      </c>
      <c r="E30" s="358"/>
      <c r="F30" s="358"/>
      <c r="G30" s="358"/>
      <c r="H30" s="358"/>
      <c r="I30" s="304"/>
      <c r="J30" s="312" t="str">
        <f t="shared" si="0"/>
        <v>// Description: [[ See other documentation ]]</v>
      </c>
      <c r="K30" s="305"/>
    </row>
    <row r="31" spans="1:11" x14ac:dyDescent="0.2">
      <c r="A31" s="301"/>
      <c r="B31" s="358" t="s">
        <v>519</v>
      </c>
      <c r="C31" s="358" t="s">
        <v>857</v>
      </c>
      <c r="D31" s="358"/>
      <c r="E31" s="358"/>
      <c r="F31" s="358"/>
      <c r="G31" s="358"/>
      <c r="H31" s="358"/>
      <c r="I31" s="304"/>
      <c r="J31" s="312" t="str">
        <f t="shared" si="0"/>
        <v>Property: ReductionRate</v>
      </c>
      <c r="K31" s="305"/>
    </row>
    <row r="32" spans="1:11" x14ac:dyDescent="0.2">
      <c r="A32" s="301"/>
      <c r="B32" s="358" t="s">
        <v>521</v>
      </c>
      <c r="C32" s="358" t="s">
        <v>774</v>
      </c>
      <c r="D32" s="358"/>
      <c r="E32" s="358"/>
      <c r="F32" s="358"/>
      <c r="G32" s="358"/>
      <c r="H32" s="358"/>
      <c r="I32" s="304"/>
      <c r="J32" s="312" t="str">
        <f t="shared" si="0"/>
        <v>Form: Constant</v>
      </c>
      <c r="K32" s="305"/>
    </row>
    <row r="33" spans="1:11" x14ac:dyDescent="0.2">
      <c r="A33" s="301"/>
      <c r="B33" s="358" t="s">
        <v>2</v>
      </c>
      <c r="C33" s="358" t="s">
        <v>858</v>
      </c>
      <c r="D33" s="358"/>
      <c r="E33" s="358"/>
      <c r="F33" s="358"/>
      <c r="G33" s="358"/>
      <c r="H33" s="358"/>
      <c r="I33" s="304"/>
      <c r="J33" s="312" t="str">
        <f t="shared" si="0"/>
        <v>Value: {Divalent Mercury} 0.0000125</v>
      </c>
      <c r="K33" s="305"/>
    </row>
    <row r="34" spans="1:11" x14ac:dyDescent="0.2">
      <c r="A34" s="301"/>
      <c r="B34" s="358" t="s">
        <v>849</v>
      </c>
      <c r="C34" s="358" t="s">
        <v>854</v>
      </c>
      <c r="D34" s="358" t="s">
        <v>850</v>
      </c>
      <c r="E34" s="358"/>
      <c r="F34" s="358"/>
      <c r="G34" s="358"/>
      <c r="H34" s="358"/>
      <c r="I34" s="304"/>
      <c r="J34" s="312" t="str">
        <f t="shared" si="0"/>
        <v>// Description: [[ See other documentation ]]</v>
      </c>
      <c r="K34" s="305"/>
    </row>
    <row r="35" spans="1:11" x14ac:dyDescent="0.2">
      <c r="A35" s="301"/>
      <c r="B35" s="358" t="s">
        <v>378</v>
      </c>
      <c r="C35" s="358" t="s">
        <v>864</v>
      </c>
      <c r="D35" s="358"/>
      <c r="E35" s="358"/>
      <c r="F35" s="358"/>
      <c r="G35" s="358"/>
      <c r="H35" s="358"/>
      <c r="I35" s="304"/>
      <c r="J35" s="312" t="str">
        <f t="shared" si="0"/>
        <v>Compartment: Soil - Root Zone in RootSoil_E1</v>
      </c>
      <c r="K35" s="305"/>
    </row>
    <row r="36" spans="1:11" x14ac:dyDescent="0.2">
      <c r="A36" s="301"/>
      <c r="B36" s="358" t="s">
        <v>519</v>
      </c>
      <c r="C36" s="358" t="s">
        <v>852</v>
      </c>
      <c r="D36" s="358"/>
      <c r="E36" s="358"/>
      <c r="F36" s="358"/>
      <c r="G36" s="358"/>
      <c r="H36" s="358"/>
      <c r="I36" s="304"/>
      <c r="J36" s="312" t="str">
        <f t="shared" si="0"/>
        <v>Property: MethylationRate</v>
      </c>
      <c r="K36" s="305"/>
    </row>
    <row r="37" spans="1:11" x14ac:dyDescent="0.2">
      <c r="A37" s="301"/>
      <c r="B37" s="358" t="s">
        <v>521</v>
      </c>
      <c r="C37" s="358" t="s">
        <v>774</v>
      </c>
      <c r="D37" s="358"/>
      <c r="E37" s="358"/>
      <c r="F37" s="358"/>
      <c r="G37" s="358"/>
      <c r="H37" s="358"/>
      <c r="I37" s="304"/>
      <c r="J37" s="312" t="str">
        <f t="shared" si="0"/>
        <v>Form: Constant</v>
      </c>
      <c r="K37" s="305"/>
    </row>
    <row r="38" spans="1:11" x14ac:dyDescent="0.2">
      <c r="A38" s="301"/>
      <c r="B38" s="358" t="s">
        <v>2</v>
      </c>
      <c r="C38" s="358" t="s">
        <v>853</v>
      </c>
      <c r="D38" s="358"/>
      <c r="E38" s="358"/>
      <c r="F38" s="358"/>
      <c r="G38" s="358"/>
      <c r="H38" s="358"/>
      <c r="I38" s="304"/>
      <c r="J38" s="312" t="str">
        <f t="shared" si="0"/>
        <v>Value: {Divalent Mercury} 0.001</v>
      </c>
      <c r="K38" s="305"/>
    </row>
    <row r="39" spans="1:11" x14ac:dyDescent="0.2">
      <c r="A39" s="301"/>
      <c r="B39" s="358" t="s">
        <v>849</v>
      </c>
      <c r="C39" s="358" t="s">
        <v>854</v>
      </c>
      <c r="D39" s="358" t="s">
        <v>850</v>
      </c>
      <c r="E39" s="358"/>
      <c r="F39" s="358"/>
      <c r="G39" s="358"/>
      <c r="H39" s="358"/>
      <c r="I39" s="304"/>
      <c r="J39" s="312" t="str">
        <f t="shared" si="0"/>
        <v>// Description: [[ See other documentation ]]</v>
      </c>
      <c r="K39" s="305"/>
    </row>
    <row r="40" spans="1:11" x14ac:dyDescent="0.2">
      <c r="A40" s="301"/>
      <c r="B40" s="358" t="s">
        <v>519</v>
      </c>
      <c r="C40" s="358" t="s">
        <v>857</v>
      </c>
      <c r="D40" s="358"/>
      <c r="E40" s="358"/>
      <c r="F40" s="358"/>
      <c r="G40" s="358"/>
      <c r="H40" s="358"/>
      <c r="I40" s="304"/>
      <c r="J40" s="312" t="str">
        <f t="shared" si="0"/>
        <v>Property: ReductionRate</v>
      </c>
      <c r="K40" s="305"/>
    </row>
    <row r="41" spans="1:11" x14ac:dyDescent="0.2">
      <c r="A41" s="301"/>
      <c r="B41" s="358" t="s">
        <v>521</v>
      </c>
      <c r="C41" s="358" t="s">
        <v>774</v>
      </c>
      <c r="D41" s="358"/>
      <c r="E41" s="358"/>
      <c r="F41" s="358"/>
      <c r="G41" s="358"/>
      <c r="H41" s="358"/>
      <c r="I41" s="304"/>
      <c r="J41" s="312" t="str">
        <f t="shared" si="0"/>
        <v>Form: Constant</v>
      </c>
      <c r="K41" s="305"/>
    </row>
    <row r="42" spans="1:11" x14ac:dyDescent="0.2">
      <c r="A42" s="301"/>
      <c r="B42" s="358" t="s">
        <v>2</v>
      </c>
      <c r="C42" s="358" t="s">
        <v>859</v>
      </c>
      <c r="D42" s="358"/>
      <c r="E42" s="358"/>
      <c r="F42" s="358"/>
      <c r="G42" s="358"/>
      <c r="H42" s="358"/>
      <c r="I42" s="304"/>
      <c r="J42" s="312" t="str">
        <f t="shared" si="0"/>
        <v>Value: {Divalent Mercury} 0.00000325</v>
      </c>
      <c r="K42" s="305"/>
    </row>
    <row r="43" spans="1:11" x14ac:dyDescent="0.2">
      <c r="A43" s="301"/>
      <c r="B43" s="358" t="s">
        <v>849</v>
      </c>
      <c r="C43" s="358" t="s">
        <v>854</v>
      </c>
      <c r="D43" s="358" t="s">
        <v>850</v>
      </c>
      <c r="E43" s="358"/>
      <c r="F43" s="358"/>
      <c r="G43" s="358"/>
      <c r="H43" s="358"/>
      <c r="I43" s="304"/>
      <c r="J43" s="312" t="str">
        <f t="shared" si="0"/>
        <v>// Description: [[ See other documentation ]]</v>
      </c>
      <c r="K43" s="305"/>
    </row>
    <row r="44" spans="1:11" x14ac:dyDescent="0.2">
      <c r="A44" s="301"/>
      <c r="B44" s="358" t="s">
        <v>378</v>
      </c>
      <c r="C44" s="358" t="s">
        <v>865</v>
      </c>
      <c r="D44" s="358"/>
      <c r="E44" s="358"/>
      <c r="F44" s="358"/>
      <c r="G44" s="358"/>
      <c r="H44" s="358"/>
      <c r="I44" s="304"/>
      <c r="J44" s="312" t="str">
        <f t="shared" si="0"/>
        <v>Compartment: Soil - Vadose Zone in VadoseSoil_E1</v>
      </c>
      <c r="K44" s="305"/>
    </row>
    <row r="45" spans="1:11" x14ac:dyDescent="0.2">
      <c r="A45" s="301"/>
      <c r="B45" s="358" t="s">
        <v>519</v>
      </c>
      <c r="C45" s="358" t="s">
        <v>852</v>
      </c>
      <c r="D45" s="358"/>
      <c r="E45" s="358"/>
      <c r="F45" s="358"/>
      <c r="G45" s="358"/>
      <c r="H45" s="358"/>
      <c r="I45" s="304"/>
      <c r="J45" s="312" t="str">
        <f t="shared" si="0"/>
        <v>Property: MethylationRate</v>
      </c>
      <c r="K45" s="305"/>
    </row>
    <row r="46" spans="1:11" x14ac:dyDescent="0.2">
      <c r="A46" s="301"/>
      <c r="B46" s="358" t="s">
        <v>521</v>
      </c>
      <c r="C46" s="358" t="s">
        <v>774</v>
      </c>
      <c r="D46" s="358"/>
      <c r="E46" s="358"/>
      <c r="F46" s="358"/>
      <c r="G46" s="358"/>
      <c r="H46" s="358"/>
      <c r="I46" s="304"/>
      <c r="J46" s="312" t="str">
        <f t="shared" si="0"/>
        <v>Form: Constant</v>
      </c>
      <c r="K46" s="305"/>
    </row>
    <row r="47" spans="1:11" x14ac:dyDescent="0.2">
      <c r="A47" s="301"/>
      <c r="B47" s="358" t="s">
        <v>2</v>
      </c>
      <c r="C47" s="358" t="s">
        <v>853</v>
      </c>
      <c r="D47" s="358"/>
      <c r="E47" s="358"/>
      <c r="F47" s="358"/>
      <c r="G47" s="358"/>
      <c r="H47" s="358"/>
      <c r="I47" s="304"/>
      <c r="J47" s="312" t="str">
        <f t="shared" si="0"/>
        <v>Value: {Divalent Mercury} 0.001</v>
      </c>
      <c r="K47" s="305"/>
    </row>
    <row r="48" spans="1:11" x14ac:dyDescent="0.2">
      <c r="A48" s="301"/>
      <c r="B48" s="358" t="s">
        <v>849</v>
      </c>
      <c r="C48" s="358" t="s">
        <v>854</v>
      </c>
      <c r="D48" s="358" t="s">
        <v>850</v>
      </c>
      <c r="E48" s="358"/>
      <c r="F48" s="358"/>
      <c r="G48" s="358"/>
      <c r="H48" s="358"/>
      <c r="I48" s="304"/>
      <c r="J48" s="312" t="str">
        <f t="shared" si="0"/>
        <v>// Description: [[ See other documentation ]]</v>
      </c>
      <c r="K48" s="305"/>
    </row>
    <row r="49" spans="1:11" x14ac:dyDescent="0.2">
      <c r="A49" s="301"/>
      <c r="B49" s="358" t="s">
        <v>519</v>
      </c>
      <c r="C49" s="358" t="s">
        <v>857</v>
      </c>
      <c r="D49" s="358"/>
      <c r="E49" s="358"/>
      <c r="F49" s="358"/>
      <c r="G49" s="358"/>
      <c r="H49" s="358"/>
      <c r="I49" s="304"/>
      <c r="J49" s="312" t="str">
        <f t="shared" si="0"/>
        <v>Property: ReductionRate</v>
      </c>
      <c r="K49" s="305"/>
    </row>
    <row r="50" spans="1:11" x14ac:dyDescent="0.2">
      <c r="A50" s="301"/>
      <c r="B50" s="358" t="s">
        <v>521</v>
      </c>
      <c r="C50" s="358" t="s">
        <v>774</v>
      </c>
      <c r="D50" s="358"/>
      <c r="E50" s="358"/>
      <c r="F50" s="358"/>
      <c r="G50" s="358"/>
      <c r="H50" s="358"/>
      <c r="I50" s="304"/>
      <c r="J50" s="312" t="str">
        <f t="shared" si="0"/>
        <v>Form: Constant</v>
      </c>
      <c r="K50" s="305"/>
    </row>
    <row r="51" spans="1:11" x14ac:dyDescent="0.2">
      <c r="A51" s="301"/>
      <c r="B51" s="358" t="s">
        <v>2</v>
      </c>
      <c r="C51" s="358" t="s">
        <v>859</v>
      </c>
      <c r="D51" s="358"/>
      <c r="E51" s="358"/>
      <c r="F51" s="358"/>
      <c r="G51" s="358"/>
      <c r="H51" s="358"/>
      <c r="I51" s="304"/>
      <c r="J51" s="312" t="str">
        <f t="shared" si="0"/>
        <v>Value: {Divalent Mercury} 0.00000325</v>
      </c>
      <c r="K51" s="305"/>
    </row>
    <row r="52" spans="1:11" x14ac:dyDescent="0.2">
      <c r="A52" s="301"/>
      <c r="B52" s="358" t="s">
        <v>849</v>
      </c>
      <c r="C52" s="358" t="s">
        <v>854</v>
      </c>
      <c r="D52" s="358" t="s">
        <v>850</v>
      </c>
      <c r="E52" s="358"/>
      <c r="F52" s="358"/>
      <c r="G52" s="358"/>
      <c r="H52" s="358"/>
      <c r="I52" s="304"/>
      <c r="J52" s="312" t="str">
        <f t="shared" si="0"/>
        <v>// Description: [[ See other documentation ]]</v>
      </c>
      <c r="K52" s="305"/>
    </row>
    <row r="53" spans="1:11" x14ac:dyDescent="0.2">
      <c r="A53" s="301"/>
      <c r="B53" s="358" t="s">
        <v>851</v>
      </c>
      <c r="C53" s="358" t="s">
        <v>866</v>
      </c>
      <c r="D53" s="358"/>
      <c r="E53" s="358"/>
      <c r="F53" s="358"/>
      <c r="G53" s="358"/>
      <c r="H53" s="358"/>
      <c r="I53" s="304"/>
      <c r="J53" s="312" t="str">
        <f t="shared" si="0"/>
        <v>Compartment:  Soil - Surface in SurfSoil_E2</v>
      </c>
      <c r="K53" s="305"/>
    </row>
    <row r="54" spans="1:11" x14ac:dyDescent="0.2">
      <c r="A54" s="301"/>
      <c r="B54" s="358" t="s">
        <v>519</v>
      </c>
      <c r="C54" s="358" t="s">
        <v>852</v>
      </c>
      <c r="D54" s="358"/>
      <c r="E54" s="358"/>
      <c r="F54" s="358"/>
      <c r="G54" s="358"/>
      <c r="H54" s="358"/>
      <c r="I54" s="304"/>
      <c r="J54" s="312" t="str">
        <f t="shared" si="0"/>
        <v>Property: MethylationRate</v>
      </c>
      <c r="K54" s="305"/>
    </row>
    <row r="55" spans="1:11" x14ac:dyDescent="0.2">
      <c r="A55" s="301"/>
      <c r="B55" s="358" t="s">
        <v>521</v>
      </c>
      <c r="C55" s="358" t="s">
        <v>774</v>
      </c>
      <c r="D55" s="358"/>
      <c r="E55" s="358"/>
      <c r="F55" s="358"/>
      <c r="G55" s="358"/>
      <c r="H55" s="358"/>
      <c r="I55" s="304"/>
      <c r="J55" s="312" t="str">
        <f t="shared" si="0"/>
        <v>Form: Constant</v>
      </c>
      <c r="K55" s="305"/>
    </row>
    <row r="56" spans="1:11" x14ac:dyDescent="0.2">
      <c r="A56" s="301"/>
      <c r="B56" s="358" t="s">
        <v>2</v>
      </c>
      <c r="C56" s="358" t="s">
        <v>853</v>
      </c>
      <c r="D56" s="358"/>
      <c r="E56" s="358"/>
      <c r="F56" s="358"/>
      <c r="G56" s="358"/>
      <c r="H56" s="358"/>
      <c r="I56" s="304"/>
      <c r="J56" s="312" t="str">
        <f t="shared" si="0"/>
        <v>Value: {Divalent Mercury} 0.001</v>
      </c>
      <c r="K56" s="305"/>
    </row>
    <row r="57" spans="1:11" x14ac:dyDescent="0.2">
      <c r="A57" s="301"/>
      <c r="B57" s="358" t="s">
        <v>849</v>
      </c>
      <c r="C57" s="358" t="s">
        <v>854</v>
      </c>
      <c r="D57" s="358" t="s">
        <v>850</v>
      </c>
      <c r="E57" s="358"/>
      <c r="F57" s="358"/>
      <c r="G57" s="358"/>
      <c r="H57" s="358"/>
      <c r="I57" s="304"/>
      <c r="J57" s="312" t="str">
        <f t="shared" si="0"/>
        <v>// Description: [[ See other documentation ]]</v>
      </c>
      <c r="K57" s="305"/>
    </row>
    <row r="58" spans="1:11" x14ac:dyDescent="0.2">
      <c r="A58" s="301"/>
      <c r="B58" s="358" t="s">
        <v>519</v>
      </c>
      <c r="C58" s="358" t="s">
        <v>855</v>
      </c>
      <c r="D58" s="358"/>
      <c r="E58" s="358"/>
      <c r="F58" s="358"/>
      <c r="G58" s="358"/>
      <c r="H58" s="358"/>
      <c r="I58" s="304"/>
      <c r="J58" s="312" t="str">
        <f t="shared" si="0"/>
        <v>Property: DemethylationRate</v>
      </c>
      <c r="K58" s="305"/>
    </row>
    <row r="59" spans="1:11" x14ac:dyDescent="0.2">
      <c r="A59" s="301"/>
      <c r="B59" s="358" t="s">
        <v>521</v>
      </c>
      <c r="C59" s="358" t="s">
        <v>774</v>
      </c>
      <c r="D59" s="358"/>
      <c r="E59" s="358"/>
      <c r="F59" s="358"/>
      <c r="G59" s="358"/>
      <c r="H59" s="358"/>
      <c r="I59" s="304"/>
      <c r="J59" s="312" t="str">
        <f t="shared" si="0"/>
        <v>Form: Constant</v>
      </c>
      <c r="K59" s="305"/>
    </row>
    <row r="60" spans="1:11" x14ac:dyDescent="0.2">
      <c r="A60" s="301"/>
      <c r="B60" s="358" t="s">
        <v>2</v>
      </c>
      <c r="C60" s="358" t="s">
        <v>856</v>
      </c>
      <c r="D60" s="358"/>
      <c r="E60" s="358"/>
      <c r="F60" s="358"/>
      <c r="G60" s="358"/>
      <c r="H60" s="358"/>
      <c r="I60" s="304"/>
      <c r="J60" s="312" t="str">
        <f t="shared" si="0"/>
        <v>Value: {MethylMercury} 0.06</v>
      </c>
      <c r="K60" s="305"/>
    </row>
    <row r="61" spans="1:11" x14ac:dyDescent="0.2">
      <c r="A61" s="301"/>
      <c r="B61" s="358" t="s">
        <v>849</v>
      </c>
      <c r="C61" s="358" t="s">
        <v>854</v>
      </c>
      <c r="D61" s="358" t="s">
        <v>850</v>
      </c>
      <c r="E61" s="358"/>
      <c r="F61" s="358"/>
      <c r="G61" s="358"/>
      <c r="H61" s="358"/>
      <c r="I61" s="304"/>
      <c r="J61" s="312" t="str">
        <f t="shared" si="0"/>
        <v>// Description: [[ See other documentation ]]</v>
      </c>
      <c r="K61" s="305"/>
    </row>
    <row r="62" spans="1:11" x14ac:dyDescent="0.2">
      <c r="A62" s="301"/>
      <c r="B62" s="358" t="s">
        <v>519</v>
      </c>
      <c r="C62" s="358" t="s">
        <v>857</v>
      </c>
      <c r="D62" s="358"/>
      <c r="E62" s="358"/>
      <c r="F62" s="358"/>
      <c r="G62" s="358"/>
      <c r="H62" s="358"/>
      <c r="I62" s="304"/>
      <c r="J62" s="312" t="str">
        <f t="shared" si="0"/>
        <v>Property: ReductionRate</v>
      </c>
      <c r="K62" s="305"/>
    </row>
    <row r="63" spans="1:11" x14ac:dyDescent="0.2">
      <c r="A63" s="301"/>
      <c r="B63" s="358" t="s">
        <v>521</v>
      </c>
      <c r="C63" s="358" t="s">
        <v>774</v>
      </c>
      <c r="D63" s="358"/>
      <c r="E63" s="358"/>
      <c r="F63" s="358"/>
      <c r="G63" s="358"/>
      <c r="H63" s="358"/>
      <c r="I63" s="304"/>
      <c r="J63" s="312" t="str">
        <f t="shared" si="0"/>
        <v>Form: Constant</v>
      </c>
      <c r="K63" s="305"/>
    </row>
    <row r="64" spans="1:11" x14ac:dyDescent="0.2">
      <c r="A64" s="301"/>
      <c r="B64" s="358" t="s">
        <v>2</v>
      </c>
      <c r="C64" s="358" t="s">
        <v>858</v>
      </c>
      <c r="D64" s="358"/>
      <c r="E64" s="358"/>
      <c r="F64" s="358"/>
      <c r="G64" s="358"/>
      <c r="H64" s="358"/>
      <c r="I64" s="304"/>
      <c r="J64" s="312" t="str">
        <f t="shared" si="0"/>
        <v>Value: {Divalent Mercury} 0.0000125</v>
      </c>
      <c r="K64" s="305"/>
    </row>
    <row r="65" spans="1:11" x14ac:dyDescent="0.2">
      <c r="A65" s="301"/>
      <c r="B65" s="358" t="s">
        <v>849</v>
      </c>
      <c r="C65" s="358" t="s">
        <v>854</v>
      </c>
      <c r="D65" s="358" t="s">
        <v>850</v>
      </c>
      <c r="E65" s="358"/>
      <c r="F65" s="358"/>
      <c r="G65" s="358"/>
      <c r="H65" s="358"/>
      <c r="I65" s="304"/>
      <c r="J65" s="312" t="str">
        <f t="shared" si="0"/>
        <v>// Description: [[ See other documentation ]]</v>
      </c>
      <c r="K65" s="305"/>
    </row>
    <row r="66" spans="1:11" x14ac:dyDescent="0.2">
      <c r="A66" s="301"/>
      <c r="B66" s="358" t="s">
        <v>378</v>
      </c>
      <c r="C66" s="358" t="s">
        <v>867</v>
      </c>
      <c r="D66" s="358"/>
      <c r="E66" s="358"/>
      <c r="F66" s="358"/>
      <c r="G66" s="358"/>
      <c r="H66" s="358"/>
      <c r="I66" s="304"/>
      <c r="J66" s="312" t="str">
        <f t="shared" si="0"/>
        <v>Compartment: Soil - Root Zone in RootSoil_E2</v>
      </c>
      <c r="K66" s="305"/>
    </row>
    <row r="67" spans="1:11" x14ac:dyDescent="0.2">
      <c r="A67" s="301"/>
      <c r="B67" s="358" t="s">
        <v>519</v>
      </c>
      <c r="C67" s="358" t="s">
        <v>852</v>
      </c>
      <c r="D67" s="358"/>
      <c r="E67" s="358"/>
      <c r="F67" s="358"/>
      <c r="G67" s="358"/>
      <c r="H67" s="358"/>
      <c r="I67" s="304"/>
      <c r="J67" s="312" t="str">
        <f t="shared" si="0"/>
        <v>Property: MethylationRate</v>
      </c>
      <c r="K67" s="305"/>
    </row>
    <row r="68" spans="1:11" x14ac:dyDescent="0.2">
      <c r="A68" s="301"/>
      <c r="B68" s="358" t="s">
        <v>521</v>
      </c>
      <c r="C68" s="358" t="s">
        <v>774</v>
      </c>
      <c r="D68" s="358"/>
      <c r="E68" s="358"/>
      <c r="F68" s="358"/>
      <c r="G68" s="358"/>
      <c r="H68" s="358"/>
      <c r="I68" s="304"/>
      <c r="J68" s="312" t="str">
        <f t="shared" si="0"/>
        <v>Form: Constant</v>
      </c>
      <c r="K68" s="305"/>
    </row>
    <row r="69" spans="1:11" x14ac:dyDescent="0.2">
      <c r="A69" s="301"/>
      <c r="B69" s="358" t="s">
        <v>2</v>
      </c>
      <c r="C69" s="358" t="s">
        <v>853</v>
      </c>
      <c r="D69" s="358"/>
      <c r="E69" s="358"/>
      <c r="F69" s="358"/>
      <c r="G69" s="358"/>
      <c r="H69" s="358"/>
      <c r="I69" s="304"/>
      <c r="J69" s="312" t="str">
        <f t="shared" ref="J69:J132" si="1">ConcatenateWithSpaces(B69:H69)</f>
        <v>Value: {Divalent Mercury} 0.001</v>
      </c>
      <c r="K69" s="305"/>
    </row>
    <row r="70" spans="1:11" x14ac:dyDescent="0.2">
      <c r="A70" s="301"/>
      <c r="B70" s="358" t="s">
        <v>849</v>
      </c>
      <c r="C70" s="358" t="s">
        <v>854</v>
      </c>
      <c r="D70" s="358" t="s">
        <v>850</v>
      </c>
      <c r="E70" s="358"/>
      <c r="F70" s="358"/>
      <c r="G70" s="358"/>
      <c r="H70" s="358"/>
      <c r="I70" s="304"/>
      <c r="J70" s="312" t="str">
        <f t="shared" si="1"/>
        <v>// Description: [[ See other documentation ]]</v>
      </c>
      <c r="K70" s="305"/>
    </row>
    <row r="71" spans="1:11" x14ac:dyDescent="0.2">
      <c r="A71" s="301"/>
      <c r="B71" s="358" t="s">
        <v>519</v>
      </c>
      <c r="C71" s="358" t="s">
        <v>857</v>
      </c>
      <c r="D71" s="358"/>
      <c r="E71" s="358"/>
      <c r="F71" s="358"/>
      <c r="G71" s="358"/>
      <c r="H71" s="358"/>
      <c r="I71" s="304"/>
      <c r="J71" s="312" t="str">
        <f t="shared" si="1"/>
        <v>Property: ReductionRate</v>
      </c>
      <c r="K71" s="305"/>
    </row>
    <row r="72" spans="1:11" x14ac:dyDescent="0.2">
      <c r="A72" s="301"/>
      <c r="B72" s="358" t="s">
        <v>521</v>
      </c>
      <c r="C72" s="358" t="s">
        <v>774</v>
      </c>
      <c r="D72" s="358"/>
      <c r="E72" s="358"/>
      <c r="F72" s="358"/>
      <c r="G72" s="358"/>
      <c r="H72" s="358"/>
      <c r="I72" s="304"/>
      <c r="J72" s="312" t="str">
        <f t="shared" si="1"/>
        <v>Form: Constant</v>
      </c>
      <c r="K72" s="305"/>
    </row>
    <row r="73" spans="1:11" x14ac:dyDescent="0.2">
      <c r="A73" s="301"/>
      <c r="B73" s="358" t="s">
        <v>2</v>
      </c>
      <c r="C73" s="358" t="s">
        <v>859</v>
      </c>
      <c r="D73" s="358"/>
      <c r="E73" s="358"/>
      <c r="F73" s="358"/>
      <c r="G73" s="358"/>
      <c r="H73" s="358"/>
      <c r="I73" s="304"/>
      <c r="J73" s="312" t="str">
        <f t="shared" si="1"/>
        <v>Value: {Divalent Mercury} 0.00000325</v>
      </c>
      <c r="K73" s="305"/>
    </row>
    <row r="74" spans="1:11" x14ac:dyDescent="0.2">
      <c r="A74" s="301"/>
      <c r="B74" s="358" t="s">
        <v>849</v>
      </c>
      <c r="C74" s="358" t="s">
        <v>854</v>
      </c>
      <c r="D74" s="358" t="s">
        <v>850</v>
      </c>
      <c r="E74" s="358"/>
      <c r="F74" s="358"/>
      <c r="G74" s="358"/>
      <c r="H74" s="358"/>
      <c r="I74" s="304"/>
      <c r="J74" s="312" t="str">
        <f t="shared" si="1"/>
        <v>// Description: [[ See other documentation ]]</v>
      </c>
      <c r="K74" s="305"/>
    </row>
    <row r="75" spans="1:11" x14ac:dyDescent="0.2">
      <c r="A75" s="301"/>
      <c r="B75" s="358" t="s">
        <v>378</v>
      </c>
      <c r="C75" s="358" t="s">
        <v>868</v>
      </c>
      <c r="D75" s="358"/>
      <c r="E75" s="358"/>
      <c r="F75" s="358"/>
      <c r="G75" s="358"/>
      <c r="H75" s="358"/>
      <c r="I75" s="304"/>
      <c r="J75" s="312" t="str">
        <f t="shared" si="1"/>
        <v>Compartment: Soil - Vadose Zone in VadoseSoil_E2</v>
      </c>
      <c r="K75" s="305"/>
    </row>
    <row r="76" spans="1:11" x14ac:dyDescent="0.2">
      <c r="A76" s="301"/>
      <c r="B76" s="358" t="s">
        <v>519</v>
      </c>
      <c r="C76" s="358" t="s">
        <v>852</v>
      </c>
      <c r="D76" s="358"/>
      <c r="E76" s="358"/>
      <c r="F76" s="358"/>
      <c r="G76" s="358"/>
      <c r="H76" s="358"/>
      <c r="I76" s="304"/>
      <c r="J76" s="312" t="str">
        <f t="shared" si="1"/>
        <v>Property: MethylationRate</v>
      </c>
      <c r="K76" s="305"/>
    </row>
    <row r="77" spans="1:11" x14ac:dyDescent="0.2">
      <c r="A77" s="301"/>
      <c r="B77" s="358" t="s">
        <v>521</v>
      </c>
      <c r="C77" s="358" t="s">
        <v>774</v>
      </c>
      <c r="D77" s="358"/>
      <c r="E77" s="358"/>
      <c r="F77" s="358"/>
      <c r="G77" s="358"/>
      <c r="H77" s="358"/>
      <c r="I77" s="304"/>
      <c r="J77" s="312" t="str">
        <f t="shared" si="1"/>
        <v>Form: Constant</v>
      </c>
      <c r="K77" s="305"/>
    </row>
    <row r="78" spans="1:11" x14ac:dyDescent="0.2">
      <c r="A78" s="301"/>
      <c r="B78" s="358" t="s">
        <v>2</v>
      </c>
      <c r="C78" s="358" t="s">
        <v>853</v>
      </c>
      <c r="D78" s="358"/>
      <c r="E78" s="358"/>
      <c r="F78" s="358"/>
      <c r="G78" s="358"/>
      <c r="H78" s="358"/>
      <c r="I78" s="304"/>
      <c r="J78" s="312" t="str">
        <f t="shared" si="1"/>
        <v>Value: {Divalent Mercury} 0.001</v>
      </c>
      <c r="K78" s="305"/>
    </row>
    <row r="79" spans="1:11" x14ac:dyDescent="0.2">
      <c r="A79" s="301"/>
      <c r="B79" s="358" t="s">
        <v>849</v>
      </c>
      <c r="C79" s="358" t="s">
        <v>854</v>
      </c>
      <c r="D79" s="358" t="s">
        <v>850</v>
      </c>
      <c r="E79" s="358"/>
      <c r="F79" s="358"/>
      <c r="G79" s="358"/>
      <c r="H79" s="358"/>
      <c r="I79" s="304"/>
      <c r="J79" s="312" t="str">
        <f t="shared" si="1"/>
        <v>// Description: [[ See other documentation ]]</v>
      </c>
      <c r="K79" s="305"/>
    </row>
    <row r="80" spans="1:11" x14ac:dyDescent="0.2">
      <c r="A80" s="301"/>
      <c r="B80" s="358" t="s">
        <v>519</v>
      </c>
      <c r="C80" s="358" t="s">
        <v>857</v>
      </c>
      <c r="D80" s="358"/>
      <c r="E80" s="358"/>
      <c r="F80" s="358"/>
      <c r="G80" s="358"/>
      <c r="H80" s="358"/>
      <c r="I80" s="304"/>
      <c r="J80" s="312" t="str">
        <f t="shared" si="1"/>
        <v>Property: ReductionRate</v>
      </c>
      <c r="K80" s="305"/>
    </row>
    <row r="81" spans="1:11" x14ac:dyDescent="0.2">
      <c r="A81" s="301"/>
      <c r="B81" s="358" t="s">
        <v>521</v>
      </c>
      <c r="C81" s="358" t="s">
        <v>774</v>
      </c>
      <c r="D81" s="358"/>
      <c r="E81" s="358"/>
      <c r="F81" s="358"/>
      <c r="G81" s="358"/>
      <c r="H81" s="358"/>
      <c r="I81" s="304"/>
      <c r="J81" s="312" t="str">
        <f t="shared" si="1"/>
        <v>Form: Constant</v>
      </c>
      <c r="K81" s="305"/>
    </row>
    <row r="82" spans="1:11" x14ac:dyDescent="0.2">
      <c r="A82" s="301"/>
      <c r="B82" s="358" t="s">
        <v>2</v>
      </c>
      <c r="C82" s="358" t="s">
        <v>859</v>
      </c>
      <c r="D82" s="358"/>
      <c r="E82" s="358"/>
      <c r="F82" s="358"/>
      <c r="G82" s="358"/>
      <c r="H82" s="358"/>
      <c r="I82" s="304"/>
      <c r="J82" s="312" t="str">
        <f t="shared" si="1"/>
        <v>Value: {Divalent Mercury} 0.00000325</v>
      </c>
      <c r="K82" s="305"/>
    </row>
    <row r="83" spans="1:11" x14ac:dyDescent="0.2">
      <c r="A83" s="301"/>
      <c r="B83" s="358" t="s">
        <v>849</v>
      </c>
      <c r="C83" s="358" t="s">
        <v>854</v>
      </c>
      <c r="D83" s="358" t="s">
        <v>850</v>
      </c>
      <c r="E83" s="358"/>
      <c r="F83" s="358"/>
      <c r="G83" s="358"/>
      <c r="H83" s="358"/>
      <c r="I83" s="304"/>
      <c r="J83" s="312" t="str">
        <f t="shared" si="1"/>
        <v>// Description: [[ See other documentation ]]</v>
      </c>
      <c r="K83" s="305"/>
    </row>
    <row r="84" spans="1:11" x14ac:dyDescent="0.2">
      <c r="A84" s="301"/>
      <c r="B84" s="358" t="s">
        <v>851</v>
      </c>
      <c r="C84" s="358" t="s">
        <v>869</v>
      </c>
      <c r="D84" s="358"/>
      <c r="E84" s="358"/>
      <c r="F84" s="358"/>
      <c r="G84" s="358"/>
      <c r="H84" s="358"/>
      <c r="I84" s="304"/>
      <c r="J84" s="312" t="str">
        <f t="shared" si="1"/>
        <v>Compartment:  Soil - Surface in SurfSoil_E3</v>
      </c>
      <c r="K84" s="305"/>
    </row>
    <row r="85" spans="1:11" x14ac:dyDescent="0.2">
      <c r="A85" s="301"/>
      <c r="B85" s="358" t="s">
        <v>519</v>
      </c>
      <c r="C85" s="358" t="s">
        <v>852</v>
      </c>
      <c r="D85" s="358"/>
      <c r="E85" s="358"/>
      <c r="F85" s="358"/>
      <c r="G85" s="358"/>
      <c r="H85" s="358"/>
      <c r="I85" s="304"/>
      <c r="J85" s="312" t="str">
        <f t="shared" si="1"/>
        <v>Property: MethylationRate</v>
      </c>
      <c r="K85" s="305"/>
    </row>
    <row r="86" spans="1:11" x14ac:dyDescent="0.2">
      <c r="A86" s="301"/>
      <c r="B86" s="358" t="s">
        <v>521</v>
      </c>
      <c r="C86" s="358" t="s">
        <v>774</v>
      </c>
      <c r="D86" s="358"/>
      <c r="E86" s="358"/>
      <c r="F86" s="358"/>
      <c r="G86" s="358"/>
      <c r="H86" s="358"/>
      <c r="I86" s="304"/>
      <c r="J86" s="312" t="str">
        <f t="shared" si="1"/>
        <v>Form: Constant</v>
      </c>
      <c r="K86" s="305"/>
    </row>
    <row r="87" spans="1:11" x14ac:dyDescent="0.2">
      <c r="A87" s="301"/>
      <c r="B87" s="358" t="s">
        <v>2</v>
      </c>
      <c r="C87" s="358" t="s">
        <v>853</v>
      </c>
      <c r="D87" s="358"/>
      <c r="E87" s="358"/>
      <c r="F87" s="358"/>
      <c r="G87" s="358"/>
      <c r="H87" s="358"/>
      <c r="I87" s="304"/>
      <c r="J87" s="312" t="str">
        <f t="shared" si="1"/>
        <v>Value: {Divalent Mercury} 0.001</v>
      </c>
      <c r="K87" s="305"/>
    </row>
    <row r="88" spans="1:11" x14ac:dyDescent="0.2">
      <c r="A88" s="301"/>
      <c r="B88" s="358" t="s">
        <v>849</v>
      </c>
      <c r="C88" s="358" t="s">
        <v>854</v>
      </c>
      <c r="D88" s="358" t="s">
        <v>850</v>
      </c>
      <c r="E88" s="358"/>
      <c r="F88" s="358"/>
      <c r="G88" s="358"/>
      <c r="H88" s="358"/>
      <c r="I88" s="304"/>
      <c r="J88" s="312" t="str">
        <f t="shared" si="1"/>
        <v>// Description: [[ See other documentation ]]</v>
      </c>
      <c r="K88" s="305"/>
    </row>
    <row r="89" spans="1:11" x14ac:dyDescent="0.2">
      <c r="A89" s="301"/>
      <c r="B89" s="358" t="s">
        <v>519</v>
      </c>
      <c r="C89" s="358" t="s">
        <v>855</v>
      </c>
      <c r="D89" s="358"/>
      <c r="E89" s="358"/>
      <c r="F89" s="358"/>
      <c r="G89" s="358"/>
      <c r="H89" s="358"/>
      <c r="I89" s="304"/>
      <c r="J89" s="312" t="str">
        <f t="shared" si="1"/>
        <v>Property: DemethylationRate</v>
      </c>
      <c r="K89" s="305"/>
    </row>
    <row r="90" spans="1:11" x14ac:dyDescent="0.2">
      <c r="A90" s="301"/>
      <c r="B90" s="358" t="s">
        <v>521</v>
      </c>
      <c r="C90" s="358" t="s">
        <v>774</v>
      </c>
      <c r="D90" s="358"/>
      <c r="E90" s="358"/>
      <c r="F90" s="358"/>
      <c r="G90" s="358"/>
      <c r="H90" s="358"/>
      <c r="I90" s="304"/>
      <c r="J90" s="312" t="str">
        <f t="shared" si="1"/>
        <v>Form: Constant</v>
      </c>
      <c r="K90" s="305"/>
    </row>
    <row r="91" spans="1:11" x14ac:dyDescent="0.2">
      <c r="A91" s="301"/>
      <c r="B91" s="358" t="s">
        <v>2</v>
      </c>
      <c r="C91" s="358" t="s">
        <v>856</v>
      </c>
      <c r="D91" s="358"/>
      <c r="E91" s="358"/>
      <c r="F91" s="358"/>
      <c r="G91" s="358"/>
      <c r="H91" s="358"/>
      <c r="I91" s="304"/>
      <c r="J91" s="312" t="str">
        <f t="shared" si="1"/>
        <v>Value: {MethylMercury} 0.06</v>
      </c>
      <c r="K91" s="305"/>
    </row>
    <row r="92" spans="1:11" x14ac:dyDescent="0.2">
      <c r="A92" s="301"/>
      <c r="B92" s="358" t="s">
        <v>849</v>
      </c>
      <c r="C92" s="358" t="s">
        <v>854</v>
      </c>
      <c r="D92" s="358" t="s">
        <v>850</v>
      </c>
      <c r="E92" s="358"/>
      <c r="F92" s="358"/>
      <c r="G92" s="358"/>
      <c r="H92" s="358"/>
      <c r="I92" s="304"/>
      <c r="J92" s="312" t="str">
        <f t="shared" si="1"/>
        <v>// Description: [[ See other documentation ]]</v>
      </c>
      <c r="K92" s="305"/>
    </row>
    <row r="93" spans="1:11" x14ac:dyDescent="0.2">
      <c r="A93" s="301"/>
      <c r="B93" s="358" t="s">
        <v>519</v>
      </c>
      <c r="C93" s="358" t="s">
        <v>857</v>
      </c>
      <c r="D93" s="358"/>
      <c r="E93" s="358"/>
      <c r="F93" s="358"/>
      <c r="G93" s="358"/>
      <c r="H93" s="358"/>
      <c r="I93" s="304"/>
      <c r="J93" s="312" t="str">
        <f t="shared" si="1"/>
        <v>Property: ReductionRate</v>
      </c>
      <c r="K93" s="305"/>
    </row>
    <row r="94" spans="1:11" x14ac:dyDescent="0.2">
      <c r="A94" s="301"/>
      <c r="B94" s="358" t="s">
        <v>521</v>
      </c>
      <c r="C94" s="358" t="s">
        <v>774</v>
      </c>
      <c r="D94" s="358"/>
      <c r="E94" s="358"/>
      <c r="F94" s="358"/>
      <c r="G94" s="358"/>
      <c r="H94" s="358"/>
      <c r="I94" s="304"/>
      <c r="J94" s="312" t="str">
        <f t="shared" si="1"/>
        <v>Form: Constant</v>
      </c>
      <c r="K94" s="305"/>
    </row>
    <row r="95" spans="1:11" x14ac:dyDescent="0.2">
      <c r="A95" s="301"/>
      <c r="B95" s="358" t="s">
        <v>2</v>
      </c>
      <c r="C95" s="358" t="s">
        <v>858</v>
      </c>
      <c r="D95" s="358"/>
      <c r="E95" s="358"/>
      <c r="F95" s="358"/>
      <c r="G95" s="358"/>
      <c r="H95" s="358"/>
      <c r="I95" s="304"/>
      <c r="J95" s="312" t="str">
        <f t="shared" si="1"/>
        <v>Value: {Divalent Mercury} 0.0000125</v>
      </c>
      <c r="K95" s="305"/>
    </row>
    <row r="96" spans="1:11" x14ac:dyDescent="0.2">
      <c r="A96" s="301"/>
      <c r="B96" s="358" t="s">
        <v>849</v>
      </c>
      <c r="C96" s="358" t="s">
        <v>854</v>
      </c>
      <c r="D96" s="358" t="s">
        <v>850</v>
      </c>
      <c r="E96" s="358"/>
      <c r="F96" s="358"/>
      <c r="G96" s="358"/>
      <c r="H96" s="358"/>
      <c r="I96" s="304"/>
      <c r="J96" s="312" t="str">
        <f t="shared" si="1"/>
        <v>// Description: [[ See other documentation ]]</v>
      </c>
      <c r="K96" s="305"/>
    </row>
    <row r="97" spans="1:11" x14ac:dyDescent="0.2">
      <c r="A97" s="301"/>
      <c r="B97" s="358" t="s">
        <v>378</v>
      </c>
      <c r="C97" s="358" t="s">
        <v>870</v>
      </c>
      <c r="D97" s="358"/>
      <c r="E97" s="358"/>
      <c r="F97" s="358"/>
      <c r="G97" s="358"/>
      <c r="H97" s="358"/>
      <c r="I97" s="304"/>
      <c r="J97" s="312" t="str">
        <f t="shared" si="1"/>
        <v>Compartment: Soil - Root Zone in RootSoil_E3</v>
      </c>
      <c r="K97" s="305"/>
    </row>
    <row r="98" spans="1:11" x14ac:dyDescent="0.2">
      <c r="A98" s="301"/>
      <c r="B98" s="358" t="s">
        <v>519</v>
      </c>
      <c r="C98" s="358" t="s">
        <v>852</v>
      </c>
      <c r="D98" s="358"/>
      <c r="E98" s="358"/>
      <c r="F98" s="358"/>
      <c r="G98" s="358"/>
      <c r="H98" s="358"/>
      <c r="I98" s="304"/>
      <c r="J98" s="312" t="str">
        <f t="shared" si="1"/>
        <v>Property: MethylationRate</v>
      </c>
      <c r="K98" s="305"/>
    </row>
    <row r="99" spans="1:11" x14ac:dyDescent="0.2">
      <c r="A99" s="301"/>
      <c r="B99" s="358" t="s">
        <v>521</v>
      </c>
      <c r="C99" s="358" t="s">
        <v>774</v>
      </c>
      <c r="D99" s="358"/>
      <c r="E99" s="358"/>
      <c r="F99" s="358"/>
      <c r="G99" s="358"/>
      <c r="H99" s="358"/>
      <c r="I99" s="304"/>
      <c r="J99" s="312" t="str">
        <f t="shared" si="1"/>
        <v>Form: Constant</v>
      </c>
      <c r="K99" s="305"/>
    </row>
    <row r="100" spans="1:11" x14ac:dyDescent="0.2">
      <c r="A100" s="301"/>
      <c r="B100" s="358" t="s">
        <v>2</v>
      </c>
      <c r="C100" s="358" t="s">
        <v>853</v>
      </c>
      <c r="D100" s="358"/>
      <c r="E100" s="358"/>
      <c r="F100" s="358"/>
      <c r="G100" s="358"/>
      <c r="H100" s="358"/>
      <c r="I100" s="304"/>
      <c r="J100" s="312" t="str">
        <f t="shared" si="1"/>
        <v>Value: {Divalent Mercury} 0.001</v>
      </c>
      <c r="K100" s="305"/>
    </row>
    <row r="101" spans="1:11" x14ac:dyDescent="0.2">
      <c r="A101" s="301"/>
      <c r="B101" s="358" t="s">
        <v>849</v>
      </c>
      <c r="C101" s="358" t="s">
        <v>854</v>
      </c>
      <c r="D101" s="358" t="s">
        <v>850</v>
      </c>
      <c r="E101" s="358"/>
      <c r="F101" s="358"/>
      <c r="G101" s="358"/>
      <c r="H101" s="358"/>
      <c r="I101" s="304"/>
      <c r="J101" s="312" t="str">
        <f t="shared" si="1"/>
        <v>// Description: [[ See other documentation ]]</v>
      </c>
      <c r="K101" s="305"/>
    </row>
    <row r="102" spans="1:11" x14ac:dyDescent="0.2">
      <c r="A102" s="301"/>
      <c r="B102" s="358" t="s">
        <v>519</v>
      </c>
      <c r="C102" s="358" t="s">
        <v>857</v>
      </c>
      <c r="D102" s="358"/>
      <c r="E102" s="358"/>
      <c r="F102" s="358"/>
      <c r="G102" s="358"/>
      <c r="H102" s="358"/>
      <c r="I102" s="304"/>
      <c r="J102" s="312" t="str">
        <f t="shared" si="1"/>
        <v>Property: ReductionRate</v>
      </c>
      <c r="K102" s="305"/>
    </row>
    <row r="103" spans="1:11" x14ac:dyDescent="0.2">
      <c r="A103" s="301"/>
      <c r="B103" s="358" t="s">
        <v>521</v>
      </c>
      <c r="C103" s="358" t="s">
        <v>774</v>
      </c>
      <c r="D103" s="358"/>
      <c r="E103" s="358"/>
      <c r="F103" s="358"/>
      <c r="G103" s="358"/>
      <c r="H103" s="358"/>
      <c r="I103" s="304"/>
      <c r="J103" s="312" t="str">
        <f t="shared" si="1"/>
        <v>Form: Constant</v>
      </c>
      <c r="K103" s="305"/>
    </row>
    <row r="104" spans="1:11" x14ac:dyDescent="0.2">
      <c r="A104" s="301"/>
      <c r="B104" s="358" t="s">
        <v>2</v>
      </c>
      <c r="C104" s="358" t="s">
        <v>859</v>
      </c>
      <c r="D104" s="358"/>
      <c r="E104" s="358"/>
      <c r="F104" s="358"/>
      <c r="G104" s="358"/>
      <c r="H104" s="358"/>
      <c r="I104" s="304"/>
      <c r="J104" s="312" t="str">
        <f t="shared" si="1"/>
        <v>Value: {Divalent Mercury} 0.00000325</v>
      </c>
      <c r="K104" s="305"/>
    </row>
    <row r="105" spans="1:11" x14ac:dyDescent="0.2">
      <c r="A105" s="301"/>
      <c r="B105" s="358" t="s">
        <v>849</v>
      </c>
      <c r="C105" s="358" t="s">
        <v>854</v>
      </c>
      <c r="D105" s="358" t="s">
        <v>850</v>
      </c>
      <c r="E105" s="358"/>
      <c r="F105" s="358"/>
      <c r="G105" s="358"/>
      <c r="H105" s="358"/>
      <c r="I105" s="304"/>
      <c r="J105" s="312" t="str">
        <f t="shared" si="1"/>
        <v>// Description: [[ See other documentation ]]</v>
      </c>
      <c r="K105" s="305"/>
    </row>
    <row r="106" spans="1:11" x14ac:dyDescent="0.2">
      <c r="A106" s="301"/>
      <c r="B106" s="358" t="s">
        <v>378</v>
      </c>
      <c r="C106" s="358" t="s">
        <v>871</v>
      </c>
      <c r="D106" s="358"/>
      <c r="E106" s="358"/>
      <c r="F106" s="358"/>
      <c r="G106" s="358"/>
      <c r="H106" s="358"/>
      <c r="I106" s="304"/>
      <c r="J106" s="312" t="str">
        <f t="shared" si="1"/>
        <v>Compartment: Soil - Vadose Zone in VadoseSoil_E3</v>
      </c>
      <c r="K106" s="305"/>
    </row>
    <row r="107" spans="1:11" x14ac:dyDescent="0.2">
      <c r="A107" s="301"/>
      <c r="B107" s="358" t="s">
        <v>519</v>
      </c>
      <c r="C107" s="358" t="s">
        <v>852</v>
      </c>
      <c r="D107" s="358"/>
      <c r="E107" s="358"/>
      <c r="F107" s="358"/>
      <c r="G107" s="358"/>
      <c r="H107" s="358"/>
      <c r="I107" s="304"/>
      <c r="J107" s="312" t="str">
        <f t="shared" si="1"/>
        <v>Property: MethylationRate</v>
      </c>
      <c r="K107" s="305"/>
    </row>
    <row r="108" spans="1:11" x14ac:dyDescent="0.2">
      <c r="A108" s="301"/>
      <c r="B108" s="358" t="s">
        <v>521</v>
      </c>
      <c r="C108" s="358" t="s">
        <v>774</v>
      </c>
      <c r="D108" s="358"/>
      <c r="E108" s="358"/>
      <c r="F108" s="358"/>
      <c r="G108" s="358"/>
      <c r="H108" s="358"/>
      <c r="I108" s="304"/>
      <c r="J108" s="312" t="str">
        <f t="shared" si="1"/>
        <v>Form: Constant</v>
      </c>
      <c r="K108" s="305"/>
    </row>
    <row r="109" spans="1:11" x14ac:dyDescent="0.2">
      <c r="A109" s="301"/>
      <c r="B109" s="358" t="s">
        <v>2</v>
      </c>
      <c r="C109" s="358" t="s">
        <v>853</v>
      </c>
      <c r="D109" s="358"/>
      <c r="E109" s="358"/>
      <c r="F109" s="358"/>
      <c r="G109" s="358"/>
      <c r="H109" s="358"/>
      <c r="I109" s="304"/>
      <c r="J109" s="312" t="str">
        <f t="shared" si="1"/>
        <v>Value: {Divalent Mercury} 0.001</v>
      </c>
      <c r="K109" s="305"/>
    </row>
    <row r="110" spans="1:11" x14ac:dyDescent="0.2">
      <c r="A110" s="301"/>
      <c r="B110" s="358" t="s">
        <v>849</v>
      </c>
      <c r="C110" s="358" t="s">
        <v>854</v>
      </c>
      <c r="D110" s="358" t="s">
        <v>850</v>
      </c>
      <c r="E110" s="358"/>
      <c r="F110" s="358"/>
      <c r="G110" s="358"/>
      <c r="H110" s="358"/>
      <c r="I110" s="304"/>
      <c r="J110" s="312" t="str">
        <f t="shared" si="1"/>
        <v>// Description: [[ See other documentation ]]</v>
      </c>
      <c r="K110" s="305"/>
    </row>
    <row r="111" spans="1:11" x14ac:dyDescent="0.2">
      <c r="A111" s="301"/>
      <c r="B111" s="358" t="s">
        <v>519</v>
      </c>
      <c r="C111" s="358" t="s">
        <v>857</v>
      </c>
      <c r="D111" s="358"/>
      <c r="E111" s="358"/>
      <c r="F111" s="358"/>
      <c r="G111" s="358"/>
      <c r="H111" s="358"/>
      <c r="I111" s="304"/>
      <c r="J111" s="312" t="str">
        <f t="shared" si="1"/>
        <v>Property: ReductionRate</v>
      </c>
      <c r="K111" s="305"/>
    </row>
    <row r="112" spans="1:11" x14ac:dyDescent="0.2">
      <c r="A112" s="301"/>
      <c r="B112" s="358" t="s">
        <v>521</v>
      </c>
      <c r="C112" s="358" t="s">
        <v>774</v>
      </c>
      <c r="D112" s="358"/>
      <c r="E112" s="358"/>
      <c r="F112" s="358"/>
      <c r="G112" s="358"/>
      <c r="H112" s="358"/>
      <c r="I112" s="304"/>
      <c r="J112" s="312" t="str">
        <f t="shared" si="1"/>
        <v>Form: Constant</v>
      </c>
      <c r="K112" s="305"/>
    </row>
    <row r="113" spans="1:11" x14ac:dyDescent="0.2">
      <c r="A113" s="301"/>
      <c r="B113" s="358" t="s">
        <v>2</v>
      </c>
      <c r="C113" s="358" t="s">
        <v>859</v>
      </c>
      <c r="D113" s="358"/>
      <c r="E113" s="358"/>
      <c r="F113" s="358"/>
      <c r="G113" s="358"/>
      <c r="H113" s="358"/>
      <c r="I113" s="304"/>
      <c r="J113" s="312" t="str">
        <f t="shared" si="1"/>
        <v>Value: {Divalent Mercury} 0.00000325</v>
      </c>
      <c r="K113" s="305"/>
    </row>
    <row r="114" spans="1:11" x14ac:dyDescent="0.2">
      <c r="A114" s="301"/>
      <c r="B114" s="358" t="s">
        <v>849</v>
      </c>
      <c r="C114" s="358" t="s">
        <v>854</v>
      </c>
      <c r="D114" s="358" t="s">
        <v>850</v>
      </c>
      <c r="E114" s="358"/>
      <c r="F114" s="358"/>
      <c r="G114" s="358"/>
      <c r="H114" s="358"/>
      <c r="I114" s="304"/>
      <c r="J114" s="312" t="str">
        <f t="shared" si="1"/>
        <v>// Description: [[ See other documentation ]]</v>
      </c>
      <c r="K114" s="305"/>
    </row>
    <row r="115" spans="1:11" x14ac:dyDescent="0.2">
      <c r="A115" s="301"/>
      <c r="B115" s="358" t="s">
        <v>851</v>
      </c>
      <c r="C115" s="358" t="s">
        <v>872</v>
      </c>
      <c r="D115" s="358"/>
      <c r="E115" s="358"/>
      <c r="F115" s="358"/>
      <c r="G115" s="358"/>
      <c r="H115" s="358"/>
      <c r="I115" s="304"/>
      <c r="J115" s="312" t="str">
        <f t="shared" si="1"/>
        <v>Compartment:  Soil - Surface in SurfSoil_N1</v>
      </c>
      <c r="K115" s="305"/>
    </row>
    <row r="116" spans="1:11" x14ac:dyDescent="0.2">
      <c r="A116" s="301"/>
      <c r="B116" s="358" t="s">
        <v>519</v>
      </c>
      <c r="C116" s="358" t="s">
        <v>852</v>
      </c>
      <c r="D116" s="358"/>
      <c r="E116" s="358"/>
      <c r="F116" s="358"/>
      <c r="G116" s="358"/>
      <c r="H116" s="358"/>
      <c r="I116" s="304"/>
      <c r="J116" s="312" t="str">
        <f t="shared" si="1"/>
        <v>Property: MethylationRate</v>
      </c>
      <c r="K116" s="305"/>
    </row>
    <row r="117" spans="1:11" x14ac:dyDescent="0.2">
      <c r="A117" s="301"/>
      <c r="B117" s="358" t="s">
        <v>521</v>
      </c>
      <c r="C117" s="358" t="s">
        <v>774</v>
      </c>
      <c r="D117" s="358"/>
      <c r="E117" s="358"/>
      <c r="F117" s="358"/>
      <c r="G117" s="358"/>
      <c r="H117" s="358"/>
      <c r="I117" s="304"/>
      <c r="J117" s="312" t="str">
        <f t="shared" si="1"/>
        <v>Form: Constant</v>
      </c>
      <c r="K117" s="305"/>
    </row>
    <row r="118" spans="1:11" x14ac:dyDescent="0.2">
      <c r="A118" s="301"/>
      <c r="B118" s="358" t="s">
        <v>2</v>
      </c>
      <c r="C118" s="358" t="s">
        <v>860</v>
      </c>
      <c r="D118" s="358"/>
      <c r="E118" s="358"/>
      <c r="F118" s="358"/>
      <c r="G118" s="358"/>
      <c r="H118" s="358"/>
      <c r="I118" s="304"/>
      <c r="J118" s="312" t="str">
        <f t="shared" si="1"/>
        <v>Value: {Divalent Mercury} 0.003</v>
      </c>
      <c r="K118" s="305"/>
    </row>
    <row r="119" spans="1:11" x14ac:dyDescent="0.2">
      <c r="A119" s="301"/>
      <c r="B119" s="358" t="s">
        <v>849</v>
      </c>
      <c r="C119" s="358" t="s">
        <v>854</v>
      </c>
      <c r="D119" s="358" t="s">
        <v>850</v>
      </c>
      <c r="E119" s="358"/>
      <c r="F119" s="358"/>
      <c r="G119" s="358"/>
      <c r="H119" s="358"/>
      <c r="I119" s="304"/>
      <c r="J119" s="312" t="str">
        <f t="shared" si="1"/>
        <v>// Description: [[ See other documentation ]]</v>
      </c>
      <c r="K119" s="305"/>
    </row>
    <row r="120" spans="1:11" x14ac:dyDescent="0.2">
      <c r="A120" s="301"/>
      <c r="B120" s="358" t="s">
        <v>519</v>
      </c>
      <c r="C120" s="358" t="s">
        <v>855</v>
      </c>
      <c r="D120" s="358"/>
      <c r="E120" s="358"/>
      <c r="F120" s="358"/>
      <c r="G120" s="358"/>
      <c r="H120" s="358"/>
      <c r="I120" s="304"/>
      <c r="J120" s="312" t="str">
        <f t="shared" si="1"/>
        <v>Property: DemethylationRate</v>
      </c>
      <c r="K120" s="305"/>
    </row>
    <row r="121" spans="1:11" x14ac:dyDescent="0.2">
      <c r="A121" s="301"/>
      <c r="B121" s="358" t="s">
        <v>521</v>
      </c>
      <c r="C121" s="358" t="s">
        <v>774</v>
      </c>
      <c r="D121" s="358"/>
      <c r="E121" s="358"/>
      <c r="F121" s="358"/>
      <c r="G121" s="358"/>
      <c r="H121" s="358"/>
      <c r="I121" s="304"/>
      <c r="J121" s="312" t="str">
        <f t="shared" si="1"/>
        <v>Form: Constant</v>
      </c>
      <c r="K121" s="305"/>
    </row>
    <row r="122" spans="1:11" x14ac:dyDescent="0.2">
      <c r="A122" s="301"/>
      <c r="B122" s="358" t="s">
        <v>2</v>
      </c>
      <c r="C122" s="358" t="s">
        <v>861</v>
      </c>
      <c r="D122" s="358"/>
      <c r="E122" s="358"/>
      <c r="F122" s="358"/>
      <c r="G122" s="358"/>
      <c r="H122" s="358"/>
      <c r="I122" s="304"/>
      <c r="J122" s="312" t="str">
        <f t="shared" si="1"/>
        <v>Value: {MethylMercury} 0.05</v>
      </c>
      <c r="K122" s="305"/>
    </row>
    <row r="123" spans="1:11" x14ac:dyDescent="0.2">
      <c r="A123" s="301"/>
      <c r="B123" s="358" t="s">
        <v>849</v>
      </c>
      <c r="C123" s="358" t="s">
        <v>854</v>
      </c>
      <c r="D123" s="358" t="s">
        <v>850</v>
      </c>
      <c r="E123" s="358"/>
      <c r="F123" s="358"/>
      <c r="G123" s="358"/>
      <c r="H123" s="358"/>
      <c r="I123" s="304"/>
      <c r="J123" s="312" t="str">
        <f t="shared" si="1"/>
        <v>// Description: [[ See other documentation ]]</v>
      </c>
      <c r="K123" s="305"/>
    </row>
    <row r="124" spans="1:11" x14ac:dyDescent="0.2">
      <c r="A124" s="301"/>
      <c r="B124" s="358" t="s">
        <v>519</v>
      </c>
      <c r="C124" s="358" t="s">
        <v>857</v>
      </c>
      <c r="D124" s="358"/>
      <c r="E124" s="358"/>
      <c r="F124" s="358"/>
      <c r="G124" s="358"/>
      <c r="H124" s="358"/>
      <c r="I124" s="304"/>
      <c r="J124" s="312" t="str">
        <f t="shared" si="1"/>
        <v>Property: ReductionRate</v>
      </c>
      <c r="K124" s="305"/>
    </row>
    <row r="125" spans="1:11" x14ac:dyDescent="0.2">
      <c r="A125" s="301"/>
      <c r="B125" s="358" t="s">
        <v>521</v>
      </c>
      <c r="C125" s="358" t="s">
        <v>774</v>
      </c>
      <c r="D125" s="358"/>
      <c r="E125" s="358"/>
      <c r="F125" s="358"/>
      <c r="G125" s="358"/>
      <c r="H125" s="358"/>
      <c r="I125" s="304"/>
      <c r="J125" s="312" t="str">
        <f t="shared" si="1"/>
        <v>Form: Constant</v>
      </c>
      <c r="K125" s="305"/>
    </row>
    <row r="126" spans="1:11" x14ac:dyDescent="0.2">
      <c r="A126" s="301"/>
      <c r="B126" s="358" t="s">
        <v>2</v>
      </c>
      <c r="C126" s="358" t="s">
        <v>862</v>
      </c>
      <c r="D126" s="358"/>
      <c r="E126" s="358"/>
      <c r="F126" s="358"/>
      <c r="G126" s="358"/>
      <c r="H126" s="358"/>
      <c r="I126" s="304"/>
      <c r="J126" s="312" t="str">
        <f t="shared" si="1"/>
        <v>Value: {Divalent Mercury} 0.000004</v>
      </c>
      <c r="K126" s="305"/>
    </row>
    <row r="127" spans="1:11" x14ac:dyDescent="0.2">
      <c r="A127" s="301"/>
      <c r="B127" s="358" t="s">
        <v>849</v>
      </c>
      <c r="C127" s="358" t="s">
        <v>854</v>
      </c>
      <c r="D127" s="358" t="s">
        <v>850</v>
      </c>
      <c r="E127" s="358"/>
      <c r="F127" s="358"/>
      <c r="G127" s="358"/>
      <c r="H127" s="358"/>
      <c r="I127" s="304"/>
      <c r="J127" s="312" t="str">
        <f t="shared" si="1"/>
        <v>// Description: [[ See other documentation ]]</v>
      </c>
      <c r="K127" s="305"/>
    </row>
    <row r="128" spans="1:11" x14ac:dyDescent="0.2">
      <c r="A128" s="301"/>
      <c r="B128" s="358" t="s">
        <v>378</v>
      </c>
      <c r="C128" s="358" t="s">
        <v>873</v>
      </c>
      <c r="D128" s="358"/>
      <c r="E128" s="358"/>
      <c r="F128" s="358"/>
      <c r="G128" s="358"/>
      <c r="H128" s="358"/>
      <c r="I128" s="304"/>
      <c r="J128" s="312" t="str">
        <f t="shared" si="1"/>
        <v>Compartment: Soil - Root Zone in RootSoil_N1</v>
      </c>
      <c r="K128" s="305"/>
    </row>
    <row r="129" spans="1:11" x14ac:dyDescent="0.2">
      <c r="A129" s="301"/>
      <c r="B129" s="358" t="s">
        <v>519</v>
      </c>
      <c r="C129" s="358" t="s">
        <v>852</v>
      </c>
      <c r="D129" s="358"/>
      <c r="E129" s="358"/>
      <c r="F129" s="358"/>
      <c r="G129" s="358"/>
      <c r="H129" s="358"/>
      <c r="I129" s="304"/>
      <c r="J129" s="312" t="str">
        <f t="shared" si="1"/>
        <v>Property: MethylationRate</v>
      </c>
      <c r="K129" s="305"/>
    </row>
    <row r="130" spans="1:11" x14ac:dyDescent="0.2">
      <c r="A130" s="301"/>
      <c r="B130" s="358" t="s">
        <v>521</v>
      </c>
      <c r="C130" s="358" t="s">
        <v>774</v>
      </c>
      <c r="D130" s="358"/>
      <c r="E130" s="358"/>
      <c r="F130" s="358"/>
      <c r="G130" s="358"/>
      <c r="H130" s="358"/>
      <c r="I130" s="304"/>
      <c r="J130" s="312" t="str">
        <f t="shared" si="1"/>
        <v>Form: Constant</v>
      </c>
      <c r="K130" s="305"/>
    </row>
    <row r="131" spans="1:11" x14ac:dyDescent="0.2">
      <c r="A131" s="301"/>
      <c r="B131" s="358" t="s">
        <v>2</v>
      </c>
      <c r="C131" s="358" t="s">
        <v>860</v>
      </c>
      <c r="D131" s="358"/>
      <c r="E131" s="358"/>
      <c r="F131" s="358"/>
      <c r="G131" s="358"/>
      <c r="H131" s="358"/>
      <c r="I131" s="304"/>
      <c r="J131" s="312" t="str">
        <f t="shared" si="1"/>
        <v>Value: {Divalent Mercury} 0.003</v>
      </c>
      <c r="K131" s="305"/>
    </row>
    <row r="132" spans="1:11" x14ac:dyDescent="0.2">
      <c r="A132" s="301"/>
      <c r="B132" s="358" t="s">
        <v>849</v>
      </c>
      <c r="C132" s="358" t="s">
        <v>854</v>
      </c>
      <c r="D132" s="358" t="s">
        <v>850</v>
      </c>
      <c r="E132" s="358"/>
      <c r="F132" s="358"/>
      <c r="G132" s="358"/>
      <c r="H132" s="358"/>
      <c r="I132" s="304"/>
      <c r="J132" s="312" t="str">
        <f t="shared" si="1"/>
        <v>// Description: [[ See other documentation ]]</v>
      </c>
      <c r="K132" s="305"/>
    </row>
    <row r="133" spans="1:11" x14ac:dyDescent="0.2">
      <c r="A133" s="301"/>
      <c r="B133" s="358" t="s">
        <v>519</v>
      </c>
      <c r="C133" s="358" t="s">
        <v>857</v>
      </c>
      <c r="D133" s="358"/>
      <c r="E133" s="358"/>
      <c r="F133" s="358"/>
      <c r="G133" s="358"/>
      <c r="H133" s="358"/>
      <c r="I133" s="304"/>
      <c r="J133" s="312" t="str">
        <f t="shared" ref="J133:J196" si="2">ConcatenateWithSpaces(B133:H133)</f>
        <v>Property: ReductionRate</v>
      </c>
      <c r="K133" s="305"/>
    </row>
    <row r="134" spans="1:11" x14ac:dyDescent="0.2">
      <c r="A134" s="301"/>
      <c r="B134" s="358" t="s">
        <v>521</v>
      </c>
      <c r="C134" s="358" t="s">
        <v>774</v>
      </c>
      <c r="D134" s="358"/>
      <c r="E134" s="358"/>
      <c r="F134" s="358"/>
      <c r="G134" s="358"/>
      <c r="H134" s="358"/>
      <c r="I134" s="304"/>
      <c r="J134" s="312" t="str">
        <f t="shared" si="2"/>
        <v>Form: Constant</v>
      </c>
      <c r="K134" s="305"/>
    </row>
    <row r="135" spans="1:11" x14ac:dyDescent="0.2">
      <c r="A135" s="301"/>
      <c r="B135" s="358" t="s">
        <v>2</v>
      </c>
      <c r="C135" s="358" t="s">
        <v>862</v>
      </c>
      <c r="D135" s="358"/>
      <c r="E135" s="358"/>
      <c r="F135" s="358"/>
      <c r="G135" s="358"/>
      <c r="H135" s="358"/>
      <c r="I135" s="304"/>
      <c r="J135" s="312" t="str">
        <f t="shared" si="2"/>
        <v>Value: {Divalent Mercury} 0.000004</v>
      </c>
      <c r="K135" s="305"/>
    </row>
    <row r="136" spans="1:11" x14ac:dyDescent="0.2">
      <c r="A136" s="301"/>
      <c r="B136" s="358" t="s">
        <v>849</v>
      </c>
      <c r="C136" s="358" t="s">
        <v>854</v>
      </c>
      <c r="D136" s="358" t="s">
        <v>850</v>
      </c>
      <c r="E136" s="358"/>
      <c r="F136" s="358"/>
      <c r="G136" s="358"/>
      <c r="H136" s="358"/>
      <c r="I136" s="304"/>
      <c r="J136" s="312" t="str">
        <f t="shared" si="2"/>
        <v>// Description: [[ See other documentation ]]</v>
      </c>
      <c r="K136" s="305"/>
    </row>
    <row r="137" spans="1:11" x14ac:dyDescent="0.2">
      <c r="A137" s="301"/>
      <c r="B137" s="358" t="s">
        <v>378</v>
      </c>
      <c r="C137" s="358" t="s">
        <v>874</v>
      </c>
      <c r="D137" s="358"/>
      <c r="E137" s="358"/>
      <c r="F137" s="358"/>
      <c r="G137" s="358"/>
      <c r="H137" s="358"/>
      <c r="I137" s="304"/>
      <c r="J137" s="312" t="str">
        <f t="shared" si="2"/>
        <v>Compartment: Soil - Vadose Zone in VadoseSoil_N1</v>
      </c>
      <c r="K137" s="305"/>
    </row>
    <row r="138" spans="1:11" x14ac:dyDescent="0.2">
      <c r="A138" s="301"/>
      <c r="B138" s="358" t="s">
        <v>519</v>
      </c>
      <c r="C138" s="358" t="s">
        <v>852</v>
      </c>
      <c r="D138" s="358"/>
      <c r="E138" s="358"/>
      <c r="F138" s="358"/>
      <c r="G138" s="358"/>
      <c r="H138" s="358"/>
      <c r="I138" s="304"/>
      <c r="J138" s="312" t="str">
        <f t="shared" si="2"/>
        <v>Property: MethylationRate</v>
      </c>
      <c r="K138" s="305"/>
    </row>
    <row r="139" spans="1:11" x14ac:dyDescent="0.2">
      <c r="A139" s="301"/>
      <c r="B139" s="358" t="s">
        <v>521</v>
      </c>
      <c r="C139" s="358" t="s">
        <v>774</v>
      </c>
      <c r="D139" s="358"/>
      <c r="E139" s="358"/>
      <c r="F139" s="358"/>
      <c r="G139" s="358"/>
      <c r="H139" s="358"/>
      <c r="I139" s="304"/>
      <c r="J139" s="312" t="str">
        <f t="shared" si="2"/>
        <v>Form: Constant</v>
      </c>
      <c r="K139" s="305"/>
    </row>
    <row r="140" spans="1:11" x14ac:dyDescent="0.2">
      <c r="A140" s="301"/>
      <c r="B140" s="358" t="s">
        <v>2</v>
      </c>
      <c r="C140" s="358" t="s">
        <v>860</v>
      </c>
      <c r="D140" s="358"/>
      <c r="E140" s="358"/>
      <c r="F140" s="358"/>
      <c r="G140" s="358"/>
      <c r="H140" s="358"/>
      <c r="I140" s="304"/>
      <c r="J140" s="312" t="str">
        <f t="shared" si="2"/>
        <v>Value: {Divalent Mercury} 0.003</v>
      </c>
      <c r="K140" s="305"/>
    </row>
    <row r="141" spans="1:11" x14ac:dyDescent="0.2">
      <c r="A141" s="301"/>
      <c r="B141" s="358" t="s">
        <v>849</v>
      </c>
      <c r="C141" s="358" t="s">
        <v>854</v>
      </c>
      <c r="D141" s="358" t="s">
        <v>850</v>
      </c>
      <c r="E141" s="358"/>
      <c r="F141" s="358"/>
      <c r="G141" s="358"/>
      <c r="H141" s="358"/>
      <c r="I141" s="304"/>
      <c r="J141" s="312" t="str">
        <f t="shared" si="2"/>
        <v>// Description: [[ See other documentation ]]</v>
      </c>
      <c r="K141" s="305"/>
    </row>
    <row r="142" spans="1:11" x14ac:dyDescent="0.2">
      <c r="A142" s="301"/>
      <c r="B142" s="358" t="s">
        <v>519</v>
      </c>
      <c r="C142" s="358" t="s">
        <v>857</v>
      </c>
      <c r="D142" s="358"/>
      <c r="E142" s="358"/>
      <c r="F142" s="358"/>
      <c r="G142" s="358"/>
      <c r="H142" s="358"/>
      <c r="I142" s="304"/>
      <c r="J142" s="312" t="str">
        <f t="shared" si="2"/>
        <v>Property: ReductionRate</v>
      </c>
      <c r="K142" s="305"/>
    </row>
    <row r="143" spans="1:11" x14ac:dyDescent="0.2">
      <c r="A143" s="301"/>
      <c r="B143" s="358" t="s">
        <v>521</v>
      </c>
      <c r="C143" s="358" t="s">
        <v>774</v>
      </c>
      <c r="D143" s="358"/>
      <c r="E143" s="358"/>
      <c r="F143" s="358"/>
      <c r="G143" s="358"/>
      <c r="H143" s="358"/>
      <c r="I143" s="304"/>
      <c r="J143" s="312" t="str">
        <f t="shared" si="2"/>
        <v>Form: Constant</v>
      </c>
      <c r="K143" s="305"/>
    </row>
    <row r="144" spans="1:11" x14ac:dyDescent="0.2">
      <c r="A144" s="301"/>
      <c r="B144" s="358" t="s">
        <v>2</v>
      </c>
      <c r="C144" s="358" t="s">
        <v>862</v>
      </c>
      <c r="D144" s="358"/>
      <c r="E144" s="358"/>
      <c r="F144" s="358"/>
      <c r="G144" s="358"/>
      <c r="H144" s="358"/>
      <c r="I144" s="304"/>
      <c r="J144" s="312" t="str">
        <f t="shared" si="2"/>
        <v>Value: {Divalent Mercury} 0.000004</v>
      </c>
      <c r="K144" s="305"/>
    </row>
    <row r="145" spans="1:11" x14ac:dyDescent="0.2">
      <c r="A145" s="301"/>
      <c r="B145" s="358" t="s">
        <v>849</v>
      </c>
      <c r="C145" s="358" t="s">
        <v>854</v>
      </c>
      <c r="D145" s="358" t="s">
        <v>850</v>
      </c>
      <c r="E145" s="358"/>
      <c r="F145" s="358"/>
      <c r="G145" s="358"/>
      <c r="H145" s="358"/>
      <c r="I145" s="304"/>
      <c r="J145" s="312" t="str">
        <f t="shared" si="2"/>
        <v>// Description: [[ See other documentation ]]</v>
      </c>
      <c r="K145" s="305"/>
    </row>
    <row r="146" spans="1:11" x14ac:dyDescent="0.2">
      <c r="A146" s="301"/>
      <c r="B146" s="358" t="s">
        <v>851</v>
      </c>
      <c r="C146" s="358" t="s">
        <v>875</v>
      </c>
      <c r="D146" s="358"/>
      <c r="E146" s="358"/>
      <c r="F146" s="358"/>
      <c r="G146" s="358"/>
      <c r="H146" s="358"/>
      <c r="I146" s="304"/>
      <c r="J146" s="312" t="str">
        <f t="shared" si="2"/>
        <v>Compartment:  Soil - Surface in SurfSoil_N2</v>
      </c>
      <c r="K146" s="305"/>
    </row>
    <row r="147" spans="1:11" x14ac:dyDescent="0.2">
      <c r="A147" s="301"/>
      <c r="B147" s="358" t="s">
        <v>519</v>
      </c>
      <c r="C147" s="358" t="s">
        <v>852</v>
      </c>
      <c r="D147" s="358"/>
      <c r="E147" s="358"/>
      <c r="F147" s="358"/>
      <c r="G147" s="358"/>
      <c r="H147" s="358"/>
      <c r="I147" s="304"/>
      <c r="J147" s="312" t="str">
        <f t="shared" si="2"/>
        <v>Property: MethylationRate</v>
      </c>
      <c r="K147" s="305"/>
    </row>
    <row r="148" spans="1:11" x14ac:dyDescent="0.2">
      <c r="A148" s="301"/>
      <c r="B148" s="358" t="s">
        <v>521</v>
      </c>
      <c r="C148" s="358" t="s">
        <v>774</v>
      </c>
      <c r="D148" s="358"/>
      <c r="E148" s="358"/>
      <c r="F148" s="358"/>
      <c r="G148" s="358"/>
      <c r="H148" s="358"/>
      <c r="I148" s="304"/>
      <c r="J148" s="312" t="str">
        <f t="shared" si="2"/>
        <v>Form: Constant</v>
      </c>
      <c r="K148" s="305"/>
    </row>
    <row r="149" spans="1:11" x14ac:dyDescent="0.2">
      <c r="A149" s="301"/>
      <c r="B149" s="358" t="s">
        <v>2</v>
      </c>
      <c r="C149" s="358" t="s">
        <v>853</v>
      </c>
      <c r="D149" s="358"/>
      <c r="E149" s="358"/>
      <c r="F149" s="358"/>
      <c r="G149" s="358"/>
      <c r="H149" s="358"/>
      <c r="I149" s="304"/>
      <c r="J149" s="312" t="str">
        <f t="shared" si="2"/>
        <v>Value: {Divalent Mercury} 0.001</v>
      </c>
      <c r="K149" s="305"/>
    </row>
    <row r="150" spans="1:11" x14ac:dyDescent="0.2">
      <c r="A150" s="301"/>
      <c r="B150" s="358" t="s">
        <v>849</v>
      </c>
      <c r="C150" s="358" t="s">
        <v>854</v>
      </c>
      <c r="D150" s="358" t="s">
        <v>850</v>
      </c>
      <c r="E150" s="358"/>
      <c r="F150" s="358"/>
      <c r="G150" s="358"/>
      <c r="H150" s="358"/>
      <c r="I150" s="304"/>
      <c r="J150" s="312" t="str">
        <f t="shared" si="2"/>
        <v>// Description: [[ See other documentation ]]</v>
      </c>
      <c r="K150" s="305"/>
    </row>
    <row r="151" spans="1:11" x14ac:dyDescent="0.2">
      <c r="A151" s="301"/>
      <c r="B151" s="358" t="s">
        <v>519</v>
      </c>
      <c r="C151" s="358" t="s">
        <v>855</v>
      </c>
      <c r="D151" s="358"/>
      <c r="E151" s="358"/>
      <c r="F151" s="358"/>
      <c r="G151" s="358"/>
      <c r="H151" s="358"/>
      <c r="I151" s="304"/>
      <c r="J151" s="312" t="str">
        <f t="shared" si="2"/>
        <v>Property: DemethylationRate</v>
      </c>
      <c r="K151" s="305"/>
    </row>
    <row r="152" spans="1:11" x14ac:dyDescent="0.2">
      <c r="A152" s="301"/>
      <c r="B152" s="358" t="s">
        <v>521</v>
      </c>
      <c r="C152" s="358" t="s">
        <v>774</v>
      </c>
      <c r="D152" s="358"/>
      <c r="E152" s="358"/>
      <c r="F152" s="358"/>
      <c r="G152" s="358"/>
      <c r="H152" s="358"/>
      <c r="I152" s="304"/>
      <c r="J152" s="312" t="str">
        <f t="shared" si="2"/>
        <v>Form: Constant</v>
      </c>
      <c r="K152" s="305"/>
    </row>
    <row r="153" spans="1:11" x14ac:dyDescent="0.2">
      <c r="A153" s="301"/>
      <c r="B153" s="358" t="s">
        <v>2</v>
      </c>
      <c r="C153" s="358" t="s">
        <v>856</v>
      </c>
      <c r="D153" s="358"/>
      <c r="E153" s="358"/>
      <c r="F153" s="358"/>
      <c r="G153" s="358"/>
      <c r="H153" s="358"/>
      <c r="I153" s="304"/>
      <c r="J153" s="312" t="str">
        <f t="shared" si="2"/>
        <v>Value: {MethylMercury} 0.06</v>
      </c>
      <c r="K153" s="305"/>
    </row>
    <row r="154" spans="1:11" x14ac:dyDescent="0.2">
      <c r="A154" s="301"/>
      <c r="B154" s="358" t="s">
        <v>849</v>
      </c>
      <c r="C154" s="358" t="s">
        <v>854</v>
      </c>
      <c r="D154" s="358" t="s">
        <v>850</v>
      </c>
      <c r="E154" s="358"/>
      <c r="F154" s="358"/>
      <c r="G154" s="358"/>
      <c r="H154" s="358"/>
      <c r="I154" s="304"/>
      <c r="J154" s="312" t="str">
        <f t="shared" si="2"/>
        <v>// Description: [[ See other documentation ]]</v>
      </c>
      <c r="K154" s="305"/>
    </row>
    <row r="155" spans="1:11" x14ac:dyDescent="0.2">
      <c r="A155" s="301"/>
      <c r="B155" s="358" t="s">
        <v>519</v>
      </c>
      <c r="C155" s="358" t="s">
        <v>857</v>
      </c>
      <c r="D155" s="358"/>
      <c r="E155" s="358"/>
      <c r="F155" s="358"/>
      <c r="G155" s="358"/>
      <c r="H155" s="358"/>
      <c r="I155" s="304"/>
      <c r="J155" s="312" t="str">
        <f t="shared" si="2"/>
        <v>Property: ReductionRate</v>
      </c>
      <c r="K155" s="305"/>
    </row>
    <row r="156" spans="1:11" x14ac:dyDescent="0.2">
      <c r="A156" s="301"/>
      <c r="B156" s="358" t="s">
        <v>521</v>
      </c>
      <c r="C156" s="358" t="s">
        <v>774</v>
      </c>
      <c r="D156" s="358"/>
      <c r="E156" s="358"/>
      <c r="F156" s="358"/>
      <c r="G156" s="358"/>
      <c r="H156" s="358"/>
      <c r="I156" s="304"/>
      <c r="J156" s="312" t="str">
        <f t="shared" si="2"/>
        <v>Form: Constant</v>
      </c>
      <c r="K156" s="305"/>
    </row>
    <row r="157" spans="1:11" x14ac:dyDescent="0.2">
      <c r="A157" s="301"/>
      <c r="B157" s="358" t="s">
        <v>2</v>
      </c>
      <c r="C157" s="358" t="s">
        <v>858</v>
      </c>
      <c r="D157" s="358"/>
      <c r="E157" s="358"/>
      <c r="F157" s="358"/>
      <c r="G157" s="358"/>
      <c r="H157" s="358"/>
      <c r="I157" s="304"/>
      <c r="J157" s="312" t="str">
        <f t="shared" si="2"/>
        <v>Value: {Divalent Mercury} 0.0000125</v>
      </c>
      <c r="K157" s="305"/>
    </row>
    <row r="158" spans="1:11" x14ac:dyDescent="0.2">
      <c r="A158" s="301"/>
      <c r="B158" s="358" t="s">
        <v>849</v>
      </c>
      <c r="C158" s="358" t="s">
        <v>854</v>
      </c>
      <c r="D158" s="358" t="s">
        <v>850</v>
      </c>
      <c r="E158" s="358"/>
      <c r="F158" s="358"/>
      <c r="G158" s="358"/>
      <c r="H158" s="358"/>
      <c r="I158" s="304"/>
      <c r="J158" s="312" t="str">
        <f t="shared" si="2"/>
        <v>// Description: [[ See other documentation ]]</v>
      </c>
      <c r="K158" s="305"/>
    </row>
    <row r="159" spans="1:11" x14ac:dyDescent="0.2">
      <c r="A159" s="301"/>
      <c r="B159" s="358" t="s">
        <v>378</v>
      </c>
      <c r="C159" s="358" t="s">
        <v>876</v>
      </c>
      <c r="D159" s="358"/>
      <c r="E159" s="358"/>
      <c r="F159" s="358"/>
      <c r="G159" s="358"/>
      <c r="H159" s="358"/>
      <c r="I159" s="304"/>
      <c r="J159" s="312" t="str">
        <f t="shared" si="2"/>
        <v>Compartment: Soil - Root Zone in RootSoil_N2</v>
      </c>
      <c r="K159" s="305"/>
    </row>
    <row r="160" spans="1:11" x14ac:dyDescent="0.2">
      <c r="A160" s="301"/>
      <c r="B160" s="358" t="s">
        <v>519</v>
      </c>
      <c r="C160" s="358" t="s">
        <v>852</v>
      </c>
      <c r="D160" s="358"/>
      <c r="E160" s="358"/>
      <c r="F160" s="358"/>
      <c r="G160" s="358"/>
      <c r="H160" s="358"/>
      <c r="I160" s="304"/>
      <c r="J160" s="312" t="str">
        <f t="shared" si="2"/>
        <v>Property: MethylationRate</v>
      </c>
      <c r="K160" s="305"/>
    </row>
    <row r="161" spans="1:11" x14ac:dyDescent="0.2">
      <c r="A161" s="301"/>
      <c r="B161" s="358" t="s">
        <v>521</v>
      </c>
      <c r="C161" s="358" t="s">
        <v>774</v>
      </c>
      <c r="D161" s="358"/>
      <c r="E161" s="358"/>
      <c r="F161" s="358"/>
      <c r="G161" s="358"/>
      <c r="H161" s="358"/>
      <c r="I161" s="304"/>
      <c r="J161" s="312" t="str">
        <f t="shared" si="2"/>
        <v>Form: Constant</v>
      </c>
      <c r="K161" s="305"/>
    </row>
    <row r="162" spans="1:11" x14ac:dyDescent="0.2">
      <c r="A162" s="301"/>
      <c r="B162" s="358" t="s">
        <v>2</v>
      </c>
      <c r="C162" s="358" t="s">
        <v>853</v>
      </c>
      <c r="D162" s="358"/>
      <c r="E162" s="358"/>
      <c r="F162" s="358"/>
      <c r="G162" s="358"/>
      <c r="H162" s="358"/>
      <c r="I162" s="304"/>
      <c r="J162" s="312" t="str">
        <f t="shared" si="2"/>
        <v>Value: {Divalent Mercury} 0.001</v>
      </c>
      <c r="K162" s="305"/>
    </row>
    <row r="163" spans="1:11" x14ac:dyDescent="0.2">
      <c r="A163" s="301"/>
      <c r="B163" s="358" t="s">
        <v>849</v>
      </c>
      <c r="C163" s="358" t="s">
        <v>854</v>
      </c>
      <c r="D163" s="358" t="s">
        <v>850</v>
      </c>
      <c r="E163" s="358"/>
      <c r="F163" s="358"/>
      <c r="G163" s="358"/>
      <c r="H163" s="358"/>
      <c r="I163" s="304"/>
      <c r="J163" s="312" t="str">
        <f t="shared" si="2"/>
        <v>// Description: [[ See other documentation ]]</v>
      </c>
      <c r="K163" s="305"/>
    </row>
    <row r="164" spans="1:11" x14ac:dyDescent="0.2">
      <c r="A164" s="301"/>
      <c r="B164" s="358" t="s">
        <v>519</v>
      </c>
      <c r="C164" s="358" t="s">
        <v>857</v>
      </c>
      <c r="D164" s="358"/>
      <c r="E164" s="358"/>
      <c r="F164" s="358"/>
      <c r="G164" s="358"/>
      <c r="H164" s="358"/>
      <c r="I164" s="304"/>
      <c r="J164" s="312" t="str">
        <f t="shared" si="2"/>
        <v>Property: ReductionRate</v>
      </c>
      <c r="K164" s="305"/>
    </row>
    <row r="165" spans="1:11" x14ac:dyDescent="0.2">
      <c r="A165" s="301"/>
      <c r="B165" s="358" t="s">
        <v>521</v>
      </c>
      <c r="C165" s="358" t="s">
        <v>774</v>
      </c>
      <c r="D165" s="358"/>
      <c r="E165" s="358"/>
      <c r="F165" s="358"/>
      <c r="G165" s="358"/>
      <c r="H165" s="358"/>
      <c r="I165" s="304"/>
      <c r="J165" s="312" t="str">
        <f t="shared" si="2"/>
        <v>Form: Constant</v>
      </c>
      <c r="K165" s="305"/>
    </row>
    <row r="166" spans="1:11" x14ac:dyDescent="0.2">
      <c r="A166" s="301"/>
      <c r="B166" s="358" t="s">
        <v>2</v>
      </c>
      <c r="C166" s="358" t="s">
        <v>859</v>
      </c>
      <c r="D166" s="358"/>
      <c r="E166" s="358"/>
      <c r="F166" s="358"/>
      <c r="G166" s="358"/>
      <c r="H166" s="358"/>
      <c r="I166" s="304"/>
      <c r="J166" s="312" t="str">
        <f t="shared" si="2"/>
        <v>Value: {Divalent Mercury} 0.00000325</v>
      </c>
      <c r="K166" s="305"/>
    </row>
    <row r="167" spans="1:11" x14ac:dyDescent="0.2">
      <c r="A167" s="301"/>
      <c r="B167" s="358" t="s">
        <v>849</v>
      </c>
      <c r="C167" s="358" t="s">
        <v>854</v>
      </c>
      <c r="D167" s="358" t="s">
        <v>850</v>
      </c>
      <c r="E167" s="358"/>
      <c r="F167" s="358"/>
      <c r="G167" s="358"/>
      <c r="H167" s="358"/>
      <c r="I167" s="304"/>
      <c r="J167" s="312" t="str">
        <f t="shared" si="2"/>
        <v>// Description: [[ See other documentation ]]</v>
      </c>
      <c r="K167" s="305"/>
    </row>
    <row r="168" spans="1:11" x14ac:dyDescent="0.2">
      <c r="A168" s="301"/>
      <c r="B168" s="358" t="s">
        <v>378</v>
      </c>
      <c r="C168" s="358" t="s">
        <v>877</v>
      </c>
      <c r="D168" s="358"/>
      <c r="E168" s="358"/>
      <c r="F168" s="358"/>
      <c r="G168" s="358"/>
      <c r="H168" s="358"/>
      <c r="I168" s="304"/>
      <c r="J168" s="312" t="str">
        <f t="shared" si="2"/>
        <v>Compartment: Soil - Vadose Zone in VadoseSoil_N2</v>
      </c>
      <c r="K168" s="305"/>
    </row>
    <row r="169" spans="1:11" x14ac:dyDescent="0.2">
      <c r="A169" s="301"/>
      <c r="B169" s="358" t="s">
        <v>519</v>
      </c>
      <c r="C169" s="358" t="s">
        <v>852</v>
      </c>
      <c r="D169" s="358"/>
      <c r="E169" s="358"/>
      <c r="F169" s="358"/>
      <c r="G169" s="358"/>
      <c r="H169" s="358"/>
      <c r="I169" s="304"/>
      <c r="J169" s="312" t="str">
        <f t="shared" si="2"/>
        <v>Property: MethylationRate</v>
      </c>
      <c r="K169" s="305"/>
    </row>
    <row r="170" spans="1:11" x14ac:dyDescent="0.2">
      <c r="A170" s="301"/>
      <c r="B170" s="358" t="s">
        <v>521</v>
      </c>
      <c r="C170" s="358" t="s">
        <v>774</v>
      </c>
      <c r="D170" s="358"/>
      <c r="E170" s="358"/>
      <c r="F170" s="358"/>
      <c r="G170" s="358"/>
      <c r="H170" s="358"/>
      <c r="I170" s="304"/>
      <c r="J170" s="312" t="str">
        <f t="shared" si="2"/>
        <v>Form: Constant</v>
      </c>
      <c r="K170" s="305"/>
    </row>
    <row r="171" spans="1:11" x14ac:dyDescent="0.2">
      <c r="A171" s="301"/>
      <c r="B171" s="358" t="s">
        <v>2</v>
      </c>
      <c r="C171" s="358" t="s">
        <v>853</v>
      </c>
      <c r="D171" s="358"/>
      <c r="E171" s="358"/>
      <c r="F171" s="358"/>
      <c r="G171" s="358"/>
      <c r="H171" s="358"/>
      <c r="I171" s="304"/>
      <c r="J171" s="312" t="str">
        <f t="shared" si="2"/>
        <v>Value: {Divalent Mercury} 0.001</v>
      </c>
      <c r="K171" s="305"/>
    </row>
    <row r="172" spans="1:11" x14ac:dyDescent="0.2">
      <c r="A172" s="301"/>
      <c r="B172" s="358" t="s">
        <v>849</v>
      </c>
      <c r="C172" s="358" t="s">
        <v>854</v>
      </c>
      <c r="D172" s="358" t="s">
        <v>850</v>
      </c>
      <c r="E172" s="358"/>
      <c r="F172" s="358"/>
      <c r="G172" s="358"/>
      <c r="H172" s="358"/>
      <c r="I172" s="304"/>
      <c r="J172" s="312" t="str">
        <f t="shared" si="2"/>
        <v>// Description: [[ See other documentation ]]</v>
      </c>
      <c r="K172" s="305"/>
    </row>
    <row r="173" spans="1:11" x14ac:dyDescent="0.2">
      <c r="A173" s="301"/>
      <c r="B173" s="358" t="s">
        <v>519</v>
      </c>
      <c r="C173" s="358" t="s">
        <v>857</v>
      </c>
      <c r="D173" s="358"/>
      <c r="E173" s="358"/>
      <c r="F173" s="358"/>
      <c r="G173" s="358"/>
      <c r="H173" s="358"/>
      <c r="I173" s="304"/>
      <c r="J173" s="312" t="str">
        <f t="shared" si="2"/>
        <v>Property: ReductionRate</v>
      </c>
      <c r="K173" s="305"/>
    </row>
    <row r="174" spans="1:11" x14ac:dyDescent="0.2">
      <c r="A174" s="301"/>
      <c r="B174" s="358" t="s">
        <v>521</v>
      </c>
      <c r="C174" s="358" t="s">
        <v>774</v>
      </c>
      <c r="D174" s="358"/>
      <c r="E174" s="358"/>
      <c r="F174" s="358"/>
      <c r="G174" s="358"/>
      <c r="H174" s="358"/>
      <c r="I174" s="304"/>
      <c r="J174" s="312" t="str">
        <f t="shared" si="2"/>
        <v>Form: Constant</v>
      </c>
      <c r="K174" s="305"/>
    </row>
    <row r="175" spans="1:11" x14ac:dyDescent="0.2">
      <c r="A175" s="301"/>
      <c r="B175" s="358" t="s">
        <v>2</v>
      </c>
      <c r="C175" s="358" t="s">
        <v>859</v>
      </c>
      <c r="D175" s="358"/>
      <c r="E175" s="358"/>
      <c r="F175" s="358"/>
      <c r="G175" s="358"/>
      <c r="H175" s="358"/>
      <c r="I175" s="304"/>
      <c r="J175" s="312" t="str">
        <f t="shared" si="2"/>
        <v>Value: {Divalent Mercury} 0.00000325</v>
      </c>
      <c r="K175" s="305"/>
    </row>
    <row r="176" spans="1:11" x14ac:dyDescent="0.2">
      <c r="A176" s="301"/>
      <c r="B176" s="358" t="s">
        <v>849</v>
      </c>
      <c r="C176" s="358" t="s">
        <v>854</v>
      </c>
      <c r="D176" s="358" t="s">
        <v>850</v>
      </c>
      <c r="E176" s="358"/>
      <c r="F176" s="358"/>
      <c r="G176" s="358"/>
      <c r="H176" s="358"/>
      <c r="I176" s="304"/>
      <c r="J176" s="312" t="str">
        <f t="shared" si="2"/>
        <v>// Description: [[ See other documentation ]]</v>
      </c>
      <c r="K176" s="305"/>
    </row>
    <row r="177" spans="1:11" x14ac:dyDescent="0.2">
      <c r="A177" s="301"/>
      <c r="B177" s="358" t="s">
        <v>851</v>
      </c>
      <c r="C177" s="358" t="s">
        <v>878</v>
      </c>
      <c r="D177" s="358"/>
      <c r="E177" s="358"/>
      <c r="F177" s="358"/>
      <c r="G177" s="358"/>
      <c r="H177" s="358"/>
      <c r="I177" s="304"/>
      <c r="J177" s="312" t="str">
        <f t="shared" si="2"/>
        <v>Compartment:  Soil - Surface in SurfSoil_NE1</v>
      </c>
      <c r="K177" s="305"/>
    </row>
    <row r="178" spans="1:11" x14ac:dyDescent="0.2">
      <c r="A178" s="301"/>
      <c r="B178" s="358" t="s">
        <v>519</v>
      </c>
      <c r="C178" s="358" t="s">
        <v>852</v>
      </c>
      <c r="D178" s="358"/>
      <c r="E178" s="358"/>
      <c r="F178" s="358"/>
      <c r="G178" s="358"/>
      <c r="H178" s="358"/>
      <c r="I178" s="304"/>
      <c r="J178" s="312" t="str">
        <f t="shared" si="2"/>
        <v>Property: MethylationRate</v>
      </c>
      <c r="K178" s="305"/>
    </row>
    <row r="179" spans="1:11" x14ac:dyDescent="0.2">
      <c r="A179" s="301"/>
      <c r="B179" s="358" t="s">
        <v>521</v>
      </c>
      <c r="C179" s="358" t="s">
        <v>774</v>
      </c>
      <c r="D179" s="358"/>
      <c r="E179" s="358"/>
      <c r="F179" s="358"/>
      <c r="G179" s="358"/>
      <c r="H179" s="358"/>
      <c r="I179" s="304"/>
      <c r="J179" s="312" t="str">
        <f t="shared" si="2"/>
        <v>Form: Constant</v>
      </c>
      <c r="K179" s="305"/>
    </row>
    <row r="180" spans="1:11" x14ac:dyDescent="0.2">
      <c r="A180" s="301"/>
      <c r="B180" s="358" t="s">
        <v>2</v>
      </c>
      <c r="C180" s="358" t="s">
        <v>853</v>
      </c>
      <c r="D180" s="358"/>
      <c r="E180" s="358"/>
      <c r="F180" s="358"/>
      <c r="G180" s="358"/>
      <c r="H180" s="358"/>
      <c r="I180" s="304"/>
      <c r="J180" s="312" t="str">
        <f t="shared" si="2"/>
        <v>Value: {Divalent Mercury} 0.001</v>
      </c>
      <c r="K180" s="305"/>
    </row>
    <row r="181" spans="1:11" x14ac:dyDescent="0.2">
      <c r="A181" s="301"/>
      <c r="B181" s="358" t="s">
        <v>849</v>
      </c>
      <c r="C181" s="358" t="s">
        <v>854</v>
      </c>
      <c r="D181" s="358" t="s">
        <v>850</v>
      </c>
      <c r="E181" s="358"/>
      <c r="F181" s="358"/>
      <c r="G181" s="358"/>
      <c r="H181" s="358"/>
      <c r="I181" s="304"/>
      <c r="J181" s="312" t="str">
        <f t="shared" si="2"/>
        <v>// Description: [[ See other documentation ]]</v>
      </c>
      <c r="K181" s="305"/>
    </row>
    <row r="182" spans="1:11" x14ac:dyDescent="0.2">
      <c r="A182" s="301"/>
      <c r="B182" s="358" t="s">
        <v>519</v>
      </c>
      <c r="C182" s="358" t="s">
        <v>855</v>
      </c>
      <c r="D182" s="358"/>
      <c r="E182" s="358"/>
      <c r="F182" s="358"/>
      <c r="G182" s="358"/>
      <c r="H182" s="358"/>
      <c r="I182" s="304"/>
      <c r="J182" s="312" t="str">
        <f t="shared" si="2"/>
        <v>Property: DemethylationRate</v>
      </c>
      <c r="K182" s="305"/>
    </row>
    <row r="183" spans="1:11" x14ac:dyDescent="0.2">
      <c r="A183" s="301"/>
      <c r="B183" s="358" t="s">
        <v>521</v>
      </c>
      <c r="C183" s="358" t="s">
        <v>774</v>
      </c>
      <c r="D183" s="358"/>
      <c r="E183" s="358"/>
      <c r="F183" s="358"/>
      <c r="G183" s="358"/>
      <c r="H183" s="358"/>
      <c r="I183" s="304"/>
      <c r="J183" s="312" t="str">
        <f t="shared" si="2"/>
        <v>Form: Constant</v>
      </c>
      <c r="K183" s="305"/>
    </row>
    <row r="184" spans="1:11" x14ac:dyDescent="0.2">
      <c r="A184" s="301"/>
      <c r="B184" s="358" t="s">
        <v>2</v>
      </c>
      <c r="C184" s="358" t="s">
        <v>856</v>
      </c>
      <c r="D184" s="358"/>
      <c r="E184" s="358"/>
      <c r="F184" s="358"/>
      <c r="G184" s="358"/>
      <c r="H184" s="358"/>
      <c r="I184" s="304"/>
      <c r="J184" s="312" t="str">
        <f t="shared" si="2"/>
        <v>Value: {MethylMercury} 0.06</v>
      </c>
      <c r="K184" s="305"/>
    </row>
    <row r="185" spans="1:11" x14ac:dyDescent="0.2">
      <c r="A185" s="301"/>
      <c r="B185" s="358" t="s">
        <v>849</v>
      </c>
      <c r="C185" s="358" t="s">
        <v>854</v>
      </c>
      <c r="D185" s="358" t="s">
        <v>850</v>
      </c>
      <c r="E185" s="358"/>
      <c r="F185" s="358"/>
      <c r="G185" s="358"/>
      <c r="H185" s="358"/>
      <c r="I185" s="304"/>
      <c r="J185" s="312" t="str">
        <f t="shared" si="2"/>
        <v>// Description: [[ See other documentation ]]</v>
      </c>
      <c r="K185" s="305"/>
    </row>
    <row r="186" spans="1:11" x14ac:dyDescent="0.2">
      <c r="A186" s="301"/>
      <c r="B186" s="358" t="s">
        <v>519</v>
      </c>
      <c r="C186" s="358" t="s">
        <v>857</v>
      </c>
      <c r="D186" s="358"/>
      <c r="E186" s="358"/>
      <c r="F186" s="358"/>
      <c r="G186" s="358"/>
      <c r="H186" s="358"/>
      <c r="I186" s="304"/>
      <c r="J186" s="312" t="str">
        <f t="shared" si="2"/>
        <v>Property: ReductionRate</v>
      </c>
      <c r="K186" s="305"/>
    </row>
    <row r="187" spans="1:11" x14ac:dyDescent="0.2">
      <c r="A187" s="301"/>
      <c r="B187" s="358" t="s">
        <v>521</v>
      </c>
      <c r="C187" s="358" t="s">
        <v>774</v>
      </c>
      <c r="D187" s="358"/>
      <c r="E187" s="358"/>
      <c r="F187" s="358"/>
      <c r="G187" s="358"/>
      <c r="H187" s="358"/>
      <c r="I187" s="304"/>
      <c r="J187" s="312" t="str">
        <f t="shared" si="2"/>
        <v>Form: Constant</v>
      </c>
      <c r="K187" s="305"/>
    </row>
    <row r="188" spans="1:11" x14ac:dyDescent="0.2">
      <c r="A188" s="301"/>
      <c r="B188" s="358" t="s">
        <v>2</v>
      </c>
      <c r="C188" s="358" t="s">
        <v>858</v>
      </c>
      <c r="D188" s="358"/>
      <c r="E188" s="358"/>
      <c r="F188" s="358"/>
      <c r="G188" s="358"/>
      <c r="H188" s="358"/>
      <c r="I188" s="304"/>
      <c r="J188" s="312" t="str">
        <f t="shared" si="2"/>
        <v>Value: {Divalent Mercury} 0.0000125</v>
      </c>
      <c r="K188" s="305"/>
    </row>
    <row r="189" spans="1:11" x14ac:dyDescent="0.2">
      <c r="A189" s="301"/>
      <c r="B189" s="358" t="s">
        <v>849</v>
      </c>
      <c r="C189" s="358" t="s">
        <v>854</v>
      </c>
      <c r="D189" s="358" t="s">
        <v>850</v>
      </c>
      <c r="E189" s="358"/>
      <c r="F189" s="358"/>
      <c r="G189" s="358"/>
      <c r="H189" s="358"/>
      <c r="I189" s="304"/>
      <c r="J189" s="312" t="str">
        <f t="shared" si="2"/>
        <v>// Description: [[ See other documentation ]]</v>
      </c>
      <c r="K189" s="305"/>
    </row>
    <row r="190" spans="1:11" x14ac:dyDescent="0.2">
      <c r="A190" s="301"/>
      <c r="B190" s="358" t="s">
        <v>378</v>
      </c>
      <c r="C190" s="358" t="s">
        <v>879</v>
      </c>
      <c r="D190" s="358"/>
      <c r="E190" s="358"/>
      <c r="F190" s="358"/>
      <c r="G190" s="358"/>
      <c r="H190" s="358"/>
      <c r="I190" s="304"/>
      <c r="J190" s="312" t="str">
        <f t="shared" si="2"/>
        <v>Compartment: Soil - Root Zone in RootSoil_NE1</v>
      </c>
      <c r="K190" s="305"/>
    </row>
    <row r="191" spans="1:11" x14ac:dyDescent="0.2">
      <c r="A191" s="301"/>
      <c r="B191" s="358" t="s">
        <v>519</v>
      </c>
      <c r="C191" s="358" t="s">
        <v>852</v>
      </c>
      <c r="D191" s="358"/>
      <c r="E191" s="358"/>
      <c r="F191" s="358"/>
      <c r="G191" s="358"/>
      <c r="H191" s="358"/>
      <c r="I191" s="304"/>
      <c r="J191" s="312" t="str">
        <f t="shared" si="2"/>
        <v>Property: MethylationRate</v>
      </c>
      <c r="K191" s="305"/>
    </row>
    <row r="192" spans="1:11" x14ac:dyDescent="0.2">
      <c r="A192" s="301"/>
      <c r="B192" s="358" t="s">
        <v>521</v>
      </c>
      <c r="C192" s="358" t="s">
        <v>774</v>
      </c>
      <c r="D192" s="358"/>
      <c r="E192" s="358"/>
      <c r="F192" s="358"/>
      <c r="G192" s="358"/>
      <c r="H192" s="358"/>
      <c r="I192" s="304"/>
      <c r="J192" s="312" t="str">
        <f t="shared" si="2"/>
        <v>Form: Constant</v>
      </c>
      <c r="K192" s="305"/>
    </row>
    <row r="193" spans="1:11" x14ac:dyDescent="0.2">
      <c r="A193" s="301"/>
      <c r="B193" s="358" t="s">
        <v>2</v>
      </c>
      <c r="C193" s="358" t="s">
        <v>853</v>
      </c>
      <c r="D193" s="358"/>
      <c r="E193" s="358"/>
      <c r="F193" s="358"/>
      <c r="G193" s="358"/>
      <c r="H193" s="358"/>
      <c r="I193" s="304"/>
      <c r="J193" s="312" t="str">
        <f t="shared" si="2"/>
        <v>Value: {Divalent Mercury} 0.001</v>
      </c>
      <c r="K193" s="305"/>
    </row>
    <row r="194" spans="1:11" x14ac:dyDescent="0.2">
      <c r="A194" s="301"/>
      <c r="B194" s="358" t="s">
        <v>849</v>
      </c>
      <c r="C194" s="358" t="s">
        <v>854</v>
      </c>
      <c r="D194" s="358" t="s">
        <v>850</v>
      </c>
      <c r="E194" s="358"/>
      <c r="F194" s="358"/>
      <c r="G194" s="358"/>
      <c r="H194" s="358"/>
      <c r="I194" s="304"/>
      <c r="J194" s="312" t="str">
        <f t="shared" si="2"/>
        <v>// Description: [[ See other documentation ]]</v>
      </c>
      <c r="K194" s="305"/>
    </row>
    <row r="195" spans="1:11" x14ac:dyDescent="0.2">
      <c r="A195" s="301"/>
      <c r="B195" s="358" t="s">
        <v>519</v>
      </c>
      <c r="C195" s="358" t="s">
        <v>857</v>
      </c>
      <c r="D195" s="358"/>
      <c r="E195" s="358"/>
      <c r="F195" s="358"/>
      <c r="G195" s="358"/>
      <c r="H195" s="358"/>
      <c r="I195" s="304"/>
      <c r="J195" s="312" t="str">
        <f t="shared" si="2"/>
        <v>Property: ReductionRate</v>
      </c>
      <c r="K195" s="305"/>
    </row>
    <row r="196" spans="1:11" x14ac:dyDescent="0.2">
      <c r="A196" s="301"/>
      <c r="B196" s="358" t="s">
        <v>521</v>
      </c>
      <c r="C196" s="358" t="s">
        <v>774</v>
      </c>
      <c r="D196" s="358"/>
      <c r="E196" s="358"/>
      <c r="F196" s="358"/>
      <c r="G196" s="358"/>
      <c r="H196" s="358"/>
      <c r="I196" s="304"/>
      <c r="J196" s="312" t="str">
        <f t="shared" si="2"/>
        <v>Form: Constant</v>
      </c>
      <c r="K196" s="305"/>
    </row>
    <row r="197" spans="1:11" x14ac:dyDescent="0.2">
      <c r="A197" s="301"/>
      <c r="B197" s="358" t="s">
        <v>2</v>
      </c>
      <c r="C197" s="358" t="s">
        <v>859</v>
      </c>
      <c r="D197" s="358"/>
      <c r="E197" s="358"/>
      <c r="F197" s="358"/>
      <c r="G197" s="358"/>
      <c r="H197" s="358"/>
      <c r="I197" s="304"/>
      <c r="J197" s="312" t="str">
        <f t="shared" ref="J197:J260" si="3">ConcatenateWithSpaces(B197:H197)</f>
        <v>Value: {Divalent Mercury} 0.00000325</v>
      </c>
      <c r="K197" s="305"/>
    </row>
    <row r="198" spans="1:11" x14ac:dyDescent="0.2">
      <c r="A198" s="301"/>
      <c r="B198" s="358" t="s">
        <v>849</v>
      </c>
      <c r="C198" s="358" t="s">
        <v>854</v>
      </c>
      <c r="D198" s="358" t="s">
        <v>850</v>
      </c>
      <c r="E198" s="358"/>
      <c r="F198" s="358"/>
      <c r="G198" s="358"/>
      <c r="H198" s="358"/>
      <c r="I198" s="304"/>
      <c r="J198" s="312" t="str">
        <f t="shared" si="3"/>
        <v>// Description: [[ See other documentation ]]</v>
      </c>
      <c r="K198" s="305"/>
    </row>
    <row r="199" spans="1:11" x14ac:dyDescent="0.2">
      <c r="A199" s="301"/>
      <c r="B199" s="358" t="s">
        <v>378</v>
      </c>
      <c r="C199" s="358" t="s">
        <v>880</v>
      </c>
      <c r="D199" s="358"/>
      <c r="E199" s="358"/>
      <c r="F199" s="358"/>
      <c r="G199" s="358"/>
      <c r="H199" s="358"/>
      <c r="I199" s="304"/>
      <c r="J199" s="312" t="str">
        <f t="shared" si="3"/>
        <v>Compartment: Soil - Vadose Zone in VadoseSoil_NE1</v>
      </c>
      <c r="K199" s="305"/>
    </row>
    <row r="200" spans="1:11" x14ac:dyDescent="0.2">
      <c r="A200" s="301"/>
      <c r="B200" s="358" t="s">
        <v>519</v>
      </c>
      <c r="C200" s="358" t="s">
        <v>852</v>
      </c>
      <c r="D200" s="358"/>
      <c r="E200" s="358"/>
      <c r="F200" s="358"/>
      <c r="G200" s="358"/>
      <c r="H200" s="358"/>
      <c r="I200" s="304"/>
      <c r="J200" s="312" t="str">
        <f t="shared" si="3"/>
        <v>Property: MethylationRate</v>
      </c>
      <c r="K200" s="305"/>
    </row>
    <row r="201" spans="1:11" x14ac:dyDescent="0.2">
      <c r="A201" s="301"/>
      <c r="B201" s="358" t="s">
        <v>521</v>
      </c>
      <c r="C201" s="358" t="s">
        <v>774</v>
      </c>
      <c r="D201" s="358"/>
      <c r="E201" s="358"/>
      <c r="F201" s="358"/>
      <c r="G201" s="358"/>
      <c r="H201" s="358"/>
      <c r="I201" s="304"/>
      <c r="J201" s="312" t="str">
        <f t="shared" si="3"/>
        <v>Form: Constant</v>
      </c>
      <c r="K201" s="305"/>
    </row>
    <row r="202" spans="1:11" x14ac:dyDescent="0.2">
      <c r="A202" s="301"/>
      <c r="B202" s="358" t="s">
        <v>2</v>
      </c>
      <c r="C202" s="358" t="s">
        <v>853</v>
      </c>
      <c r="D202" s="358"/>
      <c r="E202" s="358"/>
      <c r="F202" s="358"/>
      <c r="G202" s="358"/>
      <c r="H202" s="358"/>
      <c r="I202" s="304"/>
      <c r="J202" s="312" t="str">
        <f t="shared" si="3"/>
        <v>Value: {Divalent Mercury} 0.001</v>
      </c>
      <c r="K202" s="305"/>
    </row>
    <row r="203" spans="1:11" x14ac:dyDescent="0.2">
      <c r="A203" s="301"/>
      <c r="B203" s="358" t="s">
        <v>849</v>
      </c>
      <c r="C203" s="358" t="s">
        <v>854</v>
      </c>
      <c r="D203" s="358" t="s">
        <v>850</v>
      </c>
      <c r="E203" s="358"/>
      <c r="F203" s="358"/>
      <c r="G203" s="358"/>
      <c r="H203" s="358"/>
      <c r="I203" s="304"/>
      <c r="J203" s="312" t="str">
        <f t="shared" si="3"/>
        <v>// Description: [[ See other documentation ]]</v>
      </c>
      <c r="K203" s="305"/>
    </row>
    <row r="204" spans="1:11" x14ac:dyDescent="0.2">
      <c r="A204" s="301"/>
      <c r="B204" s="358" t="s">
        <v>519</v>
      </c>
      <c r="C204" s="358" t="s">
        <v>857</v>
      </c>
      <c r="D204" s="358"/>
      <c r="E204" s="358"/>
      <c r="F204" s="358"/>
      <c r="G204" s="358"/>
      <c r="H204" s="358"/>
      <c r="I204" s="304"/>
      <c r="J204" s="312" t="str">
        <f t="shared" si="3"/>
        <v>Property: ReductionRate</v>
      </c>
      <c r="K204" s="305"/>
    </row>
    <row r="205" spans="1:11" x14ac:dyDescent="0.2">
      <c r="A205" s="301"/>
      <c r="B205" s="358" t="s">
        <v>521</v>
      </c>
      <c r="C205" s="358" t="s">
        <v>774</v>
      </c>
      <c r="D205" s="358"/>
      <c r="E205" s="358"/>
      <c r="F205" s="358"/>
      <c r="G205" s="358"/>
      <c r="H205" s="358"/>
      <c r="I205" s="304"/>
      <c r="J205" s="312" t="str">
        <f t="shared" si="3"/>
        <v>Form: Constant</v>
      </c>
      <c r="K205" s="305"/>
    </row>
    <row r="206" spans="1:11" x14ac:dyDescent="0.2">
      <c r="A206" s="301"/>
      <c r="B206" s="358" t="s">
        <v>2</v>
      </c>
      <c r="C206" s="358" t="s">
        <v>859</v>
      </c>
      <c r="D206" s="358"/>
      <c r="E206" s="358"/>
      <c r="F206" s="358"/>
      <c r="G206" s="358"/>
      <c r="H206" s="358"/>
      <c r="I206" s="304"/>
      <c r="J206" s="312" t="str">
        <f t="shared" si="3"/>
        <v>Value: {Divalent Mercury} 0.00000325</v>
      </c>
      <c r="K206" s="305"/>
    </row>
    <row r="207" spans="1:11" x14ac:dyDescent="0.2">
      <c r="A207" s="301"/>
      <c r="B207" s="358" t="s">
        <v>849</v>
      </c>
      <c r="C207" s="358" t="s">
        <v>854</v>
      </c>
      <c r="D207" s="358" t="s">
        <v>850</v>
      </c>
      <c r="E207" s="358"/>
      <c r="F207" s="358"/>
      <c r="G207" s="358"/>
      <c r="H207" s="358"/>
      <c r="I207" s="304"/>
      <c r="J207" s="312" t="str">
        <f t="shared" si="3"/>
        <v>// Description: [[ See other documentation ]]</v>
      </c>
      <c r="K207" s="305"/>
    </row>
    <row r="208" spans="1:11" x14ac:dyDescent="0.2">
      <c r="A208" s="301"/>
      <c r="B208" s="358" t="s">
        <v>851</v>
      </c>
      <c r="C208" s="358" t="s">
        <v>881</v>
      </c>
      <c r="D208" s="358"/>
      <c r="E208" s="358"/>
      <c r="F208" s="358"/>
      <c r="G208" s="358"/>
      <c r="H208" s="358"/>
      <c r="I208" s="304"/>
      <c r="J208" s="312" t="str">
        <f t="shared" si="3"/>
        <v>Compartment:  Soil - Surface in SurfSoil_NE2</v>
      </c>
      <c r="K208" s="305"/>
    </row>
    <row r="209" spans="1:15" x14ac:dyDescent="0.2">
      <c r="A209" s="301"/>
      <c r="B209" s="358" t="s">
        <v>519</v>
      </c>
      <c r="C209" s="358" t="s">
        <v>852</v>
      </c>
      <c r="D209" s="358"/>
      <c r="E209" s="358"/>
      <c r="F209" s="358"/>
      <c r="G209" s="358"/>
      <c r="H209" s="358"/>
      <c r="I209" s="304"/>
      <c r="J209" s="312" t="str">
        <f t="shared" si="3"/>
        <v>Property: MethylationRate</v>
      </c>
      <c r="K209" s="305"/>
    </row>
    <row r="210" spans="1:15" x14ac:dyDescent="0.2">
      <c r="A210" s="301"/>
      <c r="B210" s="358" t="s">
        <v>521</v>
      </c>
      <c r="C210" s="358" t="s">
        <v>774</v>
      </c>
      <c r="D210" s="358"/>
      <c r="E210" s="358"/>
      <c r="F210" s="358"/>
      <c r="G210" s="358"/>
      <c r="H210" s="358"/>
      <c r="I210" s="304"/>
      <c r="J210" s="312" t="str">
        <f t="shared" si="3"/>
        <v>Form: Constant</v>
      </c>
      <c r="K210" s="305"/>
    </row>
    <row r="211" spans="1:15" x14ac:dyDescent="0.2">
      <c r="A211" s="301"/>
      <c r="B211" s="358" t="s">
        <v>2</v>
      </c>
      <c r="C211" s="358" t="s">
        <v>853</v>
      </c>
      <c r="D211" s="358"/>
      <c r="E211" s="358"/>
      <c r="F211" s="358"/>
      <c r="G211" s="358"/>
      <c r="H211" s="358"/>
      <c r="I211" s="304"/>
      <c r="J211" s="312" t="str">
        <f t="shared" si="3"/>
        <v>Value: {Divalent Mercury} 0.001</v>
      </c>
      <c r="K211" s="305"/>
    </row>
    <row r="212" spans="1:15" x14ac:dyDescent="0.2">
      <c r="A212" s="301"/>
      <c r="B212" s="358" t="s">
        <v>849</v>
      </c>
      <c r="C212" s="358" t="s">
        <v>854</v>
      </c>
      <c r="D212" s="358" t="s">
        <v>850</v>
      </c>
      <c r="E212" s="358"/>
      <c r="F212" s="358"/>
      <c r="G212" s="358"/>
      <c r="H212" s="358"/>
      <c r="I212" s="304"/>
      <c r="J212" s="312" t="str">
        <f t="shared" si="3"/>
        <v>// Description: [[ See other documentation ]]</v>
      </c>
      <c r="K212" s="305"/>
    </row>
    <row r="213" spans="1:15" x14ac:dyDescent="0.2">
      <c r="A213" s="301"/>
      <c r="B213" s="358" t="s">
        <v>519</v>
      </c>
      <c r="C213" s="358" t="s">
        <v>855</v>
      </c>
      <c r="D213" s="358"/>
      <c r="E213" s="358"/>
      <c r="F213" s="358"/>
      <c r="G213" s="358"/>
      <c r="H213" s="358"/>
      <c r="I213" s="304"/>
      <c r="J213" s="312" t="str">
        <f t="shared" si="3"/>
        <v>Property: DemethylationRate</v>
      </c>
      <c r="K213" s="305"/>
    </row>
    <row r="214" spans="1:15" x14ac:dyDescent="0.2">
      <c r="A214" s="301"/>
      <c r="B214" s="358" t="s">
        <v>521</v>
      </c>
      <c r="C214" s="358" t="s">
        <v>774</v>
      </c>
      <c r="D214" s="358"/>
      <c r="E214" s="358"/>
      <c r="F214" s="358"/>
      <c r="G214" s="358"/>
      <c r="H214" s="358"/>
      <c r="I214" s="304"/>
      <c r="J214" s="312" t="str">
        <f t="shared" si="3"/>
        <v>Form: Constant</v>
      </c>
      <c r="K214" s="305"/>
    </row>
    <row r="215" spans="1:15" x14ac:dyDescent="0.2">
      <c r="A215" s="301"/>
      <c r="B215" s="358" t="s">
        <v>2</v>
      </c>
      <c r="C215" s="358" t="s">
        <v>856</v>
      </c>
      <c r="D215" s="358"/>
      <c r="E215" s="358"/>
      <c r="F215" s="358"/>
      <c r="G215" s="358"/>
      <c r="H215" s="358"/>
      <c r="I215" s="304"/>
      <c r="J215" s="312" t="str">
        <f t="shared" si="3"/>
        <v>Value: {MethylMercury} 0.06</v>
      </c>
      <c r="K215" s="305"/>
    </row>
    <row r="216" spans="1:15" x14ac:dyDescent="0.2">
      <c r="A216" s="301"/>
      <c r="B216" s="358" t="s">
        <v>849</v>
      </c>
      <c r="C216" s="358" t="s">
        <v>854</v>
      </c>
      <c r="D216" s="358" t="s">
        <v>850</v>
      </c>
      <c r="E216" s="358"/>
      <c r="F216" s="358"/>
      <c r="G216" s="358"/>
      <c r="H216" s="358"/>
      <c r="I216" s="304"/>
      <c r="J216" s="312" t="str">
        <f t="shared" si="3"/>
        <v>// Description: [[ See other documentation ]]</v>
      </c>
      <c r="K216" s="305"/>
    </row>
    <row r="217" spans="1:15" x14ac:dyDescent="0.2">
      <c r="A217" s="301"/>
      <c r="B217" s="358" t="s">
        <v>519</v>
      </c>
      <c r="C217" s="358" t="s">
        <v>857</v>
      </c>
      <c r="D217" s="358"/>
      <c r="E217" s="358"/>
      <c r="F217" s="358"/>
      <c r="G217" s="358"/>
      <c r="H217" s="358"/>
      <c r="I217" s="304"/>
      <c r="J217" s="312" t="str">
        <f t="shared" si="3"/>
        <v>Property: ReductionRate</v>
      </c>
      <c r="K217" s="305"/>
    </row>
    <row r="218" spans="1:15" x14ac:dyDescent="0.2">
      <c r="A218" s="301"/>
      <c r="B218" s="358" t="s">
        <v>521</v>
      </c>
      <c r="C218" s="358" t="s">
        <v>774</v>
      </c>
      <c r="D218" s="358"/>
      <c r="E218" s="358"/>
      <c r="F218" s="358"/>
      <c r="G218" s="358"/>
      <c r="H218" s="358"/>
      <c r="I218" s="304"/>
      <c r="J218" s="312" t="str">
        <f t="shared" si="3"/>
        <v>Form: Constant</v>
      </c>
      <c r="K218" s="305"/>
    </row>
    <row r="219" spans="1:15" x14ac:dyDescent="0.2">
      <c r="A219" s="301"/>
      <c r="B219" s="358" t="s">
        <v>2</v>
      </c>
      <c r="C219" s="358" t="s">
        <v>858</v>
      </c>
      <c r="D219" s="358"/>
      <c r="E219" s="358"/>
      <c r="F219" s="358"/>
      <c r="G219" s="358"/>
      <c r="H219" s="358"/>
      <c r="I219" s="304"/>
      <c r="J219" s="312" t="str">
        <f t="shared" si="3"/>
        <v>Value: {Divalent Mercury} 0.0000125</v>
      </c>
      <c r="K219" s="305"/>
    </row>
    <row r="220" spans="1:15" x14ac:dyDescent="0.2">
      <c r="A220" s="301"/>
      <c r="B220" s="358" t="s">
        <v>849</v>
      </c>
      <c r="C220" s="358" t="s">
        <v>854</v>
      </c>
      <c r="D220" s="358" t="s">
        <v>850</v>
      </c>
      <c r="E220" s="358"/>
      <c r="F220" s="358"/>
      <c r="G220" s="358"/>
      <c r="H220" s="358"/>
      <c r="I220" s="304"/>
      <c r="J220" s="312" t="str">
        <f t="shared" si="3"/>
        <v>// Description: [[ See other documentation ]]</v>
      </c>
      <c r="K220" s="305"/>
    </row>
    <row r="221" spans="1:15" x14ac:dyDescent="0.2">
      <c r="A221" s="301"/>
      <c r="B221" s="358" t="s">
        <v>378</v>
      </c>
      <c r="C221" s="358" t="s">
        <v>882</v>
      </c>
      <c r="D221" s="358"/>
      <c r="E221" s="358"/>
      <c r="F221" s="358"/>
      <c r="G221" s="358"/>
      <c r="H221" s="358"/>
      <c r="I221" s="304"/>
      <c r="J221" s="312" t="str">
        <f t="shared" si="3"/>
        <v>Compartment: Soil - Root Zone in RootSoil_NE2</v>
      </c>
      <c r="K221" s="305"/>
    </row>
    <row r="222" spans="1:15" s="314" customFormat="1" x14ac:dyDescent="0.2">
      <c r="A222" s="301"/>
      <c r="B222" s="358" t="s">
        <v>519</v>
      </c>
      <c r="C222" s="358" t="s">
        <v>852</v>
      </c>
      <c r="D222" s="358"/>
      <c r="E222" s="358"/>
      <c r="F222" s="358"/>
      <c r="G222" s="358"/>
      <c r="H222" s="358"/>
      <c r="I222" s="304"/>
      <c r="J222" s="312" t="str">
        <f t="shared" si="3"/>
        <v>Property: MethylationRate</v>
      </c>
      <c r="K222" s="305"/>
      <c r="L222" s="300"/>
      <c r="M222" s="300"/>
      <c r="N222" s="300"/>
      <c r="O222" s="300"/>
    </row>
    <row r="223" spans="1:15" s="314" customFormat="1" x14ac:dyDescent="0.2">
      <c r="A223" s="301"/>
      <c r="B223" s="358" t="s">
        <v>521</v>
      </c>
      <c r="C223" s="358" t="s">
        <v>774</v>
      </c>
      <c r="D223" s="358"/>
      <c r="E223" s="358"/>
      <c r="F223" s="358"/>
      <c r="G223" s="358"/>
      <c r="H223" s="358"/>
      <c r="I223" s="304"/>
      <c r="J223" s="312" t="str">
        <f t="shared" si="3"/>
        <v>Form: Constant</v>
      </c>
      <c r="K223" s="305"/>
    </row>
    <row r="224" spans="1:15" s="314" customFormat="1" x14ac:dyDescent="0.2">
      <c r="A224" s="301"/>
      <c r="B224" s="358" t="s">
        <v>2</v>
      </c>
      <c r="C224" s="358" t="s">
        <v>853</v>
      </c>
      <c r="D224" s="358"/>
      <c r="E224" s="358"/>
      <c r="F224" s="358"/>
      <c r="G224" s="358"/>
      <c r="H224" s="358"/>
      <c r="I224" s="304"/>
      <c r="J224" s="312" t="str">
        <f t="shared" si="3"/>
        <v>Value: {Divalent Mercury} 0.001</v>
      </c>
      <c r="K224" s="305"/>
    </row>
    <row r="225" spans="1:15" s="314" customFormat="1" x14ac:dyDescent="0.2">
      <c r="A225" s="301"/>
      <c r="B225" s="358" t="s">
        <v>849</v>
      </c>
      <c r="C225" s="358" t="s">
        <v>854</v>
      </c>
      <c r="D225" s="358" t="s">
        <v>850</v>
      </c>
      <c r="E225" s="358"/>
      <c r="F225" s="358"/>
      <c r="G225" s="358"/>
      <c r="H225" s="358"/>
      <c r="I225" s="304"/>
      <c r="J225" s="312" t="str">
        <f t="shared" si="3"/>
        <v>// Description: [[ See other documentation ]]</v>
      </c>
      <c r="K225" s="305"/>
    </row>
    <row r="226" spans="1:15" s="314" customFormat="1" x14ac:dyDescent="0.2">
      <c r="A226" s="301"/>
      <c r="B226" s="358" t="s">
        <v>519</v>
      </c>
      <c r="C226" s="358" t="s">
        <v>857</v>
      </c>
      <c r="D226" s="358"/>
      <c r="E226" s="358"/>
      <c r="F226" s="358"/>
      <c r="G226" s="358"/>
      <c r="H226" s="358"/>
      <c r="I226" s="304"/>
      <c r="J226" s="312" t="str">
        <f t="shared" si="3"/>
        <v>Property: ReductionRate</v>
      </c>
      <c r="K226" s="305"/>
    </row>
    <row r="227" spans="1:15" s="314" customFormat="1" x14ac:dyDescent="0.2">
      <c r="A227" s="301"/>
      <c r="B227" s="358" t="s">
        <v>521</v>
      </c>
      <c r="C227" s="358" t="s">
        <v>774</v>
      </c>
      <c r="D227" s="358"/>
      <c r="E227" s="358"/>
      <c r="F227" s="358"/>
      <c r="G227" s="358"/>
      <c r="H227" s="358"/>
      <c r="I227" s="304"/>
      <c r="J227" s="312" t="str">
        <f t="shared" si="3"/>
        <v>Form: Constant</v>
      </c>
      <c r="K227" s="305"/>
    </row>
    <row r="228" spans="1:15" s="314" customFormat="1" x14ac:dyDescent="0.2">
      <c r="A228" s="301"/>
      <c r="B228" s="358" t="s">
        <v>2</v>
      </c>
      <c r="C228" s="358" t="s">
        <v>859</v>
      </c>
      <c r="D228" s="358"/>
      <c r="E228" s="358"/>
      <c r="F228" s="358"/>
      <c r="G228" s="358"/>
      <c r="H228" s="358"/>
      <c r="I228" s="304"/>
      <c r="J228" s="312" t="str">
        <f t="shared" si="3"/>
        <v>Value: {Divalent Mercury} 0.00000325</v>
      </c>
      <c r="K228" s="305"/>
    </row>
    <row r="229" spans="1:15" s="314" customFormat="1" x14ac:dyDescent="0.2">
      <c r="A229" s="301"/>
      <c r="B229" s="358" t="s">
        <v>849</v>
      </c>
      <c r="C229" s="358" t="s">
        <v>854</v>
      </c>
      <c r="D229" s="358" t="s">
        <v>850</v>
      </c>
      <c r="E229" s="358"/>
      <c r="F229" s="358"/>
      <c r="G229" s="358"/>
      <c r="H229" s="358"/>
      <c r="I229" s="304"/>
      <c r="J229" s="312" t="str">
        <f t="shared" si="3"/>
        <v>// Description: [[ See other documentation ]]</v>
      </c>
      <c r="K229" s="305"/>
    </row>
    <row r="230" spans="1:15" s="314" customFormat="1" x14ac:dyDescent="0.2">
      <c r="A230" s="301"/>
      <c r="B230" s="358" t="s">
        <v>378</v>
      </c>
      <c r="C230" s="358" t="s">
        <v>883</v>
      </c>
      <c r="D230" s="358"/>
      <c r="E230" s="358"/>
      <c r="F230" s="358"/>
      <c r="G230" s="358"/>
      <c r="H230" s="358"/>
      <c r="I230" s="304"/>
      <c r="J230" s="312" t="str">
        <f t="shared" si="3"/>
        <v>Compartment: Soil - Vadose Zone in VadoseSoil_NE2</v>
      </c>
      <c r="K230" s="305"/>
    </row>
    <row r="231" spans="1:15" s="314" customFormat="1" x14ac:dyDescent="0.2">
      <c r="A231" s="301"/>
      <c r="B231" s="358" t="s">
        <v>519</v>
      </c>
      <c r="C231" s="358" t="s">
        <v>852</v>
      </c>
      <c r="D231" s="358"/>
      <c r="E231" s="358"/>
      <c r="F231" s="358"/>
      <c r="G231" s="358"/>
      <c r="H231" s="358"/>
      <c r="I231" s="304"/>
      <c r="J231" s="312" t="str">
        <f t="shared" si="3"/>
        <v>Property: MethylationRate</v>
      </c>
      <c r="K231" s="305"/>
    </row>
    <row r="232" spans="1:15" s="314" customFormat="1" x14ac:dyDescent="0.2">
      <c r="A232" s="301"/>
      <c r="B232" s="358" t="s">
        <v>521</v>
      </c>
      <c r="C232" s="358" t="s">
        <v>774</v>
      </c>
      <c r="D232" s="358"/>
      <c r="E232" s="358"/>
      <c r="F232" s="358"/>
      <c r="G232" s="358"/>
      <c r="H232" s="358"/>
      <c r="I232" s="304"/>
      <c r="J232" s="312" t="str">
        <f t="shared" si="3"/>
        <v>Form: Constant</v>
      </c>
      <c r="K232" s="305"/>
    </row>
    <row r="233" spans="1:15" s="314" customFormat="1" x14ac:dyDescent="0.2">
      <c r="A233" s="301"/>
      <c r="B233" s="358" t="s">
        <v>2</v>
      </c>
      <c r="C233" s="358" t="s">
        <v>853</v>
      </c>
      <c r="D233" s="358"/>
      <c r="E233" s="358"/>
      <c r="F233" s="358"/>
      <c r="G233" s="358"/>
      <c r="H233" s="358"/>
      <c r="I233" s="304"/>
      <c r="J233" s="312" t="str">
        <f t="shared" si="3"/>
        <v>Value: {Divalent Mercury} 0.001</v>
      </c>
      <c r="K233" s="305"/>
    </row>
    <row r="234" spans="1:15" s="314" customFormat="1" x14ac:dyDescent="0.2">
      <c r="A234" s="301"/>
      <c r="B234" s="358" t="s">
        <v>849</v>
      </c>
      <c r="C234" s="358" t="s">
        <v>854</v>
      </c>
      <c r="D234" s="358" t="s">
        <v>850</v>
      </c>
      <c r="E234" s="358"/>
      <c r="F234" s="358"/>
      <c r="G234" s="358"/>
      <c r="H234" s="358"/>
      <c r="I234" s="304"/>
      <c r="J234" s="312" t="str">
        <f t="shared" si="3"/>
        <v>// Description: [[ See other documentation ]]</v>
      </c>
      <c r="K234" s="305"/>
    </row>
    <row r="235" spans="1:15" x14ac:dyDescent="0.2">
      <c r="A235" s="301"/>
      <c r="B235" s="358" t="s">
        <v>519</v>
      </c>
      <c r="C235" s="358" t="s">
        <v>857</v>
      </c>
      <c r="D235" s="358"/>
      <c r="E235" s="358"/>
      <c r="F235" s="358"/>
      <c r="G235" s="358"/>
      <c r="H235" s="358"/>
      <c r="I235" s="304"/>
      <c r="J235" s="312" t="str">
        <f t="shared" si="3"/>
        <v>Property: ReductionRate</v>
      </c>
      <c r="K235" s="305"/>
      <c r="L235" s="314"/>
      <c r="M235" s="314"/>
      <c r="N235" s="314"/>
      <c r="O235" s="314"/>
    </row>
    <row r="236" spans="1:15" x14ac:dyDescent="0.2">
      <c r="A236" s="301"/>
      <c r="B236" s="358" t="s">
        <v>521</v>
      </c>
      <c r="C236" s="358" t="s">
        <v>774</v>
      </c>
      <c r="D236" s="358"/>
      <c r="E236" s="358"/>
      <c r="F236" s="358"/>
      <c r="G236" s="358"/>
      <c r="H236" s="358"/>
      <c r="I236" s="304"/>
      <c r="J236" s="312" t="str">
        <f t="shared" si="3"/>
        <v>Form: Constant</v>
      </c>
      <c r="K236" s="305"/>
    </row>
    <row r="237" spans="1:15" x14ac:dyDescent="0.2">
      <c r="A237" s="301"/>
      <c r="B237" s="358" t="s">
        <v>2</v>
      </c>
      <c r="C237" s="358" t="s">
        <v>859</v>
      </c>
      <c r="D237" s="358"/>
      <c r="E237" s="358"/>
      <c r="F237" s="358"/>
      <c r="G237" s="358"/>
      <c r="H237" s="358"/>
      <c r="I237" s="304"/>
      <c r="J237" s="312" t="str">
        <f t="shared" si="3"/>
        <v>Value: {Divalent Mercury} 0.00000325</v>
      </c>
      <c r="K237" s="305"/>
    </row>
    <row r="238" spans="1:15" x14ac:dyDescent="0.2">
      <c r="A238" s="301"/>
      <c r="B238" s="358" t="s">
        <v>849</v>
      </c>
      <c r="C238" s="358" t="s">
        <v>854</v>
      </c>
      <c r="D238" s="358" t="s">
        <v>850</v>
      </c>
      <c r="E238" s="358"/>
      <c r="F238" s="358"/>
      <c r="G238" s="358"/>
      <c r="H238" s="358"/>
      <c r="I238" s="304"/>
      <c r="J238" s="312" t="str">
        <f t="shared" si="3"/>
        <v>// Description: [[ See other documentation ]]</v>
      </c>
      <c r="K238" s="305"/>
    </row>
    <row r="239" spans="1:15" x14ac:dyDescent="0.2">
      <c r="A239" s="301"/>
      <c r="B239" s="358" t="s">
        <v>851</v>
      </c>
      <c r="C239" s="358" t="s">
        <v>884</v>
      </c>
      <c r="D239" s="358"/>
      <c r="E239" s="358"/>
      <c r="F239" s="358"/>
      <c r="G239" s="358"/>
      <c r="H239" s="358"/>
      <c r="I239" s="304"/>
      <c r="J239" s="312" t="str">
        <f t="shared" si="3"/>
        <v>Compartment:  Soil - Surface in SurfSoil_NE3</v>
      </c>
      <c r="K239" s="305"/>
    </row>
    <row r="240" spans="1:15" x14ac:dyDescent="0.2">
      <c r="A240" s="301"/>
      <c r="B240" s="358" t="s">
        <v>519</v>
      </c>
      <c r="C240" s="358" t="s">
        <v>852</v>
      </c>
      <c r="D240" s="358"/>
      <c r="E240" s="358"/>
      <c r="F240" s="358"/>
      <c r="G240" s="358"/>
      <c r="H240" s="358"/>
      <c r="I240" s="304"/>
      <c r="J240" s="312" t="str">
        <f t="shared" si="3"/>
        <v>Property: MethylationRate</v>
      </c>
      <c r="K240" s="305"/>
    </row>
    <row r="241" spans="1:11" x14ac:dyDescent="0.2">
      <c r="A241" s="301"/>
      <c r="B241" s="358" t="s">
        <v>521</v>
      </c>
      <c r="C241" s="358" t="s">
        <v>774</v>
      </c>
      <c r="D241" s="358"/>
      <c r="E241" s="358"/>
      <c r="F241" s="358"/>
      <c r="G241" s="358"/>
      <c r="H241" s="358"/>
      <c r="I241" s="304"/>
      <c r="J241" s="312" t="str">
        <f t="shared" si="3"/>
        <v>Form: Constant</v>
      </c>
      <c r="K241" s="305"/>
    </row>
    <row r="242" spans="1:11" x14ac:dyDescent="0.2">
      <c r="A242" s="301"/>
      <c r="B242" s="358" t="s">
        <v>2</v>
      </c>
      <c r="C242" s="358" t="s">
        <v>853</v>
      </c>
      <c r="D242" s="358"/>
      <c r="E242" s="358"/>
      <c r="F242" s="358"/>
      <c r="G242" s="358"/>
      <c r="H242" s="358"/>
      <c r="I242" s="304"/>
      <c r="J242" s="312" t="str">
        <f t="shared" si="3"/>
        <v>Value: {Divalent Mercury} 0.001</v>
      </c>
      <c r="K242" s="305"/>
    </row>
    <row r="243" spans="1:11" x14ac:dyDescent="0.2">
      <c r="A243" s="301"/>
      <c r="B243" s="358" t="s">
        <v>849</v>
      </c>
      <c r="C243" s="358" t="s">
        <v>854</v>
      </c>
      <c r="D243" s="358" t="s">
        <v>850</v>
      </c>
      <c r="E243" s="358"/>
      <c r="F243" s="358"/>
      <c r="G243" s="358"/>
      <c r="H243" s="358"/>
      <c r="I243" s="304"/>
      <c r="J243" s="312" t="str">
        <f t="shared" si="3"/>
        <v>// Description: [[ See other documentation ]]</v>
      </c>
      <c r="K243" s="305"/>
    </row>
    <row r="244" spans="1:11" x14ac:dyDescent="0.2">
      <c r="A244" s="301"/>
      <c r="B244" s="358" t="s">
        <v>519</v>
      </c>
      <c r="C244" s="358" t="s">
        <v>855</v>
      </c>
      <c r="D244" s="358"/>
      <c r="E244" s="358"/>
      <c r="F244" s="358"/>
      <c r="G244" s="358"/>
      <c r="H244" s="358"/>
      <c r="I244" s="304"/>
      <c r="J244" s="312" t="str">
        <f t="shared" si="3"/>
        <v>Property: DemethylationRate</v>
      </c>
      <c r="K244" s="305"/>
    </row>
    <row r="245" spans="1:11" x14ac:dyDescent="0.2">
      <c r="A245" s="301"/>
      <c r="B245" s="358" t="s">
        <v>521</v>
      </c>
      <c r="C245" s="358" t="s">
        <v>774</v>
      </c>
      <c r="D245" s="358"/>
      <c r="E245" s="358"/>
      <c r="F245" s="358"/>
      <c r="G245" s="358"/>
      <c r="H245" s="358"/>
      <c r="I245" s="304"/>
      <c r="J245" s="312" t="str">
        <f t="shared" si="3"/>
        <v>Form: Constant</v>
      </c>
      <c r="K245" s="305"/>
    </row>
    <row r="246" spans="1:11" x14ac:dyDescent="0.2">
      <c r="A246" s="301"/>
      <c r="B246" s="358" t="s">
        <v>2</v>
      </c>
      <c r="C246" s="358" t="s">
        <v>856</v>
      </c>
      <c r="D246" s="358"/>
      <c r="E246" s="358"/>
      <c r="F246" s="358"/>
      <c r="G246" s="358"/>
      <c r="H246" s="358"/>
      <c r="I246" s="304"/>
      <c r="J246" s="312" t="str">
        <f t="shared" si="3"/>
        <v>Value: {MethylMercury} 0.06</v>
      </c>
      <c r="K246" s="305"/>
    </row>
    <row r="247" spans="1:11" x14ac:dyDescent="0.2">
      <c r="A247" s="301"/>
      <c r="B247" s="358" t="s">
        <v>849</v>
      </c>
      <c r="C247" s="358" t="s">
        <v>854</v>
      </c>
      <c r="D247" s="358" t="s">
        <v>850</v>
      </c>
      <c r="E247" s="358"/>
      <c r="F247" s="358"/>
      <c r="G247" s="358"/>
      <c r="H247" s="358"/>
      <c r="I247" s="304"/>
      <c r="J247" s="312" t="str">
        <f t="shared" si="3"/>
        <v>// Description: [[ See other documentation ]]</v>
      </c>
      <c r="K247" s="305"/>
    </row>
    <row r="248" spans="1:11" x14ac:dyDescent="0.2">
      <c r="A248" s="301"/>
      <c r="B248" s="358" t="s">
        <v>519</v>
      </c>
      <c r="C248" s="358" t="s">
        <v>857</v>
      </c>
      <c r="D248" s="358"/>
      <c r="E248" s="358"/>
      <c r="F248" s="358"/>
      <c r="G248" s="358"/>
      <c r="H248" s="358"/>
      <c r="I248" s="304"/>
      <c r="J248" s="312" t="str">
        <f t="shared" si="3"/>
        <v>Property: ReductionRate</v>
      </c>
      <c r="K248" s="305"/>
    </row>
    <row r="249" spans="1:11" x14ac:dyDescent="0.2">
      <c r="A249" s="301"/>
      <c r="B249" s="358" t="s">
        <v>521</v>
      </c>
      <c r="C249" s="358" t="s">
        <v>774</v>
      </c>
      <c r="D249" s="358"/>
      <c r="E249" s="358"/>
      <c r="F249" s="358"/>
      <c r="G249" s="358"/>
      <c r="H249" s="358"/>
      <c r="I249" s="304"/>
      <c r="J249" s="312" t="str">
        <f t="shared" si="3"/>
        <v>Form: Constant</v>
      </c>
      <c r="K249" s="305"/>
    </row>
    <row r="250" spans="1:11" x14ac:dyDescent="0.2">
      <c r="A250" s="301"/>
      <c r="B250" s="358" t="s">
        <v>2</v>
      </c>
      <c r="C250" s="358" t="s">
        <v>858</v>
      </c>
      <c r="D250" s="358"/>
      <c r="E250" s="358"/>
      <c r="F250" s="358"/>
      <c r="G250" s="358"/>
      <c r="H250" s="358"/>
      <c r="I250" s="304"/>
      <c r="J250" s="312" t="str">
        <f t="shared" si="3"/>
        <v>Value: {Divalent Mercury} 0.0000125</v>
      </c>
      <c r="K250" s="305"/>
    </row>
    <row r="251" spans="1:11" x14ac:dyDescent="0.2">
      <c r="A251" s="301"/>
      <c r="B251" s="358" t="s">
        <v>849</v>
      </c>
      <c r="C251" s="358" t="s">
        <v>854</v>
      </c>
      <c r="D251" s="358" t="s">
        <v>850</v>
      </c>
      <c r="E251" s="358"/>
      <c r="F251" s="358"/>
      <c r="G251" s="358"/>
      <c r="H251" s="358"/>
      <c r="I251" s="304"/>
      <c r="J251" s="312" t="str">
        <f t="shared" si="3"/>
        <v>// Description: [[ See other documentation ]]</v>
      </c>
      <c r="K251" s="305"/>
    </row>
    <row r="252" spans="1:11" x14ac:dyDescent="0.2">
      <c r="A252" s="301"/>
      <c r="B252" s="358" t="s">
        <v>378</v>
      </c>
      <c r="C252" s="358" t="s">
        <v>885</v>
      </c>
      <c r="D252" s="358"/>
      <c r="E252" s="358"/>
      <c r="F252" s="358"/>
      <c r="G252" s="358"/>
      <c r="H252" s="358"/>
      <c r="I252" s="304"/>
      <c r="J252" s="312" t="str">
        <f t="shared" si="3"/>
        <v>Compartment: Soil - Root Zone in RootSoil_NE3</v>
      </c>
      <c r="K252" s="305"/>
    </row>
    <row r="253" spans="1:11" x14ac:dyDescent="0.2">
      <c r="A253" s="301"/>
      <c r="B253" s="358" t="s">
        <v>519</v>
      </c>
      <c r="C253" s="358" t="s">
        <v>852</v>
      </c>
      <c r="D253" s="358"/>
      <c r="E253" s="358"/>
      <c r="F253" s="358"/>
      <c r="G253" s="358"/>
      <c r="H253" s="358"/>
      <c r="I253" s="304"/>
      <c r="J253" s="312" t="str">
        <f t="shared" si="3"/>
        <v>Property: MethylationRate</v>
      </c>
      <c r="K253" s="305"/>
    </row>
    <row r="254" spans="1:11" x14ac:dyDescent="0.2">
      <c r="A254" s="301"/>
      <c r="B254" s="358" t="s">
        <v>521</v>
      </c>
      <c r="C254" s="358" t="s">
        <v>774</v>
      </c>
      <c r="D254" s="358"/>
      <c r="E254" s="358"/>
      <c r="F254" s="358"/>
      <c r="G254" s="358"/>
      <c r="H254" s="358"/>
      <c r="I254" s="304"/>
      <c r="J254" s="312" t="str">
        <f t="shared" si="3"/>
        <v>Form: Constant</v>
      </c>
      <c r="K254" s="305"/>
    </row>
    <row r="255" spans="1:11" x14ac:dyDescent="0.2">
      <c r="A255" s="301"/>
      <c r="B255" s="358" t="s">
        <v>2</v>
      </c>
      <c r="C255" s="358" t="s">
        <v>853</v>
      </c>
      <c r="D255" s="358"/>
      <c r="E255" s="358"/>
      <c r="F255" s="358"/>
      <c r="G255" s="358"/>
      <c r="H255" s="358"/>
      <c r="I255" s="304"/>
      <c r="J255" s="312" t="str">
        <f t="shared" si="3"/>
        <v>Value: {Divalent Mercury} 0.001</v>
      </c>
      <c r="K255" s="305"/>
    </row>
    <row r="256" spans="1:11" x14ac:dyDescent="0.2">
      <c r="A256" s="301"/>
      <c r="B256" s="358" t="s">
        <v>849</v>
      </c>
      <c r="C256" s="358" t="s">
        <v>854</v>
      </c>
      <c r="D256" s="358" t="s">
        <v>850</v>
      </c>
      <c r="E256" s="358"/>
      <c r="F256" s="358"/>
      <c r="G256" s="358"/>
      <c r="H256" s="358"/>
      <c r="I256" s="304"/>
      <c r="J256" s="312" t="str">
        <f t="shared" si="3"/>
        <v>// Description: [[ See other documentation ]]</v>
      </c>
      <c r="K256" s="305"/>
    </row>
    <row r="257" spans="1:11" x14ac:dyDescent="0.2">
      <c r="A257" s="301"/>
      <c r="B257" s="358" t="s">
        <v>519</v>
      </c>
      <c r="C257" s="358" t="s">
        <v>857</v>
      </c>
      <c r="D257" s="358"/>
      <c r="E257" s="358"/>
      <c r="F257" s="358"/>
      <c r="G257" s="358"/>
      <c r="H257" s="358"/>
      <c r="I257" s="304"/>
      <c r="J257" s="312" t="str">
        <f t="shared" si="3"/>
        <v>Property: ReductionRate</v>
      </c>
      <c r="K257" s="305"/>
    </row>
    <row r="258" spans="1:11" x14ac:dyDescent="0.2">
      <c r="A258" s="301"/>
      <c r="B258" s="358" t="s">
        <v>521</v>
      </c>
      <c r="C258" s="358" t="s">
        <v>774</v>
      </c>
      <c r="D258" s="358"/>
      <c r="E258" s="358"/>
      <c r="F258" s="358"/>
      <c r="G258" s="358"/>
      <c r="H258" s="358"/>
      <c r="I258" s="304"/>
      <c r="J258" s="312" t="str">
        <f t="shared" si="3"/>
        <v>Form: Constant</v>
      </c>
      <c r="K258" s="305"/>
    </row>
    <row r="259" spans="1:11" x14ac:dyDescent="0.2">
      <c r="A259" s="301"/>
      <c r="B259" s="358" t="s">
        <v>2</v>
      </c>
      <c r="C259" s="358" t="s">
        <v>859</v>
      </c>
      <c r="D259" s="358"/>
      <c r="E259" s="358"/>
      <c r="F259" s="358"/>
      <c r="G259" s="358"/>
      <c r="H259" s="358"/>
      <c r="I259" s="304"/>
      <c r="J259" s="312" t="str">
        <f t="shared" si="3"/>
        <v>Value: {Divalent Mercury} 0.00000325</v>
      </c>
      <c r="K259" s="305"/>
    </row>
    <row r="260" spans="1:11" x14ac:dyDescent="0.2">
      <c r="A260" s="301"/>
      <c r="B260" s="358" t="s">
        <v>849</v>
      </c>
      <c r="C260" s="358" t="s">
        <v>854</v>
      </c>
      <c r="D260" s="358" t="s">
        <v>850</v>
      </c>
      <c r="E260" s="358"/>
      <c r="F260" s="358"/>
      <c r="G260" s="358"/>
      <c r="H260" s="358"/>
      <c r="I260" s="304"/>
      <c r="J260" s="312" t="str">
        <f t="shared" si="3"/>
        <v>// Description: [[ See other documentation ]]</v>
      </c>
      <c r="K260" s="305"/>
    </row>
    <row r="261" spans="1:11" x14ac:dyDescent="0.2">
      <c r="A261" s="301"/>
      <c r="B261" s="358" t="s">
        <v>378</v>
      </c>
      <c r="C261" s="358" t="s">
        <v>886</v>
      </c>
      <c r="D261" s="358"/>
      <c r="E261" s="358"/>
      <c r="F261" s="358"/>
      <c r="G261" s="358"/>
      <c r="H261" s="358"/>
      <c r="I261" s="304"/>
      <c r="J261" s="312" t="str">
        <f t="shared" ref="J261:J324" si="4">ConcatenateWithSpaces(B261:H261)</f>
        <v>Compartment: Soil - Vadose Zone in VadoseSoil_NE3</v>
      </c>
      <c r="K261" s="305"/>
    </row>
    <row r="262" spans="1:11" x14ac:dyDescent="0.2">
      <c r="A262" s="301"/>
      <c r="B262" s="358" t="s">
        <v>519</v>
      </c>
      <c r="C262" s="358" t="s">
        <v>852</v>
      </c>
      <c r="D262" s="358"/>
      <c r="E262" s="358"/>
      <c r="F262" s="358"/>
      <c r="G262" s="358"/>
      <c r="H262" s="358"/>
      <c r="I262" s="304"/>
      <c r="J262" s="312" t="str">
        <f t="shared" si="4"/>
        <v>Property: MethylationRate</v>
      </c>
      <c r="K262" s="305"/>
    </row>
    <row r="263" spans="1:11" x14ac:dyDescent="0.2">
      <c r="A263" s="301"/>
      <c r="B263" s="358" t="s">
        <v>521</v>
      </c>
      <c r="C263" s="358" t="s">
        <v>774</v>
      </c>
      <c r="D263" s="358"/>
      <c r="E263" s="358"/>
      <c r="F263" s="358"/>
      <c r="G263" s="358"/>
      <c r="H263" s="358"/>
      <c r="I263" s="304"/>
      <c r="J263" s="312" t="str">
        <f t="shared" si="4"/>
        <v>Form: Constant</v>
      </c>
      <c r="K263" s="305"/>
    </row>
    <row r="264" spans="1:11" x14ac:dyDescent="0.2">
      <c r="A264" s="301"/>
      <c r="B264" s="358" t="s">
        <v>2</v>
      </c>
      <c r="C264" s="358" t="s">
        <v>853</v>
      </c>
      <c r="D264" s="358"/>
      <c r="E264" s="358"/>
      <c r="F264" s="358"/>
      <c r="G264" s="358"/>
      <c r="H264" s="358"/>
      <c r="I264" s="304"/>
      <c r="J264" s="312" t="str">
        <f t="shared" si="4"/>
        <v>Value: {Divalent Mercury} 0.001</v>
      </c>
      <c r="K264" s="305"/>
    </row>
    <row r="265" spans="1:11" x14ac:dyDescent="0.2">
      <c r="A265" s="301"/>
      <c r="B265" s="358" t="s">
        <v>849</v>
      </c>
      <c r="C265" s="358" t="s">
        <v>854</v>
      </c>
      <c r="D265" s="358" t="s">
        <v>850</v>
      </c>
      <c r="E265" s="358"/>
      <c r="F265" s="358"/>
      <c r="G265" s="358"/>
      <c r="H265" s="358"/>
      <c r="I265" s="304"/>
      <c r="J265" s="312" t="str">
        <f t="shared" si="4"/>
        <v>// Description: [[ See other documentation ]]</v>
      </c>
      <c r="K265" s="305"/>
    </row>
    <row r="266" spans="1:11" x14ac:dyDescent="0.2">
      <c r="A266" s="301"/>
      <c r="B266" s="358" t="s">
        <v>519</v>
      </c>
      <c r="C266" s="358" t="s">
        <v>857</v>
      </c>
      <c r="D266" s="358"/>
      <c r="E266" s="358"/>
      <c r="F266" s="358"/>
      <c r="G266" s="358"/>
      <c r="H266" s="358"/>
      <c r="I266" s="304"/>
      <c r="J266" s="312" t="str">
        <f t="shared" si="4"/>
        <v>Property: ReductionRate</v>
      </c>
      <c r="K266" s="305"/>
    </row>
    <row r="267" spans="1:11" x14ac:dyDescent="0.2">
      <c r="A267" s="301"/>
      <c r="B267" s="358" t="s">
        <v>521</v>
      </c>
      <c r="C267" s="358" t="s">
        <v>774</v>
      </c>
      <c r="D267" s="358"/>
      <c r="E267" s="358"/>
      <c r="F267" s="358"/>
      <c r="G267" s="358"/>
      <c r="H267" s="358"/>
      <c r="I267" s="304"/>
      <c r="J267" s="312" t="str">
        <f t="shared" si="4"/>
        <v>Form: Constant</v>
      </c>
      <c r="K267" s="305"/>
    </row>
    <row r="268" spans="1:11" x14ac:dyDescent="0.2">
      <c r="A268" s="301"/>
      <c r="B268" s="358" t="s">
        <v>2</v>
      </c>
      <c r="C268" s="358" t="s">
        <v>859</v>
      </c>
      <c r="D268" s="358"/>
      <c r="E268" s="358"/>
      <c r="F268" s="358"/>
      <c r="G268" s="358"/>
      <c r="H268" s="358"/>
      <c r="I268" s="304"/>
      <c r="J268" s="312" t="str">
        <f t="shared" si="4"/>
        <v>Value: {Divalent Mercury} 0.00000325</v>
      </c>
      <c r="K268" s="305"/>
    </row>
    <row r="269" spans="1:11" x14ac:dyDescent="0.2">
      <c r="A269" s="301"/>
      <c r="B269" s="358" t="s">
        <v>849</v>
      </c>
      <c r="C269" s="358" t="s">
        <v>854</v>
      </c>
      <c r="D269" s="358" t="s">
        <v>850</v>
      </c>
      <c r="E269" s="358"/>
      <c r="F269" s="358"/>
      <c r="G269" s="358"/>
      <c r="H269" s="358"/>
      <c r="I269" s="304"/>
      <c r="J269" s="312" t="str">
        <f t="shared" si="4"/>
        <v>// Description: [[ See other documentation ]]</v>
      </c>
      <c r="K269" s="305"/>
    </row>
    <row r="270" spans="1:11" x14ac:dyDescent="0.2">
      <c r="A270" s="301"/>
      <c r="B270" s="358" t="s">
        <v>851</v>
      </c>
      <c r="C270" s="358" t="s">
        <v>887</v>
      </c>
      <c r="D270" s="358"/>
      <c r="E270" s="358"/>
      <c r="F270" s="358"/>
      <c r="G270" s="358"/>
      <c r="H270" s="358"/>
      <c r="I270" s="304"/>
      <c r="J270" s="312" t="str">
        <f t="shared" si="4"/>
        <v>Compartment:  Soil - Surface in SurfSoil_NW1</v>
      </c>
      <c r="K270" s="305"/>
    </row>
    <row r="271" spans="1:11" x14ac:dyDescent="0.2">
      <c r="A271" s="301"/>
      <c r="B271" s="358" t="s">
        <v>519</v>
      </c>
      <c r="C271" s="358" t="s">
        <v>852</v>
      </c>
      <c r="D271" s="358"/>
      <c r="E271" s="358"/>
      <c r="F271" s="358"/>
      <c r="G271" s="358"/>
      <c r="H271" s="358"/>
      <c r="I271" s="304"/>
      <c r="J271" s="312" t="str">
        <f t="shared" si="4"/>
        <v>Property: MethylationRate</v>
      </c>
      <c r="K271" s="305"/>
    </row>
    <row r="272" spans="1:11" x14ac:dyDescent="0.2">
      <c r="A272" s="301"/>
      <c r="B272" s="358" t="s">
        <v>521</v>
      </c>
      <c r="C272" s="358" t="s">
        <v>774</v>
      </c>
      <c r="D272" s="358"/>
      <c r="E272" s="358"/>
      <c r="F272" s="358"/>
      <c r="G272" s="358"/>
      <c r="H272" s="358"/>
      <c r="I272" s="304"/>
      <c r="J272" s="312" t="str">
        <f t="shared" si="4"/>
        <v>Form: Constant</v>
      </c>
      <c r="K272" s="305"/>
    </row>
    <row r="273" spans="1:11" x14ac:dyDescent="0.2">
      <c r="A273" s="301"/>
      <c r="B273" s="358" t="s">
        <v>2</v>
      </c>
      <c r="C273" s="358" t="s">
        <v>860</v>
      </c>
      <c r="D273" s="358"/>
      <c r="E273" s="358"/>
      <c r="F273" s="358"/>
      <c r="G273" s="358"/>
      <c r="H273" s="358"/>
      <c r="I273" s="304"/>
      <c r="J273" s="312" t="str">
        <f t="shared" si="4"/>
        <v>Value: {Divalent Mercury} 0.003</v>
      </c>
      <c r="K273" s="305"/>
    </row>
    <row r="274" spans="1:11" x14ac:dyDescent="0.2">
      <c r="A274" s="301"/>
      <c r="B274" s="358" t="s">
        <v>849</v>
      </c>
      <c r="C274" s="358" t="s">
        <v>854</v>
      </c>
      <c r="D274" s="358" t="s">
        <v>850</v>
      </c>
      <c r="E274" s="358"/>
      <c r="F274" s="358"/>
      <c r="G274" s="358"/>
      <c r="H274" s="358"/>
      <c r="I274" s="304"/>
      <c r="J274" s="312" t="str">
        <f t="shared" si="4"/>
        <v>// Description: [[ See other documentation ]]</v>
      </c>
      <c r="K274" s="305"/>
    </row>
    <row r="275" spans="1:11" x14ac:dyDescent="0.2">
      <c r="A275" s="301"/>
      <c r="B275" s="358" t="s">
        <v>519</v>
      </c>
      <c r="C275" s="358" t="s">
        <v>855</v>
      </c>
      <c r="D275" s="358"/>
      <c r="E275" s="358"/>
      <c r="F275" s="358"/>
      <c r="G275" s="358"/>
      <c r="H275" s="358"/>
      <c r="I275" s="304"/>
      <c r="J275" s="312" t="str">
        <f t="shared" si="4"/>
        <v>Property: DemethylationRate</v>
      </c>
      <c r="K275" s="305"/>
    </row>
    <row r="276" spans="1:11" x14ac:dyDescent="0.2">
      <c r="A276" s="301"/>
      <c r="B276" s="358" t="s">
        <v>521</v>
      </c>
      <c r="C276" s="358" t="s">
        <v>774</v>
      </c>
      <c r="D276" s="358"/>
      <c r="E276" s="358"/>
      <c r="F276" s="358"/>
      <c r="G276" s="358"/>
      <c r="H276" s="358"/>
      <c r="I276" s="304"/>
      <c r="J276" s="312" t="str">
        <f t="shared" si="4"/>
        <v>Form: Constant</v>
      </c>
      <c r="K276" s="305"/>
    </row>
    <row r="277" spans="1:11" x14ac:dyDescent="0.2">
      <c r="A277" s="301"/>
      <c r="B277" s="358" t="s">
        <v>2</v>
      </c>
      <c r="C277" s="358" t="s">
        <v>861</v>
      </c>
      <c r="D277" s="358"/>
      <c r="E277" s="358"/>
      <c r="F277" s="358"/>
      <c r="G277" s="358"/>
      <c r="H277" s="358"/>
      <c r="I277" s="304"/>
      <c r="J277" s="312" t="str">
        <f t="shared" si="4"/>
        <v>Value: {MethylMercury} 0.05</v>
      </c>
      <c r="K277" s="305"/>
    </row>
    <row r="278" spans="1:11" x14ac:dyDescent="0.2">
      <c r="A278" s="301"/>
      <c r="B278" s="358" t="s">
        <v>849</v>
      </c>
      <c r="C278" s="358" t="s">
        <v>854</v>
      </c>
      <c r="D278" s="358" t="s">
        <v>850</v>
      </c>
      <c r="E278" s="358"/>
      <c r="F278" s="358"/>
      <c r="G278" s="358"/>
      <c r="H278" s="358"/>
      <c r="I278" s="304"/>
      <c r="J278" s="312" t="str">
        <f t="shared" si="4"/>
        <v>// Description: [[ See other documentation ]]</v>
      </c>
      <c r="K278" s="305"/>
    </row>
    <row r="279" spans="1:11" x14ac:dyDescent="0.2">
      <c r="A279" s="301"/>
      <c r="B279" s="358" t="s">
        <v>519</v>
      </c>
      <c r="C279" s="358" t="s">
        <v>857</v>
      </c>
      <c r="D279" s="358"/>
      <c r="E279" s="358"/>
      <c r="F279" s="358"/>
      <c r="G279" s="358"/>
      <c r="H279" s="358"/>
      <c r="I279" s="304"/>
      <c r="J279" s="312" t="str">
        <f t="shared" si="4"/>
        <v>Property: ReductionRate</v>
      </c>
      <c r="K279" s="305"/>
    </row>
    <row r="280" spans="1:11" x14ac:dyDescent="0.2">
      <c r="A280" s="301"/>
      <c r="B280" s="358" t="s">
        <v>521</v>
      </c>
      <c r="C280" s="358" t="s">
        <v>774</v>
      </c>
      <c r="D280" s="358"/>
      <c r="E280" s="358"/>
      <c r="F280" s="358"/>
      <c r="G280" s="358"/>
      <c r="H280" s="358"/>
      <c r="I280" s="304"/>
      <c r="J280" s="312" t="str">
        <f t="shared" si="4"/>
        <v>Form: Constant</v>
      </c>
      <c r="K280" s="305"/>
    </row>
    <row r="281" spans="1:11" x14ac:dyDescent="0.2">
      <c r="A281" s="301"/>
      <c r="B281" s="358" t="s">
        <v>2</v>
      </c>
      <c r="C281" s="358" t="s">
        <v>862</v>
      </c>
      <c r="D281" s="358"/>
      <c r="E281" s="358"/>
      <c r="F281" s="358"/>
      <c r="G281" s="358"/>
      <c r="H281" s="358"/>
      <c r="I281" s="304"/>
      <c r="J281" s="312" t="str">
        <f t="shared" si="4"/>
        <v>Value: {Divalent Mercury} 0.000004</v>
      </c>
      <c r="K281" s="305"/>
    </row>
    <row r="282" spans="1:11" x14ac:dyDescent="0.2">
      <c r="A282" s="301"/>
      <c r="B282" s="358" t="s">
        <v>849</v>
      </c>
      <c r="C282" s="358" t="s">
        <v>854</v>
      </c>
      <c r="D282" s="358" t="s">
        <v>850</v>
      </c>
      <c r="E282" s="358"/>
      <c r="F282" s="358"/>
      <c r="G282" s="358"/>
      <c r="H282" s="358"/>
      <c r="I282" s="304"/>
      <c r="J282" s="312" t="str">
        <f t="shared" si="4"/>
        <v>// Description: [[ See other documentation ]]</v>
      </c>
      <c r="K282" s="305"/>
    </row>
    <row r="283" spans="1:11" x14ac:dyDescent="0.2">
      <c r="A283" s="301"/>
      <c r="B283" s="358" t="s">
        <v>378</v>
      </c>
      <c r="C283" s="358" t="s">
        <v>888</v>
      </c>
      <c r="D283" s="358"/>
      <c r="E283" s="358"/>
      <c r="F283" s="358"/>
      <c r="G283" s="358"/>
      <c r="H283" s="358"/>
      <c r="I283" s="304"/>
      <c r="J283" s="312" t="str">
        <f t="shared" si="4"/>
        <v>Compartment: Soil - Root Zone in RootSoil_NW1</v>
      </c>
      <c r="K283" s="305"/>
    </row>
    <row r="284" spans="1:11" x14ac:dyDescent="0.2">
      <c r="A284" s="301"/>
      <c r="B284" s="358" t="s">
        <v>519</v>
      </c>
      <c r="C284" s="358" t="s">
        <v>852</v>
      </c>
      <c r="D284" s="358"/>
      <c r="E284" s="358"/>
      <c r="F284" s="358"/>
      <c r="G284" s="358"/>
      <c r="H284" s="358"/>
      <c r="I284" s="304"/>
      <c r="J284" s="312" t="str">
        <f t="shared" si="4"/>
        <v>Property: MethylationRate</v>
      </c>
      <c r="K284" s="305"/>
    </row>
    <row r="285" spans="1:11" x14ac:dyDescent="0.2">
      <c r="A285" s="301"/>
      <c r="B285" s="358" t="s">
        <v>521</v>
      </c>
      <c r="C285" s="358" t="s">
        <v>774</v>
      </c>
      <c r="D285" s="358"/>
      <c r="E285" s="358"/>
      <c r="F285" s="358"/>
      <c r="G285" s="358"/>
      <c r="H285" s="358"/>
      <c r="I285" s="304"/>
      <c r="J285" s="312" t="str">
        <f t="shared" si="4"/>
        <v>Form: Constant</v>
      </c>
      <c r="K285" s="305"/>
    </row>
    <row r="286" spans="1:11" x14ac:dyDescent="0.2">
      <c r="A286" s="301"/>
      <c r="B286" s="358" t="s">
        <v>2</v>
      </c>
      <c r="C286" s="358" t="s">
        <v>860</v>
      </c>
      <c r="D286" s="358"/>
      <c r="E286" s="358"/>
      <c r="F286" s="358"/>
      <c r="G286" s="358"/>
      <c r="H286" s="358"/>
      <c r="I286" s="304"/>
      <c r="J286" s="312" t="str">
        <f t="shared" si="4"/>
        <v>Value: {Divalent Mercury} 0.003</v>
      </c>
      <c r="K286" s="305"/>
    </row>
    <row r="287" spans="1:11" x14ac:dyDescent="0.2">
      <c r="A287" s="301"/>
      <c r="B287" s="358" t="s">
        <v>849</v>
      </c>
      <c r="C287" s="358" t="s">
        <v>854</v>
      </c>
      <c r="D287" s="358" t="s">
        <v>850</v>
      </c>
      <c r="E287" s="358"/>
      <c r="F287" s="358"/>
      <c r="G287" s="358"/>
      <c r="H287" s="358"/>
      <c r="I287" s="304"/>
      <c r="J287" s="312" t="str">
        <f t="shared" si="4"/>
        <v>// Description: [[ See other documentation ]]</v>
      </c>
      <c r="K287" s="305"/>
    </row>
    <row r="288" spans="1:11" x14ac:dyDescent="0.2">
      <c r="A288" s="301"/>
      <c r="B288" s="358" t="s">
        <v>519</v>
      </c>
      <c r="C288" s="358" t="s">
        <v>857</v>
      </c>
      <c r="D288" s="358"/>
      <c r="E288" s="358"/>
      <c r="F288" s="358"/>
      <c r="G288" s="358"/>
      <c r="H288" s="358"/>
      <c r="I288" s="304"/>
      <c r="J288" s="312" t="str">
        <f t="shared" si="4"/>
        <v>Property: ReductionRate</v>
      </c>
      <c r="K288" s="305"/>
    </row>
    <row r="289" spans="1:11" x14ac:dyDescent="0.2">
      <c r="A289" s="301"/>
      <c r="B289" s="358" t="s">
        <v>521</v>
      </c>
      <c r="C289" s="358" t="s">
        <v>774</v>
      </c>
      <c r="D289" s="358"/>
      <c r="E289" s="358"/>
      <c r="F289" s="358"/>
      <c r="G289" s="358"/>
      <c r="H289" s="358"/>
      <c r="I289" s="304"/>
      <c r="J289" s="312" t="str">
        <f t="shared" si="4"/>
        <v>Form: Constant</v>
      </c>
      <c r="K289" s="305"/>
    </row>
    <row r="290" spans="1:11" x14ac:dyDescent="0.2">
      <c r="A290" s="301"/>
      <c r="B290" s="358" t="s">
        <v>2</v>
      </c>
      <c r="C290" s="358" t="s">
        <v>862</v>
      </c>
      <c r="D290" s="358"/>
      <c r="E290" s="358"/>
      <c r="F290" s="358"/>
      <c r="G290" s="358"/>
      <c r="H290" s="358"/>
      <c r="I290" s="304"/>
      <c r="J290" s="312" t="str">
        <f t="shared" si="4"/>
        <v>Value: {Divalent Mercury} 0.000004</v>
      </c>
      <c r="K290" s="305"/>
    </row>
    <row r="291" spans="1:11" x14ac:dyDescent="0.2">
      <c r="A291" s="301"/>
      <c r="B291" s="358" t="s">
        <v>849</v>
      </c>
      <c r="C291" s="358" t="s">
        <v>854</v>
      </c>
      <c r="D291" s="358" t="s">
        <v>850</v>
      </c>
      <c r="E291" s="358"/>
      <c r="F291" s="358"/>
      <c r="G291" s="358"/>
      <c r="H291" s="358"/>
      <c r="I291" s="304"/>
      <c r="J291" s="312" t="str">
        <f t="shared" si="4"/>
        <v>// Description: [[ See other documentation ]]</v>
      </c>
      <c r="K291" s="305"/>
    </row>
    <row r="292" spans="1:11" x14ac:dyDescent="0.2">
      <c r="A292" s="301"/>
      <c r="B292" s="358" t="s">
        <v>378</v>
      </c>
      <c r="C292" s="358" t="s">
        <v>889</v>
      </c>
      <c r="D292" s="358"/>
      <c r="E292" s="358"/>
      <c r="F292" s="358"/>
      <c r="G292" s="358"/>
      <c r="H292" s="358"/>
      <c r="I292" s="304"/>
      <c r="J292" s="312" t="str">
        <f t="shared" si="4"/>
        <v>Compartment: Soil - Vadose Zone in VadoseSoil_NW1</v>
      </c>
      <c r="K292" s="305"/>
    </row>
    <row r="293" spans="1:11" x14ac:dyDescent="0.2">
      <c r="A293" s="301"/>
      <c r="B293" s="358" t="s">
        <v>519</v>
      </c>
      <c r="C293" s="358" t="s">
        <v>852</v>
      </c>
      <c r="D293" s="358"/>
      <c r="E293" s="358"/>
      <c r="F293" s="358"/>
      <c r="G293" s="358"/>
      <c r="H293" s="358"/>
      <c r="I293" s="304"/>
      <c r="J293" s="312" t="str">
        <f t="shared" si="4"/>
        <v>Property: MethylationRate</v>
      </c>
      <c r="K293" s="305"/>
    </row>
    <row r="294" spans="1:11" x14ac:dyDescent="0.2">
      <c r="A294" s="301"/>
      <c r="B294" s="358" t="s">
        <v>521</v>
      </c>
      <c r="C294" s="358" t="s">
        <v>774</v>
      </c>
      <c r="D294" s="358"/>
      <c r="E294" s="358"/>
      <c r="F294" s="358"/>
      <c r="G294" s="358"/>
      <c r="H294" s="358"/>
      <c r="I294" s="304"/>
      <c r="J294" s="312" t="str">
        <f t="shared" si="4"/>
        <v>Form: Constant</v>
      </c>
      <c r="K294" s="305"/>
    </row>
    <row r="295" spans="1:11" x14ac:dyDescent="0.2">
      <c r="A295" s="301"/>
      <c r="B295" s="358" t="s">
        <v>2</v>
      </c>
      <c r="C295" s="358" t="s">
        <v>860</v>
      </c>
      <c r="D295" s="358"/>
      <c r="E295" s="358"/>
      <c r="F295" s="358"/>
      <c r="G295" s="358"/>
      <c r="H295" s="358"/>
      <c r="I295" s="304"/>
      <c r="J295" s="312" t="str">
        <f t="shared" si="4"/>
        <v>Value: {Divalent Mercury} 0.003</v>
      </c>
      <c r="K295" s="305"/>
    </row>
    <row r="296" spans="1:11" x14ac:dyDescent="0.2">
      <c r="A296" s="301"/>
      <c r="B296" s="358" t="s">
        <v>849</v>
      </c>
      <c r="C296" s="358" t="s">
        <v>854</v>
      </c>
      <c r="D296" s="358" t="s">
        <v>850</v>
      </c>
      <c r="E296" s="358"/>
      <c r="F296" s="358"/>
      <c r="G296" s="358"/>
      <c r="H296" s="358"/>
      <c r="I296" s="304"/>
      <c r="J296" s="312" t="str">
        <f t="shared" si="4"/>
        <v>// Description: [[ See other documentation ]]</v>
      </c>
      <c r="K296" s="305"/>
    </row>
    <row r="297" spans="1:11" x14ac:dyDescent="0.2">
      <c r="A297" s="301"/>
      <c r="B297" s="358" t="s">
        <v>519</v>
      </c>
      <c r="C297" s="358" t="s">
        <v>857</v>
      </c>
      <c r="D297" s="358"/>
      <c r="E297" s="358"/>
      <c r="F297" s="358"/>
      <c r="G297" s="358"/>
      <c r="H297" s="358"/>
      <c r="I297" s="304"/>
      <c r="J297" s="312" t="str">
        <f t="shared" si="4"/>
        <v>Property: ReductionRate</v>
      </c>
      <c r="K297" s="305"/>
    </row>
    <row r="298" spans="1:11" x14ac:dyDescent="0.2">
      <c r="A298" s="301"/>
      <c r="B298" s="358" t="s">
        <v>521</v>
      </c>
      <c r="C298" s="358" t="s">
        <v>774</v>
      </c>
      <c r="D298" s="358"/>
      <c r="E298" s="358"/>
      <c r="F298" s="358"/>
      <c r="G298" s="358"/>
      <c r="H298" s="358"/>
      <c r="I298" s="304"/>
      <c r="J298" s="312" t="str">
        <f t="shared" si="4"/>
        <v>Form: Constant</v>
      </c>
      <c r="K298" s="305"/>
    </row>
    <row r="299" spans="1:11" x14ac:dyDescent="0.2">
      <c r="A299" s="301"/>
      <c r="B299" s="358" t="s">
        <v>2</v>
      </c>
      <c r="C299" s="358" t="s">
        <v>862</v>
      </c>
      <c r="D299" s="358"/>
      <c r="E299" s="358"/>
      <c r="F299" s="358"/>
      <c r="G299" s="358"/>
      <c r="H299" s="358"/>
      <c r="I299" s="304"/>
      <c r="J299" s="312" t="str">
        <f t="shared" si="4"/>
        <v>Value: {Divalent Mercury} 0.000004</v>
      </c>
      <c r="K299" s="305"/>
    </row>
    <row r="300" spans="1:11" x14ac:dyDescent="0.2">
      <c r="A300" s="301"/>
      <c r="B300" s="358" t="s">
        <v>849</v>
      </c>
      <c r="C300" s="358" t="s">
        <v>854</v>
      </c>
      <c r="D300" s="358" t="s">
        <v>850</v>
      </c>
      <c r="E300" s="358"/>
      <c r="F300" s="358"/>
      <c r="G300" s="358"/>
      <c r="H300" s="358"/>
      <c r="I300" s="304"/>
      <c r="J300" s="312" t="str">
        <f t="shared" si="4"/>
        <v>// Description: [[ See other documentation ]]</v>
      </c>
      <c r="K300" s="305"/>
    </row>
    <row r="301" spans="1:11" x14ac:dyDescent="0.2">
      <c r="A301" s="301"/>
      <c r="B301" s="358" t="s">
        <v>851</v>
      </c>
      <c r="C301" s="358" t="s">
        <v>890</v>
      </c>
      <c r="D301" s="358"/>
      <c r="E301" s="358"/>
      <c r="F301" s="358"/>
      <c r="G301" s="358"/>
      <c r="H301" s="358"/>
      <c r="I301" s="304"/>
      <c r="J301" s="312" t="str">
        <f t="shared" si="4"/>
        <v>Compartment:  Soil - Surface in SurfSoil_NW2</v>
      </c>
      <c r="K301" s="305"/>
    </row>
    <row r="302" spans="1:11" x14ac:dyDescent="0.2">
      <c r="A302" s="301"/>
      <c r="B302" s="358" t="s">
        <v>519</v>
      </c>
      <c r="C302" s="358" t="s">
        <v>852</v>
      </c>
      <c r="D302" s="358"/>
      <c r="E302" s="358"/>
      <c r="F302" s="358"/>
      <c r="G302" s="358"/>
      <c r="H302" s="358"/>
      <c r="I302" s="304"/>
      <c r="J302" s="312" t="str">
        <f t="shared" si="4"/>
        <v>Property: MethylationRate</v>
      </c>
      <c r="K302" s="305"/>
    </row>
    <row r="303" spans="1:11" x14ac:dyDescent="0.2">
      <c r="A303" s="301"/>
      <c r="B303" s="358" t="s">
        <v>521</v>
      </c>
      <c r="C303" s="358" t="s">
        <v>774</v>
      </c>
      <c r="D303" s="358"/>
      <c r="E303" s="358"/>
      <c r="F303" s="358"/>
      <c r="G303" s="358"/>
      <c r="H303" s="358"/>
      <c r="I303" s="304"/>
      <c r="J303" s="312" t="str">
        <f t="shared" si="4"/>
        <v>Form: Constant</v>
      </c>
      <c r="K303" s="305"/>
    </row>
    <row r="304" spans="1:11" x14ac:dyDescent="0.2">
      <c r="A304" s="301"/>
      <c r="B304" s="358" t="s">
        <v>2</v>
      </c>
      <c r="C304" s="358" t="s">
        <v>853</v>
      </c>
      <c r="D304" s="358"/>
      <c r="E304" s="358"/>
      <c r="F304" s="358"/>
      <c r="G304" s="358"/>
      <c r="H304" s="358"/>
      <c r="I304" s="304"/>
      <c r="J304" s="312" t="str">
        <f t="shared" si="4"/>
        <v>Value: {Divalent Mercury} 0.001</v>
      </c>
      <c r="K304" s="305"/>
    </row>
    <row r="305" spans="1:11" x14ac:dyDescent="0.2">
      <c r="A305" s="301"/>
      <c r="B305" s="358" t="s">
        <v>849</v>
      </c>
      <c r="C305" s="358" t="s">
        <v>854</v>
      </c>
      <c r="D305" s="358" t="s">
        <v>850</v>
      </c>
      <c r="E305" s="358"/>
      <c r="F305" s="358"/>
      <c r="G305" s="358"/>
      <c r="H305" s="358"/>
      <c r="I305" s="304"/>
      <c r="J305" s="312" t="str">
        <f t="shared" si="4"/>
        <v>// Description: [[ See other documentation ]]</v>
      </c>
      <c r="K305" s="305"/>
    </row>
    <row r="306" spans="1:11" x14ac:dyDescent="0.2">
      <c r="A306" s="301"/>
      <c r="B306" s="358" t="s">
        <v>519</v>
      </c>
      <c r="C306" s="358" t="s">
        <v>855</v>
      </c>
      <c r="D306" s="358"/>
      <c r="E306" s="358"/>
      <c r="F306" s="358"/>
      <c r="G306" s="358"/>
      <c r="H306" s="358"/>
      <c r="I306" s="304"/>
      <c r="J306" s="312" t="str">
        <f t="shared" si="4"/>
        <v>Property: DemethylationRate</v>
      </c>
      <c r="K306" s="305"/>
    </row>
    <row r="307" spans="1:11" x14ac:dyDescent="0.2">
      <c r="A307" s="301"/>
      <c r="B307" s="358" t="s">
        <v>521</v>
      </c>
      <c r="C307" s="358" t="s">
        <v>774</v>
      </c>
      <c r="D307" s="358"/>
      <c r="E307" s="358"/>
      <c r="F307" s="358"/>
      <c r="G307" s="358"/>
      <c r="H307" s="358"/>
      <c r="I307" s="304"/>
      <c r="J307" s="312" t="str">
        <f t="shared" si="4"/>
        <v>Form: Constant</v>
      </c>
      <c r="K307" s="305"/>
    </row>
    <row r="308" spans="1:11" x14ac:dyDescent="0.2">
      <c r="A308" s="301"/>
      <c r="B308" s="358" t="s">
        <v>2</v>
      </c>
      <c r="C308" s="358" t="s">
        <v>856</v>
      </c>
      <c r="D308" s="358"/>
      <c r="E308" s="358"/>
      <c r="F308" s="358"/>
      <c r="G308" s="358"/>
      <c r="H308" s="358"/>
      <c r="I308" s="304"/>
      <c r="J308" s="312" t="str">
        <f t="shared" si="4"/>
        <v>Value: {MethylMercury} 0.06</v>
      </c>
      <c r="K308" s="305"/>
    </row>
    <row r="309" spans="1:11" x14ac:dyDescent="0.2">
      <c r="A309" s="301"/>
      <c r="B309" s="358" t="s">
        <v>849</v>
      </c>
      <c r="C309" s="358" t="s">
        <v>854</v>
      </c>
      <c r="D309" s="358" t="s">
        <v>850</v>
      </c>
      <c r="E309" s="358"/>
      <c r="F309" s="358"/>
      <c r="G309" s="358"/>
      <c r="H309" s="358"/>
      <c r="I309" s="304"/>
      <c r="J309" s="312" t="str">
        <f t="shared" si="4"/>
        <v>// Description: [[ See other documentation ]]</v>
      </c>
      <c r="K309" s="305"/>
    </row>
    <row r="310" spans="1:11" x14ac:dyDescent="0.2">
      <c r="A310" s="301"/>
      <c r="B310" s="358" t="s">
        <v>519</v>
      </c>
      <c r="C310" s="358" t="s">
        <v>857</v>
      </c>
      <c r="D310" s="358"/>
      <c r="E310" s="358"/>
      <c r="F310" s="358"/>
      <c r="G310" s="358"/>
      <c r="H310" s="358"/>
      <c r="I310" s="304"/>
      <c r="J310" s="312" t="str">
        <f t="shared" si="4"/>
        <v>Property: ReductionRate</v>
      </c>
      <c r="K310" s="305"/>
    </row>
    <row r="311" spans="1:11" x14ac:dyDescent="0.2">
      <c r="A311" s="301"/>
      <c r="B311" s="358" t="s">
        <v>521</v>
      </c>
      <c r="C311" s="358" t="s">
        <v>774</v>
      </c>
      <c r="D311" s="358"/>
      <c r="E311" s="358"/>
      <c r="F311" s="358"/>
      <c r="G311" s="358"/>
      <c r="H311" s="358"/>
      <c r="I311" s="304"/>
      <c r="J311" s="312" t="str">
        <f t="shared" si="4"/>
        <v>Form: Constant</v>
      </c>
      <c r="K311" s="305"/>
    </row>
    <row r="312" spans="1:11" x14ac:dyDescent="0.2">
      <c r="A312" s="301"/>
      <c r="B312" s="358" t="s">
        <v>2</v>
      </c>
      <c r="C312" s="358" t="s">
        <v>858</v>
      </c>
      <c r="D312" s="358"/>
      <c r="E312" s="358"/>
      <c r="F312" s="358"/>
      <c r="G312" s="358"/>
      <c r="H312" s="358"/>
      <c r="I312" s="304"/>
      <c r="J312" s="312" t="str">
        <f t="shared" si="4"/>
        <v>Value: {Divalent Mercury} 0.0000125</v>
      </c>
      <c r="K312" s="305"/>
    </row>
    <row r="313" spans="1:11" x14ac:dyDescent="0.2">
      <c r="A313" s="301"/>
      <c r="B313" s="358" t="s">
        <v>849</v>
      </c>
      <c r="C313" s="358" t="s">
        <v>854</v>
      </c>
      <c r="D313" s="358" t="s">
        <v>850</v>
      </c>
      <c r="E313" s="358"/>
      <c r="F313" s="358"/>
      <c r="G313" s="358"/>
      <c r="H313" s="358"/>
      <c r="I313" s="304"/>
      <c r="J313" s="312" t="str">
        <f t="shared" si="4"/>
        <v>// Description: [[ See other documentation ]]</v>
      </c>
      <c r="K313" s="305"/>
    </row>
    <row r="314" spans="1:11" x14ac:dyDescent="0.2">
      <c r="A314" s="301"/>
      <c r="B314" s="358" t="s">
        <v>378</v>
      </c>
      <c r="C314" s="358" t="s">
        <v>891</v>
      </c>
      <c r="D314" s="358"/>
      <c r="E314" s="358"/>
      <c r="F314" s="358"/>
      <c r="G314" s="358"/>
      <c r="H314" s="358"/>
      <c r="I314" s="304"/>
      <c r="J314" s="312" t="str">
        <f t="shared" si="4"/>
        <v>Compartment: Soil - Root Zone in RootSoil_NW2</v>
      </c>
      <c r="K314" s="305"/>
    </row>
    <row r="315" spans="1:11" x14ac:dyDescent="0.2">
      <c r="A315" s="301"/>
      <c r="B315" s="358" t="s">
        <v>519</v>
      </c>
      <c r="C315" s="358" t="s">
        <v>852</v>
      </c>
      <c r="D315" s="358"/>
      <c r="E315" s="358"/>
      <c r="F315" s="358"/>
      <c r="G315" s="358"/>
      <c r="H315" s="358"/>
      <c r="I315" s="304"/>
      <c r="J315" s="312" t="str">
        <f t="shared" si="4"/>
        <v>Property: MethylationRate</v>
      </c>
      <c r="K315" s="305"/>
    </row>
    <row r="316" spans="1:11" x14ac:dyDescent="0.2">
      <c r="A316" s="301"/>
      <c r="B316" s="358" t="s">
        <v>521</v>
      </c>
      <c r="C316" s="358" t="s">
        <v>774</v>
      </c>
      <c r="D316" s="358"/>
      <c r="E316" s="358"/>
      <c r="F316" s="358"/>
      <c r="G316" s="358"/>
      <c r="H316" s="358"/>
      <c r="I316" s="304"/>
      <c r="J316" s="312" t="str">
        <f t="shared" si="4"/>
        <v>Form: Constant</v>
      </c>
      <c r="K316" s="305"/>
    </row>
    <row r="317" spans="1:11" x14ac:dyDescent="0.2">
      <c r="A317" s="301"/>
      <c r="B317" s="358" t="s">
        <v>2</v>
      </c>
      <c r="C317" s="358" t="s">
        <v>853</v>
      </c>
      <c r="D317" s="358"/>
      <c r="E317" s="358"/>
      <c r="F317" s="358"/>
      <c r="G317" s="358"/>
      <c r="H317" s="358"/>
      <c r="I317" s="304"/>
      <c r="J317" s="312" t="str">
        <f t="shared" si="4"/>
        <v>Value: {Divalent Mercury} 0.001</v>
      </c>
      <c r="K317" s="305"/>
    </row>
    <row r="318" spans="1:11" x14ac:dyDescent="0.2">
      <c r="A318" s="301"/>
      <c r="B318" s="358" t="s">
        <v>849</v>
      </c>
      <c r="C318" s="358" t="s">
        <v>854</v>
      </c>
      <c r="D318" s="358" t="s">
        <v>850</v>
      </c>
      <c r="E318" s="358"/>
      <c r="F318" s="358"/>
      <c r="G318" s="358"/>
      <c r="H318" s="358"/>
      <c r="I318" s="304"/>
      <c r="J318" s="312" t="str">
        <f t="shared" si="4"/>
        <v>// Description: [[ See other documentation ]]</v>
      </c>
      <c r="K318" s="305"/>
    </row>
    <row r="319" spans="1:11" x14ac:dyDescent="0.2">
      <c r="A319" s="301"/>
      <c r="B319" s="358" t="s">
        <v>519</v>
      </c>
      <c r="C319" s="358" t="s">
        <v>857</v>
      </c>
      <c r="D319" s="358"/>
      <c r="E319" s="358"/>
      <c r="F319" s="358"/>
      <c r="G319" s="358"/>
      <c r="H319" s="358"/>
      <c r="I319" s="304"/>
      <c r="J319" s="312" t="str">
        <f t="shared" si="4"/>
        <v>Property: ReductionRate</v>
      </c>
      <c r="K319" s="305"/>
    </row>
    <row r="320" spans="1:11" x14ac:dyDescent="0.2">
      <c r="A320" s="301"/>
      <c r="B320" s="358" t="s">
        <v>521</v>
      </c>
      <c r="C320" s="358" t="s">
        <v>774</v>
      </c>
      <c r="D320" s="358"/>
      <c r="E320" s="358"/>
      <c r="F320" s="358"/>
      <c r="G320" s="358"/>
      <c r="H320" s="358"/>
      <c r="I320" s="304"/>
      <c r="J320" s="312" t="str">
        <f t="shared" si="4"/>
        <v>Form: Constant</v>
      </c>
      <c r="K320" s="305"/>
    </row>
    <row r="321" spans="1:11" x14ac:dyDescent="0.2">
      <c r="A321" s="301"/>
      <c r="B321" s="358" t="s">
        <v>2</v>
      </c>
      <c r="C321" s="358" t="s">
        <v>859</v>
      </c>
      <c r="D321" s="358"/>
      <c r="E321" s="358"/>
      <c r="F321" s="358"/>
      <c r="G321" s="358"/>
      <c r="H321" s="358"/>
      <c r="I321" s="304"/>
      <c r="J321" s="312" t="str">
        <f t="shared" si="4"/>
        <v>Value: {Divalent Mercury} 0.00000325</v>
      </c>
      <c r="K321" s="305"/>
    </row>
    <row r="322" spans="1:11" x14ac:dyDescent="0.2">
      <c r="A322" s="301"/>
      <c r="B322" s="358" t="s">
        <v>849</v>
      </c>
      <c r="C322" s="358" t="s">
        <v>854</v>
      </c>
      <c r="D322" s="358" t="s">
        <v>850</v>
      </c>
      <c r="E322" s="358"/>
      <c r="F322" s="358"/>
      <c r="G322" s="358"/>
      <c r="H322" s="358"/>
      <c r="I322" s="304"/>
      <c r="J322" s="312" t="str">
        <f t="shared" si="4"/>
        <v>// Description: [[ See other documentation ]]</v>
      </c>
      <c r="K322" s="305"/>
    </row>
    <row r="323" spans="1:11" x14ac:dyDescent="0.2">
      <c r="A323" s="301"/>
      <c r="B323" s="358" t="s">
        <v>378</v>
      </c>
      <c r="C323" s="358" t="s">
        <v>892</v>
      </c>
      <c r="D323" s="358"/>
      <c r="E323" s="358"/>
      <c r="F323" s="358"/>
      <c r="G323" s="358"/>
      <c r="H323" s="358"/>
      <c r="I323" s="304"/>
      <c r="J323" s="312" t="str">
        <f t="shared" si="4"/>
        <v>Compartment: Soil - Vadose Zone in VadoseSoil_NW2</v>
      </c>
      <c r="K323" s="305"/>
    </row>
    <row r="324" spans="1:11" x14ac:dyDescent="0.2">
      <c r="A324" s="301"/>
      <c r="B324" s="358" t="s">
        <v>519</v>
      </c>
      <c r="C324" s="358" t="s">
        <v>852</v>
      </c>
      <c r="D324" s="358"/>
      <c r="E324" s="358"/>
      <c r="F324" s="358"/>
      <c r="G324" s="358"/>
      <c r="H324" s="358"/>
      <c r="I324" s="304"/>
      <c r="J324" s="312" t="str">
        <f t="shared" si="4"/>
        <v>Property: MethylationRate</v>
      </c>
      <c r="K324" s="305"/>
    </row>
    <row r="325" spans="1:11" x14ac:dyDescent="0.2">
      <c r="A325" s="301"/>
      <c r="B325" s="358" t="s">
        <v>521</v>
      </c>
      <c r="C325" s="358" t="s">
        <v>774</v>
      </c>
      <c r="D325" s="358"/>
      <c r="E325" s="358"/>
      <c r="F325" s="358"/>
      <c r="G325" s="358"/>
      <c r="H325" s="358"/>
      <c r="I325" s="304"/>
      <c r="J325" s="312" t="str">
        <f t="shared" ref="J325:J388" si="5">ConcatenateWithSpaces(B325:H325)</f>
        <v>Form: Constant</v>
      </c>
      <c r="K325" s="305"/>
    </row>
    <row r="326" spans="1:11" x14ac:dyDescent="0.2">
      <c r="A326" s="301"/>
      <c r="B326" s="358" t="s">
        <v>2</v>
      </c>
      <c r="C326" s="358" t="s">
        <v>853</v>
      </c>
      <c r="D326" s="358"/>
      <c r="E326" s="358"/>
      <c r="F326" s="358"/>
      <c r="G326" s="358"/>
      <c r="H326" s="358"/>
      <c r="I326" s="304"/>
      <c r="J326" s="312" t="str">
        <f t="shared" si="5"/>
        <v>Value: {Divalent Mercury} 0.001</v>
      </c>
      <c r="K326" s="305"/>
    </row>
    <row r="327" spans="1:11" x14ac:dyDescent="0.2">
      <c r="A327" s="301"/>
      <c r="B327" s="358" t="s">
        <v>849</v>
      </c>
      <c r="C327" s="358" t="s">
        <v>854</v>
      </c>
      <c r="D327" s="358" t="s">
        <v>850</v>
      </c>
      <c r="E327" s="358"/>
      <c r="F327" s="358"/>
      <c r="G327" s="358"/>
      <c r="H327" s="358"/>
      <c r="I327" s="304"/>
      <c r="J327" s="312" t="str">
        <f t="shared" si="5"/>
        <v>// Description: [[ See other documentation ]]</v>
      </c>
      <c r="K327" s="305"/>
    </row>
    <row r="328" spans="1:11" x14ac:dyDescent="0.2">
      <c r="A328" s="301"/>
      <c r="B328" s="358" t="s">
        <v>519</v>
      </c>
      <c r="C328" s="358" t="s">
        <v>857</v>
      </c>
      <c r="D328" s="358"/>
      <c r="E328" s="358"/>
      <c r="F328" s="358"/>
      <c r="G328" s="358"/>
      <c r="H328" s="358"/>
      <c r="I328" s="304"/>
      <c r="J328" s="312" t="str">
        <f t="shared" si="5"/>
        <v>Property: ReductionRate</v>
      </c>
      <c r="K328" s="305"/>
    </row>
    <row r="329" spans="1:11" x14ac:dyDescent="0.2">
      <c r="A329" s="301"/>
      <c r="B329" s="358" t="s">
        <v>521</v>
      </c>
      <c r="C329" s="358" t="s">
        <v>774</v>
      </c>
      <c r="D329" s="358"/>
      <c r="E329" s="358"/>
      <c r="F329" s="358"/>
      <c r="G329" s="358"/>
      <c r="H329" s="358"/>
      <c r="I329" s="304"/>
      <c r="J329" s="312" t="str">
        <f t="shared" si="5"/>
        <v>Form: Constant</v>
      </c>
      <c r="K329" s="305"/>
    </row>
    <row r="330" spans="1:11" x14ac:dyDescent="0.2">
      <c r="A330" s="301"/>
      <c r="B330" s="358" t="s">
        <v>2</v>
      </c>
      <c r="C330" s="358" t="s">
        <v>859</v>
      </c>
      <c r="D330" s="358"/>
      <c r="E330" s="358"/>
      <c r="F330" s="358"/>
      <c r="G330" s="358"/>
      <c r="H330" s="358"/>
      <c r="I330" s="304"/>
      <c r="J330" s="312" t="str">
        <f t="shared" si="5"/>
        <v>Value: {Divalent Mercury} 0.00000325</v>
      </c>
      <c r="K330" s="305"/>
    </row>
    <row r="331" spans="1:11" x14ac:dyDescent="0.2">
      <c r="A331" s="301"/>
      <c r="B331" s="358" t="s">
        <v>849</v>
      </c>
      <c r="C331" s="358" t="s">
        <v>854</v>
      </c>
      <c r="D331" s="358" t="s">
        <v>850</v>
      </c>
      <c r="E331" s="358"/>
      <c r="F331" s="358"/>
      <c r="G331" s="358"/>
      <c r="H331" s="358"/>
      <c r="I331" s="304"/>
      <c r="J331" s="312" t="str">
        <f t="shared" si="5"/>
        <v>// Description: [[ See other documentation ]]</v>
      </c>
      <c r="K331" s="305"/>
    </row>
    <row r="332" spans="1:11" x14ac:dyDescent="0.2">
      <c r="A332" s="301"/>
      <c r="B332" s="358" t="s">
        <v>851</v>
      </c>
      <c r="C332" s="358" t="s">
        <v>893</v>
      </c>
      <c r="D332" s="358"/>
      <c r="E332" s="358"/>
      <c r="F332" s="358"/>
      <c r="G332" s="358"/>
      <c r="H332" s="358"/>
      <c r="I332" s="304"/>
      <c r="J332" s="312" t="str">
        <f t="shared" si="5"/>
        <v>Compartment:  Soil - Surface in SurfSoil_S1</v>
      </c>
      <c r="K332" s="305"/>
    </row>
    <row r="333" spans="1:11" x14ac:dyDescent="0.2">
      <c r="A333" s="301"/>
      <c r="B333" s="358" t="s">
        <v>519</v>
      </c>
      <c r="C333" s="358" t="s">
        <v>852</v>
      </c>
      <c r="D333" s="358"/>
      <c r="E333" s="358"/>
      <c r="F333" s="358"/>
      <c r="G333" s="358"/>
      <c r="H333" s="358"/>
      <c r="I333" s="304"/>
      <c r="J333" s="312" t="str">
        <f t="shared" si="5"/>
        <v>Property: MethylationRate</v>
      </c>
      <c r="K333" s="305"/>
    </row>
    <row r="334" spans="1:11" x14ac:dyDescent="0.2">
      <c r="A334" s="301"/>
      <c r="B334" s="358" t="s">
        <v>521</v>
      </c>
      <c r="C334" s="358" t="s">
        <v>774</v>
      </c>
      <c r="D334" s="358"/>
      <c r="E334" s="358"/>
      <c r="F334" s="358"/>
      <c r="G334" s="358"/>
      <c r="H334" s="358"/>
      <c r="I334" s="304"/>
      <c r="J334" s="312" t="str">
        <f t="shared" si="5"/>
        <v>Form: Constant</v>
      </c>
      <c r="K334" s="305"/>
    </row>
    <row r="335" spans="1:11" x14ac:dyDescent="0.2">
      <c r="A335" s="301"/>
      <c r="B335" s="358" t="s">
        <v>2</v>
      </c>
      <c r="C335" s="358" t="s">
        <v>853</v>
      </c>
      <c r="D335" s="358"/>
      <c r="E335" s="358"/>
      <c r="F335" s="358"/>
      <c r="G335" s="358"/>
      <c r="H335" s="358"/>
      <c r="I335" s="304"/>
      <c r="J335" s="312" t="str">
        <f t="shared" si="5"/>
        <v>Value: {Divalent Mercury} 0.001</v>
      </c>
      <c r="K335" s="305"/>
    </row>
    <row r="336" spans="1:11" x14ac:dyDescent="0.2">
      <c r="A336" s="301"/>
      <c r="B336" s="358" t="s">
        <v>849</v>
      </c>
      <c r="C336" s="358" t="s">
        <v>854</v>
      </c>
      <c r="D336" s="358" t="s">
        <v>850</v>
      </c>
      <c r="E336" s="358"/>
      <c r="F336" s="358"/>
      <c r="G336" s="358"/>
      <c r="H336" s="358"/>
      <c r="I336" s="304"/>
      <c r="J336" s="312" t="str">
        <f t="shared" si="5"/>
        <v>// Description: [[ See other documentation ]]</v>
      </c>
      <c r="K336" s="305"/>
    </row>
    <row r="337" spans="1:11" x14ac:dyDescent="0.2">
      <c r="A337" s="301"/>
      <c r="B337" s="358" t="s">
        <v>519</v>
      </c>
      <c r="C337" s="358" t="s">
        <v>855</v>
      </c>
      <c r="D337" s="358"/>
      <c r="E337" s="358"/>
      <c r="F337" s="358"/>
      <c r="G337" s="358"/>
      <c r="H337" s="358"/>
      <c r="I337" s="304"/>
      <c r="J337" s="312" t="str">
        <f t="shared" si="5"/>
        <v>Property: DemethylationRate</v>
      </c>
      <c r="K337" s="305"/>
    </row>
    <row r="338" spans="1:11" x14ac:dyDescent="0.2">
      <c r="A338" s="301"/>
      <c r="B338" s="358" t="s">
        <v>521</v>
      </c>
      <c r="C338" s="358" t="s">
        <v>774</v>
      </c>
      <c r="D338" s="358"/>
      <c r="E338" s="358"/>
      <c r="F338" s="358"/>
      <c r="G338" s="358"/>
      <c r="H338" s="358"/>
      <c r="I338" s="304"/>
      <c r="J338" s="312" t="str">
        <f t="shared" si="5"/>
        <v>Form: Constant</v>
      </c>
      <c r="K338" s="305"/>
    </row>
    <row r="339" spans="1:11" x14ac:dyDescent="0.2">
      <c r="A339" s="301"/>
      <c r="B339" s="358" t="s">
        <v>2</v>
      </c>
      <c r="C339" s="358" t="s">
        <v>856</v>
      </c>
      <c r="D339" s="358"/>
      <c r="E339" s="358"/>
      <c r="F339" s="358"/>
      <c r="G339" s="358"/>
      <c r="H339" s="358"/>
      <c r="I339" s="304"/>
      <c r="J339" s="312" t="str">
        <f t="shared" si="5"/>
        <v>Value: {MethylMercury} 0.06</v>
      </c>
      <c r="K339" s="305"/>
    </row>
    <row r="340" spans="1:11" x14ac:dyDescent="0.2">
      <c r="A340" s="301"/>
      <c r="B340" s="358" t="s">
        <v>849</v>
      </c>
      <c r="C340" s="358" t="s">
        <v>854</v>
      </c>
      <c r="D340" s="358" t="s">
        <v>850</v>
      </c>
      <c r="E340" s="358"/>
      <c r="F340" s="358"/>
      <c r="G340" s="358"/>
      <c r="H340" s="358"/>
      <c r="I340" s="304"/>
      <c r="J340" s="312" t="str">
        <f t="shared" si="5"/>
        <v>// Description: [[ See other documentation ]]</v>
      </c>
      <c r="K340" s="305"/>
    </row>
    <row r="341" spans="1:11" x14ac:dyDescent="0.2">
      <c r="A341" s="301"/>
      <c r="B341" s="358" t="s">
        <v>519</v>
      </c>
      <c r="C341" s="358" t="s">
        <v>857</v>
      </c>
      <c r="D341" s="358"/>
      <c r="E341" s="358"/>
      <c r="F341" s="358"/>
      <c r="G341" s="358"/>
      <c r="H341" s="358"/>
      <c r="I341" s="304"/>
      <c r="J341" s="312" t="str">
        <f t="shared" si="5"/>
        <v>Property: ReductionRate</v>
      </c>
      <c r="K341" s="305"/>
    </row>
    <row r="342" spans="1:11" x14ac:dyDescent="0.2">
      <c r="A342" s="301"/>
      <c r="B342" s="358" t="s">
        <v>521</v>
      </c>
      <c r="C342" s="358" t="s">
        <v>774</v>
      </c>
      <c r="D342" s="358"/>
      <c r="E342" s="358"/>
      <c r="F342" s="358"/>
      <c r="G342" s="358"/>
      <c r="H342" s="358"/>
      <c r="I342" s="304"/>
      <c r="J342" s="312" t="str">
        <f t="shared" si="5"/>
        <v>Form: Constant</v>
      </c>
      <c r="K342" s="305"/>
    </row>
    <row r="343" spans="1:11" x14ac:dyDescent="0.2">
      <c r="A343" s="301"/>
      <c r="B343" s="358" t="s">
        <v>2</v>
      </c>
      <c r="C343" s="358" t="s">
        <v>858</v>
      </c>
      <c r="D343" s="358"/>
      <c r="E343" s="358"/>
      <c r="F343" s="358"/>
      <c r="G343" s="358"/>
      <c r="H343" s="358"/>
      <c r="I343" s="304"/>
      <c r="J343" s="312" t="str">
        <f t="shared" si="5"/>
        <v>Value: {Divalent Mercury} 0.0000125</v>
      </c>
      <c r="K343" s="305"/>
    </row>
    <row r="344" spans="1:11" x14ac:dyDescent="0.2">
      <c r="A344" s="301"/>
      <c r="B344" s="358" t="s">
        <v>849</v>
      </c>
      <c r="C344" s="358" t="s">
        <v>854</v>
      </c>
      <c r="D344" s="358" t="s">
        <v>850</v>
      </c>
      <c r="E344" s="358"/>
      <c r="F344" s="358"/>
      <c r="G344" s="358"/>
      <c r="H344" s="358"/>
      <c r="I344" s="304"/>
      <c r="J344" s="312" t="str">
        <f t="shared" si="5"/>
        <v>// Description: [[ See other documentation ]]</v>
      </c>
      <c r="K344" s="305"/>
    </row>
    <row r="345" spans="1:11" x14ac:dyDescent="0.2">
      <c r="A345" s="301"/>
      <c r="B345" s="358" t="s">
        <v>378</v>
      </c>
      <c r="C345" s="358" t="s">
        <v>894</v>
      </c>
      <c r="D345" s="358"/>
      <c r="E345" s="358"/>
      <c r="F345" s="358"/>
      <c r="G345" s="358"/>
      <c r="H345" s="358"/>
      <c r="I345" s="304"/>
      <c r="J345" s="312" t="str">
        <f t="shared" si="5"/>
        <v>Compartment: Soil - Root Zone in RootSoil_S1</v>
      </c>
      <c r="K345" s="305"/>
    </row>
    <row r="346" spans="1:11" x14ac:dyDescent="0.2">
      <c r="A346" s="301"/>
      <c r="B346" s="358" t="s">
        <v>519</v>
      </c>
      <c r="C346" s="358" t="s">
        <v>852</v>
      </c>
      <c r="D346" s="358"/>
      <c r="E346" s="358"/>
      <c r="F346" s="358"/>
      <c r="G346" s="358"/>
      <c r="H346" s="358"/>
      <c r="I346" s="304"/>
      <c r="J346" s="312" t="str">
        <f t="shared" si="5"/>
        <v>Property: MethylationRate</v>
      </c>
      <c r="K346" s="305"/>
    </row>
    <row r="347" spans="1:11" x14ac:dyDescent="0.2">
      <c r="A347" s="301"/>
      <c r="B347" s="358" t="s">
        <v>521</v>
      </c>
      <c r="C347" s="358" t="s">
        <v>774</v>
      </c>
      <c r="D347" s="358"/>
      <c r="E347" s="358"/>
      <c r="F347" s="358"/>
      <c r="G347" s="358"/>
      <c r="H347" s="358"/>
      <c r="I347" s="304"/>
      <c r="J347" s="312" t="str">
        <f t="shared" si="5"/>
        <v>Form: Constant</v>
      </c>
      <c r="K347" s="305"/>
    </row>
    <row r="348" spans="1:11" x14ac:dyDescent="0.2">
      <c r="A348" s="301"/>
      <c r="B348" s="358" t="s">
        <v>2</v>
      </c>
      <c r="C348" s="358" t="s">
        <v>853</v>
      </c>
      <c r="D348" s="358"/>
      <c r="E348" s="358"/>
      <c r="F348" s="358"/>
      <c r="G348" s="358"/>
      <c r="H348" s="358"/>
      <c r="I348" s="304"/>
      <c r="J348" s="312" t="str">
        <f t="shared" si="5"/>
        <v>Value: {Divalent Mercury} 0.001</v>
      </c>
      <c r="K348" s="305"/>
    </row>
    <row r="349" spans="1:11" x14ac:dyDescent="0.2">
      <c r="A349" s="301"/>
      <c r="B349" s="358" t="s">
        <v>849</v>
      </c>
      <c r="C349" s="358" t="s">
        <v>854</v>
      </c>
      <c r="D349" s="358" t="s">
        <v>850</v>
      </c>
      <c r="E349" s="358"/>
      <c r="F349" s="358"/>
      <c r="G349" s="358"/>
      <c r="H349" s="358"/>
      <c r="I349" s="304"/>
      <c r="J349" s="312" t="str">
        <f t="shared" si="5"/>
        <v>// Description: [[ See other documentation ]]</v>
      </c>
      <c r="K349" s="305"/>
    </row>
    <row r="350" spans="1:11" x14ac:dyDescent="0.2">
      <c r="A350" s="301"/>
      <c r="B350" s="358" t="s">
        <v>519</v>
      </c>
      <c r="C350" s="358" t="s">
        <v>857</v>
      </c>
      <c r="D350" s="358"/>
      <c r="E350" s="358"/>
      <c r="F350" s="358"/>
      <c r="G350" s="358"/>
      <c r="H350" s="358"/>
      <c r="I350" s="304"/>
      <c r="J350" s="312" t="str">
        <f t="shared" si="5"/>
        <v>Property: ReductionRate</v>
      </c>
      <c r="K350" s="305"/>
    </row>
    <row r="351" spans="1:11" x14ac:dyDescent="0.2">
      <c r="A351" s="301"/>
      <c r="B351" s="358" t="s">
        <v>521</v>
      </c>
      <c r="C351" s="358" t="s">
        <v>774</v>
      </c>
      <c r="D351" s="358"/>
      <c r="E351" s="358"/>
      <c r="F351" s="358"/>
      <c r="G351" s="358"/>
      <c r="H351" s="358"/>
      <c r="I351" s="304"/>
      <c r="J351" s="312" t="str">
        <f t="shared" si="5"/>
        <v>Form: Constant</v>
      </c>
      <c r="K351" s="305"/>
    </row>
    <row r="352" spans="1:11" x14ac:dyDescent="0.2">
      <c r="A352" s="301"/>
      <c r="B352" s="358" t="s">
        <v>2</v>
      </c>
      <c r="C352" s="358" t="s">
        <v>859</v>
      </c>
      <c r="D352" s="358"/>
      <c r="E352" s="358"/>
      <c r="F352" s="358"/>
      <c r="G352" s="358"/>
      <c r="H352" s="358"/>
      <c r="I352" s="304"/>
      <c r="J352" s="312" t="str">
        <f t="shared" si="5"/>
        <v>Value: {Divalent Mercury} 0.00000325</v>
      </c>
      <c r="K352" s="305"/>
    </row>
    <row r="353" spans="1:11" x14ac:dyDescent="0.2">
      <c r="A353" s="301"/>
      <c r="B353" s="358" t="s">
        <v>849</v>
      </c>
      <c r="C353" s="358" t="s">
        <v>854</v>
      </c>
      <c r="D353" s="358" t="s">
        <v>850</v>
      </c>
      <c r="E353" s="358"/>
      <c r="F353" s="358"/>
      <c r="G353" s="358"/>
      <c r="H353" s="358"/>
      <c r="I353" s="304"/>
      <c r="J353" s="312" t="str">
        <f t="shared" si="5"/>
        <v>// Description: [[ See other documentation ]]</v>
      </c>
      <c r="K353" s="305"/>
    </row>
    <row r="354" spans="1:11" x14ac:dyDescent="0.2">
      <c r="A354" s="301"/>
      <c r="B354" s="358" t="s">
        <v>378</v>
      </c>
      <c r="C354" s="358" t="s">
        <v>895</v>
      </c>
      <c r="D354" s="358"/>
      <c r="E354" s="358"/>
      <c r="F354" s="358"/>
      <c r="G354" s="358"/>
      <c r="H354" s="358"/>
      <c r="I354" s="304"/>
      <c r="J354" s="312" t="str">
        <f t="shared" si="5"/>
        <v>Compartment: Soil - Vadose Zone in VadoseSoil_S1</v>
      </c>
      <c r="K354" s="305"/>
    </row>
    <row r="355" spans="1:11" x14ac:dyDescent="0.2">
      <c r="A355" s="301"/>
      <c r="B355" s="358" t="s">
        <v>519</v>
      </c>
      <c r="C355" s="358" t="s">
        <v>852</v>
      </c>
      <c r="D355" s="358"/>
      <c r="E355" s="358"/>
      <c r="F355" s="358"/>
      <c r="G355" s="358"/>
      <c r="H355" s="358"/>
      <c r="I355" s="304"/>
      <c r="J355" s="312" t="str">
        <f t="shared" si="5"/>
        <v>Property: MethylationRate</v>
      </c>
      <c r="K355" s="305"/>
    </row>
    <row r="356" spans="1:11" x14ac:dyDescent="0.2">
      <c r="A356" s="301"/>
      <c r="B356" s="358" t="s">
        <v>521</v>
      </c>
      <c r="C356" s="358" t="s">
        <v>774</v>
      </c>
      <c r="D356" s="358"/>
      <c r="E356" s="358"/>
      <c r="F356" s="358"/>
      <c r="G356" s="358"/>
      <c r="H356" s="358"/>
      <c r="I356" s="304"/>
      <c r="J356" s="312" t="str">
        <f t="shared" si="5"/>
        <v>Form: Constant</v>
      </c>
      <c r="K356" s="305"/>
    </row>
    <row r="357" spans="1:11" x14ac:dyDescent="0.2">
      <c r="A357" s="301"/>
      <c r="B357" s="358" t="s">
        <v>2</v>
      </c>
      <c r="C357" s="358" t="s">
        <v>853</v>
      </c>
      <c r="D357" s="358"/>
      <c r="E357" s="358"/>
      <c r="F357" s="358"/>
      <c r="G357" s="358"/>
      <c r="H357" s="358"/>
      <c r="I357" s="304"/>
      <c r="J357" s="312" t="str">
        <f t="shared" si="5"/>
        <v>Value: {Divalent Mercury} 0.001</v>
      </c>
      <c r="K357" s="305"/>
    </row>
    <row r="358" spans="1:11" x14ac:dyDescent="0.2">
      <c r="A358" s="301"/>
      <c r="B358" s="358" t="s">
        <v>849</v>
      </c>
      <c r="C358" s="358" t="s">
        <v>854</v>
      </c>
      <c r="D358" s="358" t="s">
        <v>850</v>
      </c>
      <c r="E358" s="358"/>
      <c r="F358" s="358"/>
      <c r="G358" s="358"/>
      <c r="H358" s="358"/>
      <c r="I358" s="304"/>
      <c r="J358" s="312" t="str">
        <f t="shared" si="5"/>
        <v>// Description: [[ See other documentation ]]</v>
      </c>
      <c r="K358" s="305"/>
    </row>
    <row r="359" spans="1:11" x14ac:dyDescent="0.2">
      <c r="A359" s="301"/>
      <c r="B359" s="358" t="s">
        <v>519</v>
      </c>
      <c r="C359" s="358" t="s">
        <v>857</v>
      </c>
      <c r="D359" s="358"/>
      <c r="E359" s="358"/>
      <c r="F359" s="358"/>
      <c r="G359" s="358"/>
      <c r="H359" s="358"/>
      <c r="I359" s="304"/>
      <c r="J359" s="312" t="str">
        <f t="shared" si="5"/>
        <v>Property: ReductionRate</v>
      </c>
      <c r="K359" s="305"/>
    </row>
    <row r="360" spans="1:11" x14ac:dyDescent="0.2">
      <c r="A360" s="301"/>
      <c r="B360" s="358" t="s">
        <v>521</v>
      </c>
      <c r="C360" s="358" t="s">
        <v>774</v>
      </c>
      <c r="D360" s="358"/>
      <c r="E360" s="358"/>
      <c r="F360" s="358"/>
      <c r="G360" s="358"/>
      <c r="H360" s="358"/>
      <c r="I360" s="304"/>
      <c r="J360" s="312" t="str">
        <f t="shared" si="5"/>
        <v>Form: Constant</v>
      </c>
      <c r="K360" s="305"/>
    </row>
    <row r="361" spans="1:11" x14ac:dyDescent="0.2">
      <c r="A361" s="301"/>
      <c r="B361" s="358" t="s">
        <v>2</v>
      </c>
      <c r="C361" s="358" t="s">
        <v>859</v>
      </c>
      <c r="D361" s="358"/>
      <c r="E361" s="358"/>
      <c r="F361" s="358"/>
      <c r="G361" s="358"/>
      <c r="H361" s="358"/>
      <c r="I361" s="304"/>
      <c r="J361" s="312" t="str">
        <f t="shared" si="5"/>
        <v>Value: {Divalent Mercury} 0.00000325</v>
      </c>
      <c r="K361" s="305"/>
    </row>
    <row r="362" spans="1:11" x14ac:dyDescent="0.2">
      <c r="A362" s="301"/>
      <c r="B362" s="358" t="s">
        <v>849</v>
      </c>
      <c r="C362" s="358" t="s">
        <v>854</v>
      </c>
      <c r="D362" s="358" t="s">
        <v>850</v>
      </c>
      <c r="E362" s="358"/>
      <c r="F362" s="358"/>
      <c r="G362" s="358"/>
      <c r="H362" s="358"/>
      <c r="I362" s="304"/>
      <c r="J362" s="312" t="str">
        <f t="shared" si="5"/>
        <v>// Description: [[ See other documentation ]]</v>
      </c>
      <c r="K362" s="305"/>
    </row>
    <row r="363" spans="1:11" x14ac:dyDescent="0.2">
      <c r="A363" s="301"/>
      <c r="B363" s="358" t="s">
        <v>851</v>
      </c>
      <c r="C363" s="358" t="s">
        <v>896</v>
      </c>
      <c r="D363" s="358"/>
      <c r="E363" s="358"/>
      <c r="F363" s="358"/>
      <c r="G363" s="358"/>
      <c r="H363" s="358"/>
      <c r="I363" s="304"/>
      <c r="J363" s="312" t="str">
        <f t="shared" si="5"/>
        <v>Compartment:  Soil - Surface in SurfSoil_S2</v>
      </c>
      <c r="K363" s="305"/>
    </row>
    <row r="364" spans="1:11" x14ac:dyDescent="0.2">
      <c r="A364" s="301"/>
      <c r="B364" s="358" t="s">
        <v>519</v>
      </c>
      <c r="C364" s="358" t="s">
        <v>852</v>
      </c>
      <c r="D364" s="358"/>
      <c r="E364" s="358"/>
      <c r="F364" s="358"/>
      <c r="G364" s="358"/>
      <c r="H364" s="358"/>
      <c r="I364" s="304"/>
      <c r="J364" s="312" t="str">
        <f t="shared" si="5"/>
        <v>Property: MethylationRate</v>
      </c>
      <c r="K364" s="305"/>
    </row>
    <row r="365" spans="1:11" x14ac:dyDescent="0.2">
      <c r="A365" s="301"/>
      <c r="B365" s="358" t="s">
        <v>521</v>
      </c>
      <c r="C365" s="358" t="s">
        <v>774</v>
      </c>
      <c r="D365" s="358"/>
      <c r="E365" s="358"/>
      <c r="F365" s="358"/>
      <c r="G365" s="358"/>
      <c r="H365" s="358"/>
      <c r="I365" s="304"/>
      <c r="J365" s="312" t="str">
        <f t="shared" si="5"/>
        <v>Form: Constant</v>
      </c>
      <c r="K365" s="305"/>
    </row>
    <row r="366" spans="1:11" x14ac:dyDescent="0.2">
      <c r="A366" s="301"/>
      <c r="B366" s="358" t="s">
        <v>2</v>
      </c>
      <c r="C366" s="358" t="s">
        <v>853</v>
      </c>
      <c r="D366" s="358"/>
      <c r="E366" s="358"/>
      <c r="F366" s="358"/>
      <c r="G366" s="358"/>
      <c r="H366" s="358"/>
      <c r="I366" s="304"/>
      <c r="J366" s="312" t="str">
        <f t="shared" si="5"/>
        <v>Value: {Divalent Mercury} 0.001</v>
      </c>
      <c r="K366" s="305"/>
    </row>
    <row r="367" spans="1:11" x14ac:dyDescent="0.2">
      <c r="A367" s="301"/>
      <c r="B367" s="358" t="s">
        <v>849</v>
      </c>
      <c r="C367" s="358" t="s">
        <v>854</v>
      </c>
      <c r="D367" s="358" t="s">
        <v>850</v>
      </c>
      <c r="E367" s="358"/>
      <c r="F367" s="358"/>
      <c r="G367" s="358"/>
      <c r="H367" s="358"/>
      <c r="I367" s="304"/>
      <c r="J367" s="312" t="str">
        <f t="shared" si="5"/>
        <v>// Description: [[ See other documentation ]]</v>
      </c>
      <c r="K367" s="305"/>
    </row>
    <row r="368" spans="1:11" x14ac:dyDescent="0.2">
      <c r="A368" s="301"/>
      <c r="B368" s="358" t="s">
        <v>519</v>
      </c>
      <c r="C368" s="358" t="s">
        <v>855</v>
      </c>
      <c r="D368" s="358"/>
      <c r="E368" s="358"/>
      <c r="F368" s="358"/>
      <c r="G368" s="358"/>
      <c r="H368" s="358"/>
      <c r="I368" s="304"/>
      <c r="J368" s="312" t="str">
        <f t="shared" si="5"/>
        <v>Property: DemethylationRate</v>
      </c>
      <c r="K368" s="305"/>
    </row>
    <row r="369" spans="1:11" x14ac:dyDescent="0.2">
      <c r="A369" s="301"/>
      <c r="B369" s="358" t="s">
        <v>521</v>
      </c>
      <c r="C369" s="358" t="s">
        <v>774</v>
      </c>
      <c r="D369" s="358"/>
      <c r="E369" s="358"/>
      <c r="F369" s="358"/>
      <c r="G369" s="358"/>
      <c r="H369" s="358"/>
      <c r="I369" s="304"/>
      <c r="J369" s="312" t="str">
        <f t="shared" si="5"/>
        <v>Form: Constant</v>
      </c>
      <c r="K369" s="305"/>
    </row>
    <row r="370" spans="1:11" x14ac:dyDescent="0.2">
      <c r="A370" s="301"/>
      <c r="B370" s="358" t="s">
        <v>2</v>
      </c>
      <c r="C370" s="358" t="s">
        <v>856</v>
      </c>
      <c r="D370" s="358"/>
      <c r="E370" s="358"/>
      <c r="F370" s="358"/>
      <c r="G370" s="358"/>
      <c r="H370" s="358"/>
      <c r="I370" s="304"/>
      <c r="J370" s="312" t="str">
        <f t="shared" si="5"/>
        <v>Value: {MethylMercury} 0.06</v>
      </c>
      <c r="K370" s="305"/>
    </row>
    <row r="371" spans="1:11" x14ac:dyDescent="0.2">
      <c r="A371" s="301"/>
      <c r="B371" s="358" t="s">
        <v>849</v>
      </c>
      <c r="C371" s="358" t="s">
        <v>854</v>
      </c>
      <c r="D371" s="358" t="s">
        <v>850</v>
      </c>
      <c r="E371" s="358"/>
      <c r="F371" s="358"/>
      <c r="G371" s="358"/>
      <c r="H371" s="358"/>
      <c r="I371" s="304"/>
      <c r="J371" s="312" t="str">
        <f t="shared" si="5"/>
        <v>// Description: [[ See other documentation ]]</v>
      </c>
      <c r="K371" s="305"/>
    </row>
    <row r="372" spans="1:11" x14ac:dyDescent="0.2">
      <c r="A372" s="301"/>
      <c r="B372" s="358" t="s">
        <v>519</v>
      </c>
      <c r="C372" s="358" t="s">
        <v>857</v>
      </c>
      <c r="D372" s="358"/>
      <c r="E372" s="358"/>
      <c r="F372" s="358"/>
      <c r="G372" s="358"/>
      <c r="H372" s="358"/>
      <c r="I372" s="304"/>
      <c r="J372" s="312" t="str">
        <f t="shared" si="5"/>
        <v>Property: ReductionRate</v>
      </c>
      <c r="K372" s="305"/>
    </row>
    <row r="373" spans="1:11" x14ac:dyDescent="0.2">
      <c r="A373" s="301"/>
      <c r="B373" s="358" t="s">
        <v>521</v>
      </c>
      <c r="C373" s="358" t="s">
        <v>774</v>
      </c>
      <c r="D373" s="358"/>
      <c r="E373" s="358"/>
      <c r="F373" s="358"/>
      <c r="G373" s="358"/>
      <c r="H373" s="358"/>
      <c r="I373" s="304"/>
      <c r="J373" s="312" t="str">
        <f t="shared" si="5"/>
        <v>Form: Constant</v>
      </c>
      <c r="K373" s="305"/>
    </row>
    <row r="374" spans="1:11" x14ac:dyDescent="0.2">
      <c r="A374" s="301"/>
      <c r="B374" s="358" t="s">
        <v>2</v>
      </c>
      <c r="C374" s="358" t="s">
        <v>858</v>
      </c>
      <c r="D374" s="358"/>
      <c r="E374" s="358"/>
      <c r="F374" s="358"/>
      <c r="G374" s="358"/>
      <c r="H374" s="358"/>
      <c r="I374" s="304"/>
      <c r="J374" s="312" t="str">
        <f t="shared" si="5"/>
        <v>Value: {Divalent Mercury} 0.0000125</v>
      </c>
      <c r="K374" s="305"/>
    </row>
    <row r="375" spans="1:11" x14ac:dyDescent="0.2">
      <c r="A375" s="301"/>
      <c r="B375" s="358" t="s">
        <v>849</v>
      </c>
      <c r="C375" s="358" t="s">
        <v>854</v>
      </c>
      <c r="D375" s="358" t="s">
        <v>850</v>
      </c>
      <c r="E375" s="358"/>
      <c r="F375" s="358"/>
      <c r="G375" s="358"/>
      <c r="H375" s="358"/>
      <c r="I375" s="304"/>
      <c r="J375" s="312" t="str">
        <f t="shared" si="5"/>
        <v>// Description: [[ See other documentation ]]</v>
      </c>
      <c r="K375" s="305"/>
    </row>
    <row r="376" spans="1:11" x14ac:dyDescent="0.2">
      <c r="A376" s="301"/>
      <c r="B376" s="358" t="s">
        <v>378</v>
      </c>
      <c r="C376" s="358" t="s">
        <v>897</v>
      </c>
      <c r="D376" s="358"/>
      <c r="E376" s="358"/>
      <c r="F376" s="358"/>
      <c r="G376" s="358"/>
      <c r="H376" s="358"/>
      <c r="I376" s="304"/>
      <c r="J376" s="312" t="str">
        <f t="shared" si="5"/>
        <v>Compartment: Soil - Root Zone in RootSoil_S2</v>
      </c>
      <c r="K376" s="305"/>
    </row>
    <row r="377" spans="1:11" x14ac:dyDescent="0.2">
      <c r="A377" s="301"/>
      <c r="B377" s="358" t="s">
        <v>519</v>
      </c>
      <c r="C377" s="358" t="s">
        <v>852</v>
      </c>
      <c r="D377" s="358"/>
      <c r="E377" s="358"/>
      <c r="F377" s="358"/>
      <c r="G377" s="358"/>
      <c r="H377" s="358"/>
      <c r="I377" s="304"/>
      <c r="J377" s="312" t="str">
        <f t="shared" si="5"/>
        <v>Property: MethylationRate</v>
      </c>
      <c r="K377" s="305"/>
    </row>
    <row r="378" spans="1:11" x14ac:dyDescent="0.2">
      <c r="A378" s="301"/>
      <c r="B378" s="358" t="s">
        <v>521</v>
      </c>
      <c r="C378" s="358" t="s">
        <v>774</v>
      </c>
      <c r="D378" s="358"/>
      <c r="E378" s="358"/>
      <c r="F378" s="358"/>
      <c r="G378" s="358"/>
      <c r="H378" s="358"/>
      <c r="I378" s="304"/>
      <c r="J378" s="312" t="str">
        <f t="shared" si="5"/>
        <v>Form: Constant</v>
      </c>
      <c r="K378" s="305"/>
    </row>
    <row r="379" spans="1:11" x14ac:dyDescent="0.2">
      <c r="A379" s="301"/>
      <c r="B379" s="358" t="s">
        <v>2</v>
      </c>
      <c r="C379" s="358" t="s">
        <v>853</v>
      </c>
      <c r="D379" s="358"/>
      <c r="E379" s="358"/>
      <c r="F379" s="358"/>
      <c r="G379" s="358"/>
      <c r="H379" s="358"/>
      <c r="I379" s="304"/>
      <c r="J379" s="312" t="str">
        <f t="shared" si="5"/>
        <v>Value: {Divalent Mercury} 0.001</v>
      </c>
      <c r="K379" s="305"/>
    </row>
    <row r="380" spans="1:11" x14ac:dyDescent="0.2">
      <c r="A380" s="301"/>
      <c r="B380" s="358" t="s">
        <v>849</v>
      </c>
      <c r="C380" s="358" t="s">
        <v>854</v>
      </c>
      <c r="D380" s="358" t="s">
        <v>850</v>
      </c>
      <c r="E380" s="358"/>
      <c r="F380" s="358"/>
      <c r="G380" s="358"/>
      <c r="H380" s="358"/>
      <c r="I380" s="304"/>
      <c r="J380" s="312" t="str">
        <f t="shared" si="5"/>
        <v>// Description: [[ See other documentation ]]</v>
      </c>
      <c r="K380" s="305"/>
    </row>
    <row r="381" spans="1:11" x14ac:dyDescent="0.2">
      <c r="A381" s="301"/>
      <c r="B381" s="358" t="s">
        <v>519</v>
      </c>
      <c r="C381" s="358" t="s">
        <v>857</v>
      </c>
      <c r="D381" s="358"/>
      <c r="E381" s="358"/>
      <c r="F381" s="358"/>
      <c r="G381" s="358"/>
      <c r="H381" s="358"/>
      <c r="I381" s="304"/>
      <c r="J381" s="312" t="str">
        <f t="shared" si="5"/>
        <v>Property: ReductionRate</v>
      </c>
      <c r="K381" s="305"/>
    </row>
    <row r="382" spans="1:11" x14ac:dyDescent="0.2">
      <c r="A382" s="301"/>
      <c r="B382" s="358" t="s">
        <v>521</v>
      </c>
      <c r="C382" s="358" t="s">
        <v>774</v>
      </c>
      <c r="D382" s="358"/>
      <c r="E382" s="358"/>
      <c r="F382" s="358"/>
      <c r="G382" s="358"/>
      <c r="H382" s="358"/>
      <c r="I382" s="304"/>
      <c r="J382" s="312" t="str">
        <f t="shared" si="5"/>
        <v>Form: Constant</v>
      </c>
      <c r="K382" s="305"/>
    </row>
    <row r="383" spans="1:11" x14ac:dyDescent="0.2">
      <c r="A383" s="301"/>
      <c r="B383" s="358" t="s">
        <v>2</v>
      </c>
      <c r="C383" s="358" t="s">
        <v>859</v>
      </c>
      <c r="D383" s="358"/>
      <c r="E383" s="358"/>
      <c r="F383" s="358"/>
      <c r="G383" s="358"/>
      <c r="H383" s="358"/>
      <c r="I383" s="304"/>
      <c r="J383" s="312" t="str">
        <f t="shared" si="5"/>
        <v>Value: {Divalent Mercury} 0.00000325</v>
      </c>
      <c r="K383" s="305"/>
    </row>
    <row r="384" spans="1:11" x14ac:dyDescent="0.2">
      <c r="A384" s="301"/>
      <c r="B384" s="358" t="s">
        <v>849</v>
      </c>
      <c r="C384" s="358" t="s">
        <v>854</v>
      </c>
      <c r="D384" s="358" t="s">
        <v>850</v>
      </c>
      <c r="E384" s="358"/>
      <c r="F384" s="358"/>
      <c r="G384" s="358"/>
      <c r="H384" s="358"/>
      <c r="I384" s="304"/>
      <c r="J384" s="312" t="str">
        <f t="shared" si="5"/>
        <v>// Description: [[ See other documentation ]]</v>
      </c>
      <c r="K384" s="305"/>
    </row>
    <row r="385" spans="1:11" x14ac:dyDescent="0.2">
      <c r="A385" s="301"/>
      <c r="B385" s="358" t="s">
        <v>378</v>
      </c>
      <c r="C385" s="358" t="s">
        <v>898</v>
      </c>
      <c r="D385" s="358"/>
      <c r="E385" s="358"/>
      <c r="F385" s="358"/>
      <c r="G385" s="358"/>
      <c r="H385" s="358"/>
      <c r="I385" s="304"/>
      <c r="J385" s="312" t="str">
        <f t="shared" si="5"/>
        <v>Compartment: Soil - Vadose Zone in VadoseSoil_S2</v>
      </c>
      <c r="K385" s="305"/>
    </row>
    <row r="386" spans="1:11" x14ac:dyDescent="0.2">
      <c r="A386" s="301"/>
      <c r="B386" s="358" t="s">
        <v>519</v>
      </c>
      <c r="C386" s="358" t="s">
        <v>852</v>
      </c>
      <c r="D386" s="358"/>
      <c r="E386" s="358"/>
      <c r="F386" s="358"/>
      <c r="G386" s="358"/>
      <c r="H386" s="358"/>
      <c r="I386" s="304"/>
      <c r="J386" s="312" t="str">
        <f t="shared" si="5"/>
        <v>Property: MethylationRate</v>
      </c>
      <c r="K386" s="305"/>
    </row>
    <row r="387" spans="1:11" x14ac:dyDescent="0.2">
      <c r="A387" s="301"/>
      <c r="B387" s="358" t="s">
        <v>521</v>
      </c>
      <c r="C387" s="358" t="s">
        <v>774</v>
      </c>
      <c r="D387" s="358"/>
      <c r="E387" s="358"/>
      <c r="F387" s="358"/>
      <c r="G387" s="358"/>
      <c r="H387" s="358"/>
      <c r="I387" s="304"/>
      <c r="J387" s="312" t="str">
        <f t="shared" si="5"/>
        <v>Form: Constant</v>
      </c>
      <c r="K387" s="305"/>
    </row>
    <row r="388" spans="1:11" x14ac:dyDescent="0.2">
      <c r="A388" s="301"/>
      <c r="B388" s="358" t="s">
        <v>2</v>
      </c>
      <c r="C388" s="358" t="s">
        <v>853</v>
      </c>
      <c r="D388" s="358"/>
      <c r="E388" s="358"/>
      <c r="F388" s="358"/>
      <c r="G388" s="358"/>
      <c r="H388" s="358"/>
      <c r="I388" s="304"/>
      <c r="J388" s="312" t="str">
        <f t="shared" si="5"/>
        <v>Value: {Divalent Mercury} 0.001</v>
      </c>
      <c r="K388" s="305"/>
    </row>
    <row r="389" spans="1:11" x14ac:dyDescent="0.2">
      <c r="A389" s="301"/>
      <c r="B389" s="358" t="s">
        <v>849</v>
      </c>
      <c r="C389" s="358" t="s">
        <v>854</v>
      </c>
      <c r="D389" s="358" t="s">
        <v>850</v>
      </c>
      <c r="E389" s="358"/>
      <c r="F389" s="358"/>
      <c r="G389" s="358"/>
      <c r="H389" s="358"/>
      <c r="I389" s="304"/>
      <c r="J389" s="312" t="str">
        <f t="shared" ref="J389:J452" si="6">ConcatenateWithSpaces(B389:H389)</f>
        <v>// Description: [[ See other documentation ]]</v>
      </c>
      <c r="K389" s="305"/>
    </row>
    <row r="390" spans="1:11" x14ac:dyDescent="0.2">
      <c r="A390" s="301"/>
      <c r="B390" s="358" t="s">
        <v>519</v>
      </c>
      <c r="C390" s="358" t="s">
        <v>857</v>
      </c>
      <c r="D390" s="358"/>
      <c r="E390" s="358"/>
      <c r="F390" s="358"/>
      <c r="G390" s="358"/>
      <c r="H390" s="358"/>
      <c r="I390" s="304"/>
      <c r="J390" s="312" t="str">
        <f t="shared" si="6"/>
        <v>Property: ReductionRate</v>
      </c>
      <c r="K390" s="305"/>
    </row>
    <row r="391" spans="1:11" x14ac:dyDescent="0.2">
      <c r="A391" s="301"/>
      <c r="B391" s="358" t="s">
        <v>521</v>
      </c>
      <c r="C391" s="358" t="s">
        <v>774</v>
      </c>
      <c r="D391" s="358"/>
      <c r="E391" s="358"/>
      <c r="F391" s="358"/>
      <c r="G391" s="358"/>
      <c r="H391" s="358"/>
      <c r="I391" s="304"/>
      <c r="J391" s="312" t="str">
        <f t="shared" si="6"/>
        <v>Form: Constant</v>
      </c>
      <c r="K391" s="305"/>
    </row>
    <row r="392" spans="1:11" x14ac:dyDescent="0.2">
      <c r="A392" s="301"/>
      <c r="B392" s="358" t="s">
        <v>2</v>
      </c>
      <c r="C392" s="358" t="s">
        <v>859</v>
      </c>
      <c r="D392" s="358"/>
      <c r="E392" s="358"/>
      <c r="F392" s="358"/>
      <c r="G392" s="358"/>
      <c r="H392" s="358"/>
      <c r="I392" s="304"/>
      <c r="J392" s="312" t="str">
        <f t="shared" si="6"/>
        <v>Value: {Divalent Mercury} 0.00000325</v>
      </c>
      <c r="K392" s="305"/>
    </row>
    <row r="393" spans="1:11" x14ac:dyDescent="0.2">
      <c r="A393" s="301"/>
      <c r="B393" s="358" t="s">
        <v>849</v>
      </c>
      <c r="C393" s="358" t="s">
        <v>854</v>
      </c>
      <c r="D393" s="358" t="s">
        <v>850</v>
      </c>
      <c r="E393" s="358"/>
      <c r="F393" s="358"/>
      <c r="G393" s="358"/>
      <c r="H393" s="358"/>
      <c r="I393" s="304"/>
      <c r="J393" s="312" t="str">
        <f t="shared" si="6"/>
        <v>// Description: [[ See other documentation ]]</v>
      </c>
      <c r="K393" s="305"/>
    </row>
    <row r="394" spans="1:11" x14ac:dyDescent="0.2">
      <c r="A394" s="301"/>
      <c r="B394" s="358" t="s">
        <v>851</v>
      </c>
      <c r="C394" s="358" t="s">
        <v>899</v>
      </c>
      <c r="D394" s="358"/>
      <c r="E394" s="358"/>
      <c r="F394" s="358"/>
      <c r="G394" s="358"/>
      <c r="H394" s="358"/>
      <c r="I394" s="304"/>
      <c r="J394" s="312" t="str">
        <f t="shared" si="6"/>
        <v>Compartment:  Soil - Surface in SurfSoil_SE1</v>
      </c>
      <c r="K394" s="305"/>
    </row>
    <row r="395" spans="1:11" x14ac:dyDescent="0.2">
      <c r="A395" s="301"/>
      <c r="B395" s="358" t="s">
        <v>519</v>
      </c>
      <c r="C395" s="358" t="s">
        <v>852</v>
      </c>
      <c r="D395" s="358"/>
      <c r="E395" s="358"/>
      <c r="F395" s="358"/>
      <c r="G395" s="358"/>
      <c r="H395" s="358"/>
      <c r="I395" s="304"/>
      <c r="J395" s="312" t="str">
        <f t="shared" si="6"/>
        <v>Property: MethylationRate</v>
      </c>
      <c r="K395" s="305"/>
    </row>
    <row r="396" spans="1:11" x14ac:dyDescent="0.2">
      <c r="A396" s="301"/>
      <c r="B396" s="358" t="s">
        <v>521</v>
      </c>
      <c r="C396" s="358" t="s">
        <v>774</v>
      </c>
      <c r="D396" s="358"/>
      <c r="E396" s="358"/>
      <c r="F396" s="358"/>
      <c r="G396" s="358"/>
      <c r="H396" s="358"/>
      <c r="I396" s="304"/>
      <c r="J396" s="312" t="str">
        <f t="shared" si="6"/>
        <v>Form: Constant</v>
      </c>
      <c r="K396" s="305"/>
    </row>
    <row r="397" spans="1:11" x14ac:dyDescent="0.2">
      <c r="A397" s="301"/>
      <c r="B397" s="358" t="s">
        <v>2</v>
      </c>
      <c r="C397" s="358" t="s">
        <v>853</v>
      </c>
      <c r="D397" s="358"/>
      <c r="E397" s="358"/>
      <c r="F397" s="358"/>
      <c r="G397" s="358"/>
      <c r="H397" s="358"/>
      <c r="I397" s="304"/>
      <c r="J397" s="312" t="str">
        <f t="shared" si="6"/>
        <v>Value: {Divalent Mercury} 0.001</v>
      </c>
      <c r="K397" s="305"/>
    </row>
    <row r="398" spans="1:11" x14ac:dyDescent="0.2">
      <c r="A398" s="301"/>
      <c r="B398" s="358" t="s">
        <v>849</v>
      </c>
      <c r="C398" s="358" t="s">
        <v>854</v>
      </c>
      <c r="D398" s="358" t="s">
        <v>850</v>
      </c>
      <c r="E398" s="358"/>
      <c r="F398" s="358"/>
      <c r="G398" s="358"/>
      <c r="H398" s="358"/>
      <c r="I398" s="304"/>
      <c r="J398" s="312" t="str">
        <f t="shared" si="6"/>
        <v>// Description: [[ See other documentation ]]</v>
      </c>
      <c r="K398" s="305"/>
    </row>
    <row r="399" spans="1:11" x14ac:dyDescent="0.2">
      <c r="A399" s="301"/>
      <c r="B399" s="358" t="s">
        <v>519</v>
      </c>
      <c r="C399" s="358" t="s">
        <v>855</v>
      </c>
      <c r="D399" s="358"/>
      <c r="E399" s="358"/>
      <c r="F399" s="358"/>
      <c r="G399" s="358"/>
      <c r="H399" s="358"/>
      <c r="I399" s="304"/>
      <c r="J399" s="312" t="str">
        <f t="shared" si="6"/>
        <v>Property: DemethylationRate</v>
      </c>
      <c r="K399" s="305"/>
    </row>
    <row r="400" spans="1:11" x14ac:dyDescent="0.2">
      <c r="A400" s="301"/>
      <c r="B400" s="358" t="s">
        <v>521</v>
      </c>
      <c r="C400" s="358" t="s">
        <v>774</v>
      </c>
      <c r="D400" s="358"/>
      <c r="E400" s="358"/>
      <c r="F400" s="358"/>
      <c r="G400" s="358"/>
      <c r="H400" s="358"/>
      <c r="I400" s="304"/>
      <c r="J400" s="312" t="str">
        <f t="shared" si="6"/>
        <v>Form: Constant</v>
      </c>
      <c r="K400" s="305"/>
    </row>
    <row r="401" spans="1:11" x14ac:dyDescent="0.2">
      <c r="A401" s="301"/>
      <c r="B401" s="358" t="s">
        <v>2</v>
      </c>
      <c r="C401" s="358" t="s">
        <v>856</v>
      </c>
      <c r="D401" s="358"/>
      <c r="E401" s="358"/>
      <c r="F401" s="358"/>
      <c r="G401" s="358"/>
      <c r="H401" s="358"/>
      <c r="I401" s="304"/>
      <c r="J401" s="312" t="str">
        <f t="shared" si="6"/>
        <v>Value: {MethylMercury} 0.06</v>
      </c>
      <c r="K401" s="305"/>
    </row>
    <row r="402" spans="1:11" x14ac:dyDescent="0.2">
      <c r="A402" s="301"/>
      <c r="B402" s="358" t="s">
        <v>849</v>
      </c>
      <c r="C402" s="358" t="s">
        <v>854</v>
      </c>
      <c r="D402" s="358" t="s">
        <v>850</v>
      </c>
      <c r="E402" s="358"/>
      <c r="F402" s="358"/>
      <c r="G402" s="358"/>
      <c r="H402" s="358"/>
      <c r="I402" s="304"/>
      <c r="J402" s="312" t="str">
        <f t="shared" si="6"/>
        <v>// Description: [[ See other documentation ]]</v>
      </c>
      <c r="K402" s="305"/>
    </row>
    <row r="403" spans="1:11" x14ac:dyDescent="0.2">
      <c r="A403" s="301"/>
      <c r="B403" s="358" t="s">
        <v>519</v>
      </c>
      <c r="C403" s="358" t="s">
        <v>857</v>
      </c>
      <c r="D403" s="358"/>
      <c r="E403" s="358"/>
      <c r="F403" s="358"/>
      <c r="G403" s="358"/>
      <c r="H403" s="358"/>
      <c r="I403" s="304"/>
      <c r="J403" s="312" t="str">
        <f t="shared" si="6"/>
        <v>Property: ReductionRate</v>
      </c>
      <c r="K403" s="305"/>
    </row>
    <row r="404" spans="1:11" x14ac:dyDescent="0.2">
      <c r="A404" s="301"/>
      <c r="B404" s="358" t="s">
        <v>521</v>
      </c>
      <c r="C404" s="358" t="s">
        <v>774</v>
      </c>
      <c r="D404" s="358"/>
      <c r="E404" s="358"/>
      <c r="F404" s="358"/>
      <c r="G404" s="358"/>
      <c r="H404" s="358"/>
      <c r="I404" s="304"/>
      <c r="J404" s="312" t="str">
        <f t="shared" si="6"/>
        <v>Form: Constant</v>
      </c>
      <c r="K404" s="305"/>
    </row>
    <row r="405" spans="1:11" x14ac:dyDescent="0.2">
      <c r="A405" s="301"/>
      <c r="B405" s="358" t="s">
        <v>2</v>
      </c>
      <c r="C405" s="358" t="s">
        <v>858</v>
      </c>
      <c r="D405" s="358"/>
      <c r="E405" s="358"/>
      <c r="F405" s="358"/>
      <c r="G405" s="358"/>
      <c r="H405" s="358"/>
      <c r="I405" s="304"/>
      <c r="J405" s="312" t="str">
        <f t="shared" si="6"/>
        <v>Value: {Divalent Mercury} 0.0000125</v>
      </c>
      <c r="K405" s="305"/>
    </row>
    <row r="406" spans="1:11" x14ac:dyDescent="0.2">
      <c r="A406" s="301"/>
      <c r="B406" s="358" t="s">
        <v>849</v>
      </c>
      <c r="C406" s="358" t="s">
        <v>854</v>
      </c>
      <c r="D406" s="358" t="s">
        <v>850</v>
      </c>
      <c r="E406" s="358"/>
      <c r="F406" s="358"/>
      <c r="G406" s="358"/>
      <c r="H406" s="358"/>
      <c r="I406" s="304"/>
      <c r="J406" s="312" t="str">
        <f t="shared" si="6"/>
        <v>// Description: [[ See other documentation ]]</v>
      </c>
      <c r="K406" s="305"/>
    </row>
    <row r="407" spans="1:11" x14ac:dyDescent="0.2">
      <c r="A407" s="301"/>
      <c r="B407" s="358" t="s">
        <v>378</v>
      </c>
      <c r="C407" s="358" t="s">
        <v>900</v>
      </c>
      <c r="D407" s="358"/>
      <c r="E407" s="358"/>
      <c r="F407" s="358"/>
      <c r="G407" s="358"/>
      <c r="H407" s="358"/>
      <c r="I407" s="304"/>
      <c r="J407" s="312" t="str">
        <f t="shared" si="6"/>
        <v>Compartment: Soil - Root Zone in RootSoil_SE1</v>
      </c>
      <c r="K407" s="305"/>
    </row>
    <row r="408" spans="1:11" x14ac:dyDescent="0.2">
      <c r="A408" s="301"/>
      <c r="B408" s="358" t="s">
        <v>519</v>
      </c>
      <c r="C408" s="358" t="s">
        <v>852</v>
      </c>
      <c r="D408" s="358"/>
      <c r="E408" s="358"/>
      <c r="F408" s="358"/>
      <c r="G408" s="358"/>
      <c r="H408" s="358"/>
      <c r="I408" s="304"/>
      <c r="J408" s="312" t="str">
        <f t="shared" si="6"/>
        <v>Property: MethylationRate</v>
      </c>
      <c r="K408" s="305"/>
    </row>
    <row r="409" spans="1:11" x14ac:dyDescent="0.2">
      <c r="A409" s="301"/>
      <c r="B409" s="358" t="s">
        <v>521</v>
      </c>
      <c r="C409" s="358" t="s">
        <v>774</v>
      </c>
      <c r="D409" s="358"/>
      <c r="E409" s="358"/>
      <c r="F409" s="358"/>
      <c r="G409" s="358"/>
      <c r="H409" s="358"/>
      <c r="I409" s="304"/>
      <c r="J409" s="312" t="str">
        <f t="shared" si="6"/>
        <v>Form: Constant</v>
      </c>
      <c r="K409" s="305"/>
    </row>
    <row r="410" spans="1:11" x14ac:dyDescent="0.2">
      <c r="A410" s="301"/>
      <c r="B410" s="358" t="s">
        <v>2</v>
      </c>
      <c r="C410" s="358" t="s">
        <v>853</v>
      </c>
      <c r="D410" s="358"/>
      <c r="E410" s="358"/>
      <c r="F410" s="358"/>
      <c r="G410" s="358"/>
      <c r="H410" s="358"/>
      <c r="I410" s="304"/>
      <c r="J410" s="312" t="str">
        <f t="shared" si="6"/>
        <v>Value: {Divalent Mercury} 0.001</v>
      </c>
      <c r="K410" s="305"/>
    </row>
    <row r="411" spans="1:11" x14ac:dyDescent="0.2">
      <c r="A411" s="301"/>
      <c r="B411" s="358" t="s">
        <v>849</v>
      </c>
      <c r="C411" s="358" t="s">
        <v>854</v>
      </c>
      <c r="D411" s="358" t="s">
        <v>850</v>
      </c>
      <c r="E411" s="358"/>
      <c r="F411" s="358"/>
      <c r="G411" s="358"/>
      <c r="H411" s="358"/>
      <c r="I411" s="304"/>
      <c r="J411" s="312" t="str">
        <f t="shared" si="6"/>
        <v>// Description: [[ See other documentation ]]</v>
      </c>
      <c r="K411" s="305"/>
    </row>
    <row r="412" spans="1:11" x14ac:dyDescent="0.2">
      <c r="A412" s="301"/>
      <c r="B412" s="358" t="s">
        <v>519</v>
      </c>
      <c r="C412" s="358" t="s">
        <v>857</v>
      </c>
      <c r="D412" s="358"/>
      <c r="E412" s="358"/>
      <c r="F412" s="358"/>
      <c r="G412" s="358"/>
      <c r="H412" s="358"/>
      <c r="I412" s="304"/>
      <c r="J412" s="312" t="str">
        <f t="shared" si="6"/>
        <v>Property: ReductionRate</v>
      </c>
      <c r="K412" s="305"/>
    </row>
    <row r="413" spans="1:11" x14ac:dyDescent="0.2">
      <c r="A413" s="301"/>
      <c r="B413" s="358" t="s">
        <v>521</v>
      </c>
      <c r="C413" s="358" t="s">
        <v>774</v>
      </c>
      <c r="D413" s="358"/>
      <c r="E413" s="358"/>
      <c r="F413" s="358"/>
      <c r="G413" s="358"/>
      <c r="H413" s="358"/>
      <c r="I413" s="304"/>
      <c r="J413" s="312" t="str">
        <f t="shared" si="6"/>
        <v>Form: Constant</v>
      </c>
      <c r="K413" s="305"/>
    </row>
    <row r="414" spans="1:11" x14ac:dyDescent="0.2">
      <c r="A414" s="301"/>
      <c r="B414" s="358" t="s">
        <v>2</v>
      </c>
      <c r="C414" s="358" t="s">
        <v>859</v>
      </c>
      <c r="D414" s="358"/>
      <c r="E414" s="358"/>
      <c r="F414" s="358"/>
      <c r="G414" s="358"/>
      <c r="H414" s="358"/>
      <c r="I414" s="304"/>
      <c r="J414" s="312" t="str">
        <f t="shared" si="6"/>
        <v>Value: {Divalent Mercury} 0.00000325</v>
      </c>
      <c r="K414" s="305"/>
    </row>
    <row r="415" spans="1:11" x14ac:dyDescent="0.2">
      <c r="A415" s="301"/>
      <c r="B415" s="358" t="s">
        <v>849</v>
      </c>
      <c r="C415" s="358" t="s">
        <v>854</v>
      </c>
      <c r="D415" s="358" t="s">
        <v>850</v>
      </c>
      <c r="E415" s="358"/>
      <c r="F415" s="358"/>
      <c r="G415" s="358"/>
      <c r="H415" s="358"/>
      <c r="I415" s="304"/>
      <c r="J415" s="312" t="str">
        <f t="shared" si="6"/>
        <v>// Description: [[ See other documentation ]]</v>
      </c>
      <c r="K415" s="305"/>
    </row>
    <row r="416" spans="1:11" x14ac:dyDescent="0.2">
      <c r="A416" s="301"/>
      <c r="B416" s="358" t="s">
        <v>378</v>
      </c>
      <c r="C416" s="358" t="s">
        <v>901</v>
      </c>
      <c r="D416" s="358"/>
      <c r="E416" s="358"/>
      <c r="F416" s="358"/>
      <c r="G416" s="358"/>
      <c r="H416" s="358"/>
      <c r="I416" s="304"/>
      <c r="J416" s="312" t="str">
        <f t="shared" si="6"/>
        <v>Compartment: Soil - Vadose Zone in VadoseSoil_SE1</v>
      </c>
      <c r="K416" s="305"/>
    </row>
    <row r="417" spans="1:11" x14ac:dyDescent="0.2">
      <c r="A417" s="301"/>
      <c r="B417" s="358" t="s">
        <v>519</v>
      </c>
      <c r="C417" s="358" t="s">
        <v>852</v>
      </c>
      <c r="D417" s="358"/>
      <c r="E417" s="358"/>
      <c r="F417" s="358"/>
      <c r="G417" s="358"/>
      <c r="H417" s="358"/>
      <c r="I417" s="304"/>
      <c r="J417" s="312" t="str">
        <f t="shared" si="6"/>
        <v>Property: MethylationRate</v>
      </c>
      <c r="K417" s="305"/>
    </row>
    <row r="418" spans="1:11" x14ac:dyDescent="0.2">
      <c r="A418" s="301"/>
      <c r="B418" s="358" t="s">
        <v>521</v>
      </c>
      <c r="C418" s="358" t="s">
        <v>774</v>
      </c>
      <c r="D418" s="358"/>
      <c r="E418" s="358"/>
      <c r="F418" s="358"/>
      <c r="G418" s="358"/>
      <c r="H418" s="358"/>
      <c r="I418" s="304"/>
      <c r="J418" s="312" t="str">
        <f t="shared" si="6"/>
        <v>Form: Constant</v>
      </c>
      <c r="K418" s="305"/>
    </row>
    <row r="419" spans="1:11" x14ac:dyDescent="0.2">
      <c r="A419" s="301"/>
      <c r="B419" s="358" t="s">
        <v>2</v>
      </c>
      <c r="C419" s="358" t="s">
        <v>853</v>
      </c>
      <c r="D419" s="358"/>
      <c r="E419" s="358"/>
      <c r="F419" s="358"/>
      <c r="G419" s="358"/>
      <c r="H419" s="358"/>
      <c r="I419" s="304"/>
      <c r="J419" s="312" t="str">
        <f t="shared" si="6"/>
        <v>Value: {Divalent Mercury} 0.001</v>
      </c>
      <c r="K419" s="305"/>
    </row>
    <row r="420" spans="1:11" x14ac:dyDescent="0.2">
      <c r="A420" s="301"/>
      <c r="B420" s="358" t="s">
        <v>849</v>
      </c>
      <c r="C420" s="358" t="s">
        <v>854</v>
      </c>
      <c r="D420" s="358" t="s">
        <v>850</v>
      </c>
      <c r="E420" s="358"/>
      <c r="F420" s="358"/>
      <c r="G420" s="358"/>
      <c r="H420" s="358"/>
      <c r="I420" s="304"/>
      <c r="J420" s="312" t="str">
        <f t="shared" si="6"/>
        <v>// Description: [[ See other documentation ]]</v>
      </c>
      <c r="K420" s="305"/>
    </row>
    <row r="421" spans="1:11" x14ac:dyDescent="0.2">
      <c r="A421" s="301"/>
      <c r="B421" s="358" t="s">
        <v>519</v>
      </c>
      <c r="C421" s="358" t="s">
        <v>857</v>
      </c>
      <c r="D421" s="358"/>
      <c r="E421" s="358"/>
      <c r="F421" s="358"/>
      <c r="G421" s="358"/>
      <c r="H421" s="358"/>
      <c r="I421" s="304"/>
      <c r="J421" s="312" t="str">
        <f t="shared" si="6"/>
        <v>Property: ReductionRate</v>
      </c>
      <c r="K421" s="305"/>
    </row>
    <row r="422" spans="1:11" x14ac:dyDescent="0.2">
      <c r="A422" s="301"/>
      <c r="B422" s="358" t="s">
        <v>521</v>
      </c>
      <c r="C422" s="358" t="s">
        <v>774</v>
      </c>
      <c r="D422" s="358"/>
      <c r="E422" s="358"/>
      <c r="F422" s="358"/>
      <c r="G422" s="358"/>
      <c r="H422" s="358"/>
      <c r="I422" s="304"/>
      <c r="J422" s="312" t="str">
        <f t="shared" si="6"/>
        <v>Form: Constant</v>
      </c>
      <c r="K422" s="305"/>
    </row>
    <row r="423" spans="1:11" x14ac:dyDescent="0.2">
      <c r="A423" s="301"/>
      <c r="B423" s="358" t="s">
        <v>2</v>
      </c>
      <c r="C423" s="358" t="s">
        <v>859</v>
      </c>
      <c r="D423" s="358"/>
      <c r="E423" s="358"/>
      <c r="F423" s="358"/>
      <c r="G423" s="358"/>
      <c r="H423" s="358"/>
      <c r="I423" s="304"/>
      <c r="J423" s="312" t="str">
        <f t="shared" si="6"/>
        <v>Value: {Divalent Mercury} 0.00000325</v>
      </c>
      <c r="K423" s="305"/>
    </row>
    <row r="424" spans="1:11" x14ac:dyDescent="0.2">
      <c r="A424" s="301"/>
      <c r="B424" s="358" t="s">
        <v>849</v>
      </c>
      <c r="C424" s="358" t="s">
        <v>854</v>
      </c>
      <c r="D424" s="358" t="s">
        <v>850</v>
      </c>
      <c r="E424" s="358"/>
      <c r="F424" s="358"/>
      <c r="G424" s="358"/>
      <c r="H424" s="358"/>
      <c r="I424" s="304"/>
      <c r="J424" s="312" t="str">
        <f t="shared" si="6"/>
        <v>// Description: [[ See other documentation ]]</v>
      </c>
      <c r="K424" s="305"/>
    </row>
    <row r="425" spans="1:11" x14ac:dyDescent="0.2">
      <c r="A425" s="301"/>
      <c r="B425" s="358" t="s">
        <v>851</v>
      </c>
      <c r="C425" s="358" t="s">
        <v>902</v>
      </c>
      <c r="D425" s="358"/>
      <c r="E425" s="358"/>
      <c r="F425" s="358"/>
      <c r="G425" s="358"/>
      <c r="H425" s="358"/>
      <c r="I425" s="304"/>
      <c r="J425" s="312" t="str">
        <f t="shared" si="6"/>
        <v>Compartment:  Soil - Surface in SurfSoil_SE2</v>
      </c>
      <c r="K425" s="305"/>
    </row>
    <row r="426" spans="1:11" x14ac:dyDescent="0.2">
      <c r="A426" s="301"/>
      <c r="B426" s="358" t="s">
        <v>519</v>
      </c>
      <c r="C426" s="358" t="s">
        <v>852</v>
      </c>
      <c r="D426" s="358"/>
      <c r="E426" s="358"/>
      <c r="F426" s="358"/>
      <c r="G426" s="358"/>
      <c r="H426" s="358"/>
      <c r="I426" s="304"/>
      <c r="J426" s="312" t="str">
        <f t="shared" si="6"/>
        <v>Property: MethylationRate</v>
      </c>
      <c r="K426" s="305"/>
    </row>
    <row r="427" spans="1:11" x14ac:dyDescent="0.2">
      <c r="A427" s="301"/>
      <c r="B427" s="358" t="s">
        <v>521</v>
      </c>
      <c r="C427" s="358" t="s">
        <v>774</v>
      </c>
      <c r="D427" s="358"/>
      <c r="E427" s="358"/>
      <c r="F427" s="358"/>
      <c r="G427" s="358"/>
      <c r="H427" s="358"/>
      <c r="I427" s="304"/>
      <c r="J427" s="312" t="str">
        <f t="shared" si="6"/>
        <v>Form: Constant</v>
      </c>
      <c r="K427" s="305"/>
    </row>
    <row r="428" spans="1:11" x14ac:dyDescent="0.2">
      <c r="A428" s="301"/>
      <c r="B428" s="358" t="s">
        <v>2</v>
      </c>
      <c r="C428" s="358" t="s">
        <v>853</v>
      </c>
      <c r="D428" s="358"/>
      <c r="E428" s="358"/>
      <c r="F428" s="358"/>
      <c r="G428" s="358"/>
      <c r="H428" s="358"/>
      <c r="I428" s="304"/>
      <c r="J428" s="312" t="str">
        <f t="shared" si="6"/>
        <v>Value: {Divalent Mercury} 0.001</v>
      </c>
      <c r="K428" s="305"/>
    </row>
    <row r="429" spans="1:11" x14ac:dyDescent="0.2">
      <c r="A429" s="301"/>
      <c r="B429" s="358" t="s">
        <v>849</v>
      </c>
      <c r="C429" s="358" t="s">
        <v>854</v>
      </c>
      <c r="D429" s="358" t="s">
        <v>850</v>
      </c>
      <c r="E429" s="358"/>
      <c r="F429" s="358"/>
      <c r="G429" s="358"/>
      <c r="H429" s="358"/>
      <c r="I429" s="304"/>
      <c r="J429" s="312" t="str">
        <f t="shared" si="6"/>
        <v>// Description: [[ See other documentation ]]</v>
      </c>
      <c r="K429" s="305"/>
    </row>
    <row r="430" spans="1:11" x14ac:dyDescent="0.2">
      <c r="A430" s="301"/>
      <c r="B430" s="358" t="s">
        <v>519</v>
      </c>
      <c r="C430" s="358" t="s">
        <v>855</v>
      </c>
      <c r="D430" s="358"/>
      <c r="E430" s="358"/>
      <c r="F430" s="358"/>
      <c r="G430" s="358"/>
      <c r="H430" s="358"/>
      <c r="I430" s="304"/>
      <c r="J430" s="312" t="str">
        <f t="shared" si="6"/>
        <v>Property: DemethylationRate</v>
      </c>
      <c r="K430" s="305"/>
    </row>
    <row r="431" spans="1:11" x14ac:dyDescent="0.2">
      <c r="A431" s="301"/>
      <c r="B431" s="358" t="s">
        <v>521</v>
      </c>
      <c r="C431" s="358" t="s">
        <v>774</v>
      </c>
      <c r="D431" s="358"/>
      <c r="E431" s="358"/>
      <c r="F431" s="358"/>
      <c r="G431" s="358"/>
      <c r="H431" s="358"/>
      <c r="I431" s="304"/>
      <c r="J431" s="312" t="str">
        <f t="shared" si="6"/>
        <v>Form: Constant</v>
      </c>
      <c r="K431" s="305"/>
    </row>
    <row r="432" spans="1:11" x14ac:dyDescent="0.2">
      <c r="A432" s="301"/>
      <c r="B432" s="358" t="s">
        <v>2</v>
      </c>
      <c r="C432" s="358" t="s">
        <v>856</v>
      </c>
      <c r="D432" s="358"/>
      <c r="E432" s="358"/>
      <c r="F432" s="358"/>
      <c r="G432" s="358"/>
      <c r="H432" s="358"/>
      <c r="I432" s="304"/>
      <c r="J432" s="312" t="str">
        <f t="shared" si="6"/>
        <v>Value: {MethylMercury} 0.06</v>
      </c>
      <c r="K432" s="305"/>
    </row>
    <row r="433" spans="1:11" x14ac:dyDescent="0.2">
      <c r="A433" s="301"/>
      <c r="B433" s="358" t="s">
        <v>849</v>
      </c>
      <c r="C433" s="358" t="s">
        <v>854</v>
      </c>
      <c r="D433" s="358" t="s">
        <v>850</v>
      </c>
      <c r="E433" s="358"/>
      <c r="F433" s="358"/>
      <c r="G433" s="358"/>
      <c r="H433" s="358"/>
      <c r="I433" s="304"/>
      <c r="J433" s="312" t="str">
        <f t="shared" si="6"/>
        <v>// Description: [[ See other documentation ]]</v>
      </c>
      <c r="K433" s="305"/>
    </row>
    <row r="434" spans="1:11" x14ac:dyDescent="0.2">
      <c r="A434" s="301"/>
      <c r="B434" s="358" t="s">
        <v>519</v>
      </c>
      <c r="C434" s="358" t="s">
        <v>857</v>
      </c>
      <c r="D434" s="358"/>
      <c r="E434" s="358"/>
      <c r="F434" s="358"/>
      <c r="G434" s="358"/>
      <c r="H434" s="358"/>
      <c r="I434" s="304"/>
      <c r="J434" s="312" t="str">
        <f t="shared" si="6"/>
        <v>Property: ReductionRate</v>
      </c>
      <c r="K434" s="305"/>
    </row>
    <row r="435" spans="1:11" x14ac:dyDescent="0.2">
      <c r="A435" s="301"/>
      <c r="B435" s="358" t="s">
        <v>521</v>
      </c>
      <c r="C435" s="358" t="s">
        <v>774</v>
      </c>
      <c r="D435" s="358"/>
      <c r="E435" s="358"/>
      <c r="F435" s="358"/>
      <c r="G435" s="358"/>
      <c r="H435" s="358"/>
      <c r="I435" s="304"/>
      <c r="J435" s="312" t="str">
        <f t="shared" si="6"/>
        <v>Form: Constant</v>
      </c>
      <c r="K435" s="305"/>
    </row>
    <row r="436" spans="1:11" x14ac:dyDescent="0.2">
      <c r="A436" s="301"/>
      <c r="B436" s="358" t="s">
        <v>2</v>
      </c>
      <c r="C436" s="358" t="s">
        <v>858</v>
      </c>
      <c r="D436" s="358"/>
      <c r="E436" s="358"/>
      <c r="F436" s="358"/>
      <c r="G436" s="358"/>
      <c r="H436" s="358"/>
      <c r="I436" s="304"/>
      <c r="J436" s="312" t="str">
        <f t="shared" si="6"/>
        <v>Value: {Divalent Mercury} 0.0000125</v>
      </c>
      <c r="K436" s="305"/>
    </row>
    <row r="437" spans="1:11" x14ac:dyDescent="0.2">
      <c r="A437" s="301"/>
      <c r="B437" s="358" t="s">
        <v>849</v>
      </c>
      <c r="C437" s="358" t="s">
        <v>854</v>
      </c>
      <c r="D437" s="358" t="s">
        <v>850</v>
      </c>
      <c r="E437" s="358"/>
      <c r="F437" s="358"/>
      <c r="G437" s="358"/>
      <c r="H437" s="358"/>
      <c r="I437" s="304"/>
      <c r="J437" s="312" t="str">
        <f t="shared" si="6"/>
        <v>// Description: [[ See other documentation ]]</v>
      </c>
      <c r="K437" s="305"/>
    </row>
    <row r="438" spans="1:11" x14ac:dyDescent="0.2">
      <c r="A438" s="301"/>
      <c r="B438" s="358" t="s">
        <v>378</v>
      </c>
      <c r="C438" s="358" t="s">
        <v>903</v>
      </c>
      <c r="D438" s="358"/>
      <c r="E438" s="358"/>
      <c r="F438" s="358"/>
      <c r="G438" s="358"/>
      <c r="H438" s="358"/>
      <c r="I438" s="304"/>
      <c r="J438" s="312" t="str">
        <f t="shared" si="6"/>
        <v>Compartment: Soil - Root Zone in RootSoil_SE2</v>
      </c>
      <c r="K438" s="305"/>
    </row>
    <row r="439" spans="1:11" x14ac:dyDescent="0.2">
      <c r="A439" s="301"/>
      <c r="B439" s="358" t="s">
        <v>519</v>
      </c>
      <c r="C439" s="358" t="s">
        <v>852</v>
      </c>
      <c r="D439" s="358"/>
      <c r="E439" s="358"/>
      <c r="F439" s="358"/>
      <c r="G439" s="358"/>
      <c r="H439" s="358"/>
      <c r="I439" s="304"/>
      <c r="J439" s="312" t="str">
        <f t="shared" si="6"/>
        <v>Property: MethylationRate</v>
      </c>
      <c r="K439" s="305"/>
    </row>
    <row r="440" spans="1:11" x14ac:dyDescent="0.2">
      <c r="A440" s="301"/>
      <c r="B440" s="358" t="s">
        <v>521</v>
      </c>
      <c r="C440" s="358" t="s">
        <v>774</v>
      </c>
      <c r="D440" s="358"/>
      <c r="E440" s="358"/>
      <c r="F440" s="358"/>
      <c r="G440" s="358"/>
      <c r="H440" s="358"/>
      <c r="I440" s="304"/>
      <c r="J440" s="312" t="str">
        <f t="shared" si="6"/>
        <v>Form: Constant</v>
      </c>
      <c r="K440" s="305"/>
    </row>
    <row r="441" spans="1:11" x14ac:dyDescent="0.2">
      <c r="A441" s="301"/>
      <c r="B441" s="358" t="s">
        <v>2</v>
      </c>
      <c r="C441" s="358" t="s">
        <v>853</v>
      </c>
      <c r="D441" s="358"/>
      <c r="E441" s="358"/>
      <c r="F441" s="358"/>
      <c r="G441" s="358"/>
      <c r="H441" s="358"/>
      <c r="I441" s="304"/>
      <c r="J441" s="312" t="str">
        <f t="shared" si="6"/>
        <v>Value: {Divalent Mercury} 0.001</v>
      </c>
      <c r="K441" s="305"/>
    </row>
    <row r="442" spans="1:11" x14ac:dyDescent="0.2">
      <c r="A442" s="301"/>
      <c r="B442" s="358" t="s">
        <v>849</v>
      </c>
      <c r="C442" s="358" t="s">
        <v>854</v>
      </c>
      <c r="D442" s="358" t="s">
        <v>850</v>
      </c>
      <c r="E442" s="358"/>
      <c r="F442" s="358"/>
      <c r="G442" s="358"/>
      <c r="H442" s="358"/>
      <c r="I442" s="304"/>
      <c r="J442" s="312" t="str">
        <f t="shared" si="6"/>
        <v>// Description: [[ See other documentation ]]</v>
      </c>
      <c r="K442" s="305"/>
    </row>
    <row r="443" spans="1:11" x14ac:dyDescent="0.2">
      <c r="A443" s="301"/>
      <c r="B443" s="358" t="s">
        <v>519</v>
      </c>
      <c r="C443" s="358" t="s">
        <v>857</v>
      </c>
      <c r="D443" s="358"/>
      <c r="E443" s="358"/>
      <c r="F443" s="358"/>
      <c r="G443" s="358"/>
      <c r="H443" s="358"/>
      <c r="I443" s="304"/>
      <c r="J443" s="312" t="str">
        <f t="shared" si="6"/>
        <v>Property: ReductionRate</v>
      </c>
      <c r="K443" s="305"/>
    </row>
    <row r="444" spans="1:11" x14ac:dyDescent="0.2">
      <c r="A444" s="301"/>
      <c r="B444" s="358" t="s">
        <v>521</v>
      </c>
      <c r="C444" s="358" t="s">
        <v>774</v>
      </c>
      <c r="D444" s="358"/>
      <c r="E444" s="358"/>
      <c r="F444" s="358"/>
      <c r="G444" s="358"/>
      <c r="H444" s="358"/>
      <c r="I444" s="304"/>
      <c r="J444" s="312" t="str">
        <f t="shared" si="6"/>
        <v>Form: Constant</v>
      </c>
      <c r="K444" s="305"/>
    </row>
    <row r="445" spans="1:11" x14ac:dyDescent="0.2">
      <c r="A445" s="301"/>
      <c r="B445" s="358" t="s">
        <v>2</v>
      </c>
      <c r="C445" s="358" t="s">
        <v>859</v>
      </c>
      <c r="D445" s="358"/>
      <c r="E445" s="358"/>
      <c r="F445" s="358"/>
      <c r="G445" s="358"/>
      <c r="H445" s="358"/>
      <c r="I445" s="304"/>
      <c r="J445" s="312" t="str">
        <f t="shared" si="6"/>
        <v>Value: {Divalent Mercury} 0.00000325</v>
      </c>
      <c r="K445" s="305"/>
    </row>
    <row r="446" spans="1:11" x14ac:dyDescent="0.2">
      <c r="A446" s="301"/>
      <c r="B446" s="358" t="s">
        <v>849</v>
      </c>
      <c r="C446" s="358" t="s">
        <v>854</v>
      </c>
      <c r="D446" s="358" t="s">
        <v>850</v>
      </c>
      <c r="E446" s="358"/>
      <c r="F446" s="358"/>
      <c r="G446" s="358"/>
      <c r="H446" s="358"/>
      <c r="I446" s="304"/>
      <c r="J446" s="312" t="str">
        <f t="shared" si="6"/>
        <v>// Description: [[ See other documentation ]]</v>
      </c>
      <c r="K446" s="305"/>
    </row>
    <row r="447" spans="1:11" x14ac:dyDescent="0.2">
      <c r="A447" s="301"/>
      <c r="B447" s="358" t="s">
        <v>378</v>
      </c>
      <c r="C447" s="358" t="s">
        <v>904</v>
      </c>
      <c r="D447" s="358"/>
      <c r="E447" s="358"/>
      <c r="F447" s="358"/>
      <c r="G447" s="358"/>
      <c r="H447" s="358"/>
      <c r="I447" s="304"/>
      <c r="J447" s="312" t="str">
        <f t="shared" si="6"/>
        <v>Compartment: Soil - Vadose Zone in VadoseSoil_SE2</v>
      </c>
      <c r="K447" s="305"/>
    </row>
    <row r="448" spans="1:11" x14ac:dyDescent="0.2">
      <c r="A448" s="301"/>
      <c r="B448" s="358" t="s">
        <v>519</v>
      </c>
      <c r="C448" s="358" t="s">
        <v>852</v>
      </c>
      <c r="D448" s="358"/>
      <c r="E448" s="358"/>
      <c r="F448" s="358"/>
      <c r="G448" s="358"/>
      <c r="H448" s="358"/>
      <c r="I448" s="304"/>
      <c r="J448" s="312" t="str">
        <f t="shared" si="6"/>
        <v>Property: MethylationRate</v>
      </c>
      <c r="K448" s="305"/>
    </row>
    <row r="449" spans="1:11" x14ac:dyDescent="0.2">
      <c r="A449" s="301"/>
      <c r="B449" s="358" t="s">
        <v>521</v>
      </c>
      <c r="C449" s="358" t="s">
        <v>774</v>
      </c>
      <c r="D449" s="358"/>
      <c r="E449" s="358"/>
      <c r="F449" s="358"/>
      <c r="G449" s="358"/>
      <c r="H449" s="358"/>
      <c r="I449" s="304"/>
      <c r="J449" s="312" t="str">
        <f t="shared" si="6"/>
        <v>Form: Constant</v>
      </c>
      <c r="K449" s="305"/>
    </row>
    <row r="450" spans="1:11" x14ac:dyDescent="0.2">
      <c r="A450" s="301"/>
      <c r="B450" s="358" t="s">
        <v>2</v>
      </c>
      <c r="C450" s="358" t="s">
        <v>853</v>
      </c>
      <c r="D450" s="358"/>
      <c r="E450" s="358"/>
      <c r="F450" s="358"/>
      <c r="G450" s="358"/>
      <c r="H450" s="358"/>
      <c r="I450" s="304"/>
      <c r="J450" s="312" t="str">
        <f t="shared" si="6"/>
        <v>Value: {Divalent Mercury} 0.001</v>
      </c>
      <c r="K450" s="305"/>
    </row>
    <row r="451" spans="1:11" x14ac:dyDescent="0.2">
      <c r="A451" s="301"/>
      <c r="B451" s="358" t="s">
        <v>849</v>
      </c>
      <c r="C451" s="358" t="s">
        <v>854</v>
      </c>
      <c r="D451" s="358" t="s">
        <v>850</v>
      </c>
      <c r="E451" s="358"/>
      <c r="F451" s="358"/>
      <c r="G451" s="358"/>
      <c r="H451" s="358"/>
      <c r="I451" s="304"/>
      <c r="J451" s="312" t="str">
        <f t="shared" si="6"/>
        <v>// Description: [[ See other documentation ]]</v>
      </c>
      <c r="K451" s="305"/>
    </row>
    <row r="452" spans="1:11" x14ac:dyDescent="0.2">
      <c r="A452" s="301"/>
      <c r="B452" s="358" t="s">
        <v>519</v>
      </c>
      <c r="C452" s="358" t="s">
        <v>857</v>
      </c>
      <c r="D452" s="358"/>
      <c r="E452" s="358"/>
      <c r="F452" s="358"/>
      <c r="G452" s="358"/>
      <c r="H452" s="358"/>
      <c r="I452" s="304"/>
      <c r="J452" s="312" t="str">
        <f t="shared" si="6"/>
        <v>Property: ReductionRate</v>
      </c>
      <c r="K452" s="305"/>
    </row>
    <row r="453" spans="1:11" x14ac:dyDescent="0.2">
      <c r="A453" s="301"/>
      <c r="B453" s="358" t="s">
        <v>521</v>
      </c>
      <c r="C453" s="358" t="s">
        <v>774</v>
      </c>
      <c r="D453" s="358"/>
      <c r="E453" s="358"/>
      <c r="F453" s="358"/>
      <c r="G453" s="358"/>
      <c r="H453" s="358"/>
      <c r="I453" s="304"/>
      <c r="J453" s="312" t="str">
        <f t="shared" ref="J453:J516" si="7">ConcatenateWithSpaces(B453:H453)</f>
        <v>Form: Constant</v>
      </c>
      <c r="K453" s="305"/>
    </row>
    <row r="454" spans="1:11" x14ac:dyDescent="0.2">
      <c r="A454" s="301"/>
      <c r="B454" s="358" t="s">
        <v>2</v>
      </c>
      <c r="C454" s="358" t="s">
        <v>859</v>
      </c>
      <c r="D454" s="358"/>
      <c r="E454" s="358"/>
      <c r="F454" s="358"/>
      <c r="G454" s="358"/>
      <c r="H454" s="358"/>
      <c r="I454" s="304"/>
      <c r="J454" s="312" t="str">
        <f t="shared" si="7"/>
        <v>Value: {Divalent Mercury} 0.00000325</v>
      </c>
      <c r="K454" s="305"/>
    </row>
    <row r="455" spans="1:11" x14ac:dyDescent="0.2">
      <c r="A455" s="301"/>
      <c r="B455" s="358" t="s">
        <v>849</v>
      </c>
      <c r="C455" s="358" t="s">
        <v>854</v>
      </c>
      <c r="D455" s="358" t="s">
        <v>850</v>
      </c>
      <c r="E455" s="358"/>
      <c r="F455" s="358"/>
      <c r="G455" s="358"/>
      <c r="H455" s="358"/>
      <c r="I455" s="304"/>
      <c r="J455" s="312" t="str">
        <f t="shared" si="7"/>
        <v>// Description: [[ See other documentation ]]</v>
      </c>
      <c r="K455" s="305"/>
    </row>
    <row r="456" spans="1:11" x14ac:dyDescent="0.2">
      <c r="A456" s="301"/>
      <c r="B456" s="358" t="s">
        <v>851</v>
      </c>
      <c r="C456" s="358" t="s">
        <v>905</v>
      </c>
      <c r="D456" s="358"/>
      <c r="E456" s="358"/>
      <c r="F456" s="358"/>
      <c r="G456" s="358"/>
      <c r="H456" s="358"/>
      <c r="I456" s="304"/>
      <c r="J456" s="312" t="str">
        <f t="shared" si="7"/>
        <v>Compartment:  Soil - Surface in SurfSoil_SW1</v>
      </c>
      <c r="K456" s="305"/>
    </row>
    <row r="457" spans="1:11" x14ac:dyDescent="0.2">
      <c r="A457" s="301"/>
      <c r="B457" s="358" t="s">
        <v>519</v>
      </c>
      <c r="C457" s="358" t="s">
        <v>852</v>
      </c>
      <c r="D457" s="358"/>
      <c r="E457" s="358"/>
      <c r="F457" s="358"/>
      <c r="G457" s="358"/>
      <c r="H457" s="358"/>
      <c r="I457" s="304"/>
      <c r="J457" s="312" t="str">
        <f t="shared" si="7"/>
        <v>Property: MethylationRate</v>
      </c>
      <c r="K457" s="305"/>
    </row>
    <row r="458" spans="1:11" x14ac:dyDescent="0.2">
      <c r="A458" s="301"/>
      <c r="B458" s="358" t="s">
        <v>521</v>
      </c>
      <c r="C458" s="358" t="s">
        <v>774</v>
      </c>
      <c r="D458" s="358"/>
      <c r="E458" s="358"/>
      <c r="F458" s="358"/>
      <c r="G458" s="358"/>
      <c r="H458" s="358"/>
      <c r="I458" s="304"/>
      <c r="J458" s="312" t="str">
        <f t="shared" si="7"/>
        <v>Form: Constant</v>
      </c>
      <c r="K458" s="305"/>
    </row>
    <row r="459" spans="1:11" x14ac:dyDescent="0.2">
      <c r="A459" s="301"/>
      <c r="B459" s="358" t="s">
        <v>2</v>
      </c>
      <c r="C459" s="358" t="s">
        <v>860</v>
      </c>
      <c r="D459" s="358"/>
      <c r="E459" s="358"/>
      <c r="F459" s="358"/>
      <c r="G459" s="358"/>
      <c r="H459" s="358"/>
      <c r="I459" s="304"/>
      <c r="J459" s="312" t="str">
        <f t="shared" si="7"/>
        <v>Value: {Divalent Mercury} 0.003</v>
      </c>
      <c r="K459" s="305"/>
    </row>
    <row r="460" spans="1:11" x14ac:dyDescent="0.2">
      <c r="A460" s="301"/>
      <c r="B460" s="358" t="s">
        <v>849</v>
      </c>
      <c r="C460" s="358" t="s">
        <v>854</v>
      </c>
      <c r="D460" s="358" t="s">
        <v>850</v>
      </c>
      <c r="E460" s="358"/>
      <c r="F460" s="358"/>
      <c r="G460" s="358"/>
      <c r="H460" s="358"/>
      <c r="I460" s="304"/>
      <c r="J460" s="312" t="str">
        <f t="shared" si="7"/>
        <v>// Description: [[ See other documentation ]]</v>
      </c>
      <c r="K460" s="305"/>
    </row>
    <row r="461" spans="1:11" x14ac:dyDescent="0.2">
      <c r="A461" s="301"/>
      <c r="B461" s="358" t="s">
        <v>519</v>
      </c>
      <c r="C461" s="358" t="s">
        <v>855</v>
      </c>
      <c r="D461" s="358"/>
      <c r="E461" s="358"/>
      <c r="F461" s="358"/>
      <c r="G461" s="358"/>
      <c r="H461" s="358"/>
      <c r="I461" s="304"/>
      <c r="J461" s="312" t="str">
        <f t="shared" si="7"/>
        <v>Property: DemethylationRate</v>
      </c>
      <c r="K461" s="305"/>
    </row>
    <row r="462" spans="1:11" x14ac:dyDescent="0.2">
      <c r="A462" s="301"/>
      <c r="B462" s="358" t="s">
        <v>521</v>
      </c>
      <c r="C462" s="358" t="s">
        <v>774</v>
      </c>
      <c r="D462" s="358"/>
      <c r="E462" s="358"/>
      <c r="F462" s="358"/>
      <c r="G462" s="358"/>
      <c r="H462" s="358"/>
      <c r="I462" s="304"/>
      <c r="J462" s="312" t="str">
        <f t="shared" si="7"/>
        <v>Form: Constant</v>
      </c>
      <c r="K462" s="305"/>
    </row>
    <row r="463" spans="1:11" x14ac:dyDescent="0.2">
      <c r="A463" s="301"/>
      <c r="B463" s="358" t="s">
        <v>2</v>
      </c>
      <c r="C463" s="358" t="s">
        <v>861</v>
      </c>
      <c r="D463" s="358"/>
      <c r="E463" s="358"/>
      <c r="F463" s="358"/>
      <c r="G463" s="358"/>
      <c r="H463" s="358"/>
      <c r="I463" s="304"/>
      <c r="J463" s="312" t="str">
        <f t="shared" si="7"/>
        <v>Value: {MethylMercury} 0.05</v>
      </c>
      <c r="K463" s="305"/>
    </row>
    <row r="464" spans="1:11" x14ac:dyDescent="0.2">
      <c r="A464" s="301"/>
      <c r="B464" s="358" t="s">
        <v>849</v>
      </c>
      <c r="C464" s="358" t="s">
        <v>854</v>
      </c>
      <c r="D464" s="358" t="s">
        <v>850</v>
      </c>
      <c r="E464" s="358"/>
      <c r="F464" s="358"/>
      <c r="G464" s="358"/>
      <c r="H464" s="358"/>
      <c r="I464" s="304"/>
      <c r="J464" s="312" t="str">
        <f t="shared" si="7"/>
        <v>// Description: [[ See other documentation ]]</v>
      </c>
      <c r="K464" s="305"/>
    </row>
    <row r="465" spans="1:11" x14ac:dyDescent="0.2">
      <c r="A465" s="301"/>
      <c r="B465" s="358" t="s">
        <v>519</v>
      </c>
      <c r="C465" s="358" t="s">
        <v>857</v>
      </c>
      <c r="D465" s="358"/>
      <c r="E465" s="358"/>
      <c r="F465" s="358"/>
      <c r="G465" s="358"/>
      <c r="H465" s="358"/>
      <c r="I465" s="304"/>
      <c r="J465" s="312" t="str">
        <f t="shared" si="7"/>
        <v>Property: ReductionRate</v>
      </c>
      <c r="K465" s="305"/>
    </row>
    <row r="466" spans="1:11" x14ac:dyDescent="0.2">
      <c r="A466" s="301"/>
      <c r="B466" s="358" t="s">
        <v>521</v>
      </c>
      <c r="C466" s="358" t="s">
        <v>774</v>
      </c>
      <c r="D466" s="358"/>
      <c r="E466" s="358"/>
      <c r="F466" s="358"/>
      <c r="G466" s="358"/>
      <c r="H466" s="358"/>
      <c r="I466" s="304"/>
      <c r="J466" s="312" t="str">
        <f t="shared" si="7"/>
        <v>Form: Constant</v>
      </c>
      <c r="K466" s="305"/>
    </row>
    <row r="467" spans="1:11" x14ac:dyDescent="0.2">
      <c r="A467" s="301"/>
      <c r="B467" s="358" t="s">
        <v>2</v>
      </c>
      <c r="C467" s="358" t="s">
        <v>862</v>
      </c>
      <c r="D467" s="358"/>
      <c r="E467" s="358"/>
      <c r="F467" s="358"/>
      <c r="G467" s="358"/>
      <c r="H467" s="358"/>
      <c r="I467" s="304"/>
      <c r="J467" s="312" t="str">
        <f t="shared" si="7"/>
        <v>Value: {Divalent Mercury} 0.000004</v>
      </c>
      <c r="K467" s="305"/>
    </row>
    <row r="468" spans="1:11" x14ac:dyDescent="0.2">
      <c r="A468" s="301"/>
      <c r="B468" s="358" t="s">
        <v>849</v>
      </c>
      <c r="C468" s="358" t="s">
        <v>854</v>
      </c>
      <c r="D468" s="358" t="s">
        <v>850</v>
      </c>
      <c r="E468" s="358"/>
      <c r="F468" s="358"/>
      <c r="G468" s="358"/>
      <c r="H468" s="358"/>
      <c r="I468" s="304"/>
      <c r="J468" s="312" t="str">
        <f t="shared" si="7"/>
        <v>// Description: [[ See other documentation ]]</v>
      </c>
      <c r="K468" s="305"/>
    </row>
    <row r="469" spans="1:11" x14ac:dyDescent="0.2">
      <c r="A469" s="301"/>
      <c r="B469" s="358" t="s">
        <v>378</v>
      </c>
      <c r="C469" s="358" t="s">
        <v>906</v>
      </c>
      <c r="D469" s="358"/>
      <c r="E469" s="358"/>
      <c r="F469" s="358"/>
      <c r="G469" s="358"/>
      <c r="H469" s="358"/>
      <c r="I469" s="304"/>
      <c r="J469" s="312" t="str">
        <f t="shared" si="7"/>
        <v>Compartment: Soil - Root Zone in RootSoil_SW1</v>
      </c>
      <c r="K469" s="305"/>
    </row>
    <row r="470" spans="1:11" x14ac:dyDescent="0.2">
      <c r="A470" s="301"/>
      <c r="B470" s="358" t="s">
        <v>519</v>
      </c>
      <c r="C470" s="358" t="s">
        <v>852</v>
      </c>
      <c r="D470" s="358"/>
      <c r="E470" s="358"/>
      <c r="F470" s="358"/>
      <c r="G470" s="358"/>
      <c r="H470" s="358"/>
      <c r="I470" s="304"/>
      <c r="J470" s="312" t="str">
        <f t="shared" si="7"/>
        <v>Property: MethylationRate</v>
      </c>
      <c r="K470" s="305"/>
    </row>
    <row r="471" spans="1:11" x14ac:dyDescent="0.2">
      <c r="A471" s="301"/>
      <c r="B471" s="358" t="s">
        <v>521</v>
      </c>
      <c r="C471" s="358" t="s">
        <v>774</v>
      </c>
      <c r="D471" s="358"/>
      <c r="E471" s="358"/>
      <c r="F471" s="358"/>
      <c r="G471" s="358"/>
      <c r="H471" s="358"/>
      <c r="I471" s="304"/>
      <c r="J471" s="312" t="str">
        <f t="shared" si="7"/>
        <v>Form: Constant</v>
      </c>
      <c r="K471" s="305"/>
    </row>
    <row r="472" spans="1:11" x14ac:dyDescent="0.2">
      <c r="A472" s="301"/>
      <c r="B472" s="358" t="s">
        <v>2</v>
      </c>
      <c r="C472" s="358" t="s">
        <v>860</v>
      </c>
      <c r="D472" s="358"/>
      <c r="E472" s="358"/>
      <c r="F472" s="358"/>
      <c r="G472" s="358"/>
      <c r="H472" s="358"/>
      <c r="I472" s="304"/>
      <c r="J472" s="312" t="str">
        <f t="shared" si="7"/>
        <v>Value: {Divalent Mercury} 0.003</v>
      </c>
      <c r="K472" s="305"/>
    </row>
    <row r="473" spans="1:11" x14ac:dyDescent="0.2">
      <c r="A473" s="301"/>
      <c r="B473" s="358" t="s">
        <v>849</v>
      </c>
      <c r="C473" s="358" t="s">
        <v>854</v>
      </c>
      <c r="D473" s="358" t="s">
        <v>850</v>
      </c>
      <c r="E473" s="358"/>
      <c r="F473" s="358"/>
      <c r="G473" s="358"/>
      <c r="H473" s="358"/>
      <c r="I473" s="304"/>
      <c r="J473" s="312" t="str">
        <f t="shared" si="7"/>
        <v>// Description: [[ See other documentation ]]</v>
      </c>
      <c r="K473" s="305"/>
    </row>
    <row r="474" spans="1:11" x14ac:dyDescent="0.2">
      <c r="A474" s="301"/>
      <c r="B474" s="358" t="s">
        <v>519</v>
      </c>
      <c r="C474" s="358" t="s">
        <v>857</v>
      </c>
      <c r="D474" s="358"/>
      <c r="E474" s="358"/>
      <c r="F474" s="358"/>
      <c r="G474" s="358"/>
      <c r="H474" s="358"/>
      <c r="I474" s="304"/>
      <c r="J474" s="312" t="str">
        <f t="shared" si="7"/>
        <v>Property: ReductionRate</v>
      </c>
      <c r="K474" s="305"/>
    </row>
    <row r="475" spans="1:11" x14ac:dyDescent="0.2">
      <c r="A475" s="301"/>
      <c r="B475" s="358" t="s">
        <v>521</v>
      </c>
      <c r="C475" s="358" t="s">
        <v>774</v>
      </c>
      <c r="D475" s="358"/>
      <c r="E475" s="358"/>
      <c r="F475" s="358"/>
      <c r="G475" s="358"/>
      <c r="H475" s="358"/>
      <c r="I475" s="304"/>
      <c r="J475" s="312" t="str">
        <f t="shared" si="7"/>
        <v>Form: Constant</v>
      </c>
      <c r="K475" s="305"/>
    </row>
    <row r="476" spans="1:11" x14ac:dyDescent="0.2">
      <c r="A476" s="301"/>
      <c r="B476" s="358" t="s">
        <v>2</v>
      </c>
      <c r="C476" s="358" t="s">
        <v>862</v>
      </c>
      <c r="D476" s="358"/>
      <c r="E476" s="358"/>
      <c r="F476" s="358"/>
      <c r="G476" s="358"/>
      <c r="H476" s="358"/>
      <c r="I476" s="304"/>
      <c r="J476" s="312" t="str">
        <f t="shared" si="7"/>
        <v>Value: {Divalent Mercury} 0.000004</v>
      </c>
      <c r="K476" s="305"/>
    </row>
    <row r="477" spans="1:11" x14ac:dyDescent="0.2">
      <c r="A477" s="301"/>
      <c r="B477" s="358" t="s">
        <v>849</v>
      </c>
      <c r="C477" s="358" t="s">
        <v>854</v>
      </c>
      <c r="D477" s="358" t="s">
        <v>850</v>
      </c>
      <c r="E477" s="358"/>
      <c r="F477" s="358"/>
      <c r="G477" s="358"/>
      <c r="H477" s="358"/>
      <c r="I477" s="304"/>
      <c r="J477" s="312" t="str">
        <f t="shared" si="7"/>
        <v>// Description: [[ See other documentation ]]</v>
      </c>
      <c r="K477" s="305"/>
    </row>
    <row r="478" spans="1:11" x14ac:dyDescent="0.2">
      <c r="A478" s="301"/>
      <c r="B478" s="358" t="s">
        <v>378</v>
      </c>
      <c r="C478" s="358" t="s">
        <v>907</v>
      </c>
      <c r="D478" s="358"/>
      <c r="E478" s="358"/>
      <c r="F478" s="358"/>
      <c r="G478" s="358"/>
      <c r="H478" s="358"/>
      <c r="I478" s="304"/>
      <c r="J478" s="312" t="str">
        <f t="shared" si="7"/>
        <v>Compartment: Soil - Vadose Zone in VadoseSoil_SW1</v>
      </c>
      <c r="K478" s="305"/>
    </row>
    <row r="479" spans="1:11" x14ac:dyDescent="0.2">
      <c r="A479" s="301"/>
      <c r="B479" s="358" t="s">
        <v>519</v>
      </c>
      <c r="C479" s="358" t="s">
        <v>852</v>
      </c>
      <c r="D479" s="358"/>
      <c r="E479" s="358"/>
      <c r="F479" s="358"/>
      <c r="G479" s="358"/>
      <c r="H479" s="358"/>
      <c r="I479" s="304"/>
      <c r="J479" s="312" t="str">
        <f t="shared" si="7"/>
        <v>Property: MethylationRate</v>
      </c>
      <c r="K479" s="305"/>
    </row>
    <row r="480" spans="1:11" x14ac:dyDescent="0.2">
      <c r="A480" s="301"/>
      <c r="B480" s="358" t="s">
        <v>521</v>
      </c>
      <c r="C480" s="358" t="s">
        <v>774</v>
      </c>
      <c r="D480" s="358"/>
      <c r="E480" s="358"/>
      <c r="F480" s="358"/>
      <c r="G480" s="358"/>
      <c r="H480" s="358"/>
      <c r="I480" s="304"/>
      <c r="J480" s="312" t="str">
        <f t="shared" si="7"/>
        <v>Form: Constant</v>
      </c>
      <c r="K480" s="305"/>
    </row>
    <row r="481" spans="1:11" x14ac:dyDescent="0.2">
      <c r="A481" s="301"/>
      <c r="B481" s="358" t="s">
        <v>2</v>
      </c>
      <c r="C481" s="358" t="s">
        <v>860</v>
      </c>
      <c r="D481" s="358"/>
      <c r="E481" s="358"/>
      <c r="F481" s="358"/>
      <c r="G481" s="358"/>
      <c r="H481" s="358"/>
      <c r="I481" s="304"/>
      <c r="J481" s="312" t="str">
        <f t="shared" si="7"/>
        <v>Value: {Divalent Mercury} 0.003</v>
      </c>
      <c r="K481" s="305"/>
    </row>
    <row r="482" spans="1:11" x14ac:dyDescent="0.2">
      <c r="A482" s="301"/>
      <c r="B482" s="358" t="s">
        <v>849</v>
      </c>
      <c r="C482" s="358" t="s">
        <v>854</v>
      </c>
      <c r="D482" s="358" t="s">
        <v>850</v>
      </c>
      <c r="E482" s="358"/>
      <c r="F482" s="358"/>
      <c r="G482" s="358"/>
      <c r="H482" s="358"/>
      <c r="I482" s="304"/>
      <c r="J482" s="312" t="str">
        <f t="shared" si="7"/>
        <v>// Description: [[ See other documentation ]]</v>
      </c>
      <c r="K482" s="305"/>
    </row>
    <row r="483" spans="1:11" x14ac:dyDescent="0.2">
      <c r="A483" s="301"/>
      <c r="B483" s="358" t="s">
        <v>519</v>
      </c>
      <c r="C483" s="358" t="s">
        <v>857</v>
      </c>
      <c r="D483" s="358"/>
      <c r="E483" s="358"/>
      <c r="F483" s="358"/>
      <c r="G483" s="358"/>
      <c r="H483" s="358"/>
      <c r="I483" s="304"/>
      <c r="J483" s="312" t="str">
        <f t="shared" si="7"/>
        <v>Property: ReductionRate</v>
      </c>
      <c r="K483" s="305"/>
    </row>
    <row r="484" spans="1:11" x14ac:dyDescent="0.2">
      <c r="A484" s="301"/>
      <c r="B484" s="358" t="s">
        <v>521</v>
      </c>
      <c r="C484" s="358" t="s">
        <v>774</v>
      </c>
      <c r="D484" s="358"/>
      <c r="E484" s="358"/>
      <c r="F484" s="358"/>
      <c r="G484" s="358"/>
      <c r="H484" s="358"/>
      <c r="I484" s="304"/>
      <c r="J484" s="312" t="str">
        <f t="shared" si="7"/>
        <v>Form: Constant</v>
      </c>
      <c r="K484" s="305"/>
    </row>
    <row r="485" spans="1:11" x14ac:dyDescent="0.2">
      <c r="A485" s="301"/>
      <c r="B485" s="358" t="s">
        <v>2</v>
      </c>
      <c r="C485" s="358" t="s">
        <v>862</v>
      </c>
      <c r="D485" s="358"/>
      <c r="E485" s="358"/>
      <c r="F485" s="358"/>
      <c r="G485" s="358"/>
      <c r="H485" s="358"/>
      <c r="I485" s="304"/>
      <c r="J485" s="312" t="str">
        <f t="shared" si="7"/>
        <v>Value: {Divalent Mercury} 0.000004</v>
      </c>
      <c r="K485" s="305"/>
    </row>
    <row r="486" spans="1:11" x14ac:dyDescent="0.2">
      <c r="A486" s="301"/>
      <c r="B486" s="358" t="s">
        <v>849</v>
      </c>
      <c r="C486" s="358" t="s">
        <v>854</v>
      </c>
      <c r="D486" s="358" t="s">
        <v>850</v>
      </c>
      <c r="E486" s="358"/>
      <c r="F486" s="358"/>
      <c r="G486" s="358"/>
      <c r="H486" s="358"/>
      <c r="I486" s="304"/>
      <c r="J486" s="312" t="str">
        <f t="shared" si="7"/>
        <v>// Description: [[ See other documentation ]]</v>
      </c>
      <c r="K486" s="305"/>
    </row>
    <row r="487" spans="1:11" x14ac:dyDescent="0.2">
      <c r="A487" s="301"/>
      <c r="B487" s="358" t="s">
        <v>851</v>
      </c>
      <c r="C487" s="358" t="s">
        <v>908</v>
      </c>
      <c r="D487" s="358"/>
      <c r="E487" s="358"/>
      <c r="F487" s="358"/>
      <c r="G487" s="358"/>
      <c r="H487" s="358"/>
      <c r="I487" s="304"/>
      <c r="J487" s="312" t="str">
        <f t="shared" si="7"/>
        <v>Compartment:  Soil - Surface in SurfSoil_SW2</v>
      </c>
      <c r="K487" s="305"/>
    </row>
    <row r="488" spans="1:11" x14ac:dyDescent="0.2">
      <c r="A488" s="301"/>
      <c r="B488" s="358" t="s">
        <v>519</v>
      </c>
      <c r="C488" s="358" t="s">
        <v>852</v>
      </c>
      <c r="D488" s="358"/>
      <c r="E488" s="358"/>
      <c r="F488" s="358"/>
      <c r="G488" s="358"/>
      <c r="H488" s="358"/>
      <c r="I488" s="304"/>
      <c r="J488" s="312" t="str">
        <f t="shared" si="7"/>
        <v>Property: MethylationRate</v>
      </c>
      <c r="K488" s="305"/>
    </row>
    <row r="489" spans="1:11" x14ac:dyDescent="0.2">
      <c r="A489" s="301"/>
      <c r="B489" s="358" t="s">
        <v>521</v>
      </c>
      <c r="C489" s="358" t="s">
        <v>774</v>
      </c>
      <c r="D489" s="358"/>
      <c r="E489" s="358"/>
      <c r="F489" s="358"/>
      <c r="G489" s="358"/>
      <c r="H489" s="358"/>
      <c r="I489" s="304"/>
      <c r="J489" s="312" t="str">
        <f t="shared" si="7"/>
        <v>Form: Constant</v>
      </c>
      <c r="K489" s="305"/>
    </row>
    <row r="490" spans="1:11" x14ac:dyDescent="0.2">
      <c r="A490" s="301"/>
      <c r="B490" s="358" t="s">
        <v>2</v>
      </c>
      <c r="C490" s="358" t="s">
        <v>853</v>
      </c>
      <c r="D490" s="358"/>
      <c r="E490" s="358"/>
      <c r="F490" s="358"/>
      <c r="G490" s="358"/>
      <c r="H490" s="358"/>
      <c r="I490" s="304"/>
      <c r="J490" s="312" t="str">
        <f t="shared" si="7"/>
        <v>Value: {Divalent Mercury} 0.001</v>
      </c>
      <c r="K490" s="305"/>
    </row>
    <row r="491" spans="1:11" x14ac:dyDescent="0.2">
      <c r="A491" s="301"/>
      <c r="B491" s="358" t="s">
        <v>849</v>
      </c>
      <c r="C491" s="358" t="s">
        <v>854</v>
      </c>
      <c r="D491" s="358" t="s">
        <v>850</v>
      </c>
      <c r="E491" s="358"/>
      <c r="F491" s="358"/>
      <c r="G491" s="358"/>
      <c r="H491" s="358"/>
      <c r="I491" s="304"/>
      <c r="J491" s="312" t="str">
        <f t="shared" si="7"/>
        <v>// Description: [[ See other documentation ]]</v>
      </c>
      <c r="K491" s="305"/>
    </row>
    <row r="492" spans="1:11" x14ac:dyDescent="0.2">
      <c r="A492" s="301"/>
      <c r="B492" s="358" t="s">
        <v>519</v>
      </c>
      <c r="C492" s="358" t="s">
        <v>855</v>
      </c>
      <c r="D492" s="358"/>
      <c r="E492" s="358"/>
      <c r="F492" s="358"/>
      <c r="G492" s="358"/>
      <c r="H492" s="358"/>
      <c r="I492" s="304"/>
      <c r="J492" s="312" t="str">
        <f t="shared" si="7"/>
        <v>Property: DemethylationRate</v>
      </c>
      <c r="K492" s="305"/>
    </row>
    <row r="493" spans="1:11" x14ac:dyDescent="0.2">
      <c r="A493" s="301"/>
      <c r="B493" s="358" t="s">
        <v>521</v>
      </c>
      <c r="C493" s="358" t="s">
        <v>774</v>
      </c>
      <c r="D493" s="358"/>
      <c r="E493" s="358"/>
      <c r="F493" s="358"/>
      <c r="G493" s="358"/>
      <c r="H493" s="358"/>
      <c r="I493" s="304"/>
      <c r="J493" s="312" t="str">
        <f t="shared" si="7"/>
        <v>Form: Constant</v>
      </c>
      <c r="K493" s="305"/>
    </row>
    <row r="494" spans="1:11" x14ac:dyDescent="0.2">
      <c r="A494" s="301"/>
      <c r="B494" s="358" t="s">
        <v>2</v>
      </c>
      <c r="C494" s="358" t="s">
        <v>856</v>
      </c>
      <c r="D494" s="358"/>
      <c r="E494" s="358"/>
      <c r="F494" s="358"/>
      <c r="G494" s="358"/>
      <c r="H494" s="358"/>
      <c r="I494" s="304"/>
      <c r="J494" s="312" t="str">
        <f t="shared" si="7"/>
        <v>Value: {MethylMercury} 0.06</v>
      </c>
      <c r="K494" s="305"/>
    </row>
    <row r="495" spans="1:11" x14ac:dyDescent="0.2">
      <c r="A495" s="301"/>
      <c r="B495" s="358" t="s">
        <v>849</v>
      </c>
      <c r="C495" s="358" t="s">
        <v>854</v>
      </c>
      <c r="D495" s="358" t="s">
        <v>850</v>
      </c>
      <c r="E495" s="358"/>
      <c r="F495" s="358"/>
      <c r="G495" s="358"/>
      <c r="H495" s="358"/>
      <c r="I495" s="304"/>
      <c r="J495" s="312" t="str">
        <f t="shared" si="7"/>
        <v>// Description: [[ See other documentation ]]</v>
      </c>
      <c r="K495" s="305"/>
    </row>
    <row r="496" spans="1:11" x14ac:dyDescent="0.2">
      <c r="A496" s="301"/>
      <c r="B496" s="358" t="s">
        <v>519</v>
      </c>
      <c r="C496" s="358" t="s">
        <v>857</v>
      </c>
      <c r="D496" s="358"/>
      <c r="E496" s="358"/>
      <c r="F496" s="358"/>
      <c r="G496" s="358"/>
      <c r="H496" s="358"/>
      <c r="I496" s="304"/>
      <c r="J496" s="312" t="str">
        <f t="shared" si="7"/>
        <v>Property: ReductionRate</v>
      </c>
      <c r="K496" s="305"/>
    </row>
    <row r="497" spans="1:11" x14ac:dyDescent="0.2">
      <c r="A497" s="301"/>
      <c r="B497" s="358" t="s">
        <v>521</v>
      </c>
      <c r="C497" s="358" t="s">
        <v>774</v>
      </c>
      <c r="D497" s="358"/>
      <c r="E497" s="358"/>
      <c r="F497" s="358"/>
      <c r="G497" s="358"/>
      <c r="H497" s="358"/>
      <c r="I497" s="304"/>
      <c r="J497" s="312" t="str">
        <f t="shared" si="7"/>
        <v>Form: Constant</v>
      </c>
      <c r="K497" s="305"/>
    </row>
    <row r="498" spans="1:11" x14ac:dyDescent="0.2">
      <c r="A498" s="301"/>
      <c r="B498" s="358" t="s">
        <v>2</v>
      </c>
      <c r="C498" s="358" t="s">
        <v>858</v>
      </c>
      <c r="D498" s="358"/>
      <c r="E498" s="358"/>
      <c r="F498" s="358"/>
      <c r="G498" s="358"/>
      <c r="H498" s="358"/>
      <c r="I498" s="304"/>
      <c r="J498" s="312" t="str">
        <f t="shared" si="7"/>
        <v>Value: {Divalent Mercury} 0.0000125</v>
      </c>
      <c r="K498" s="305"/>
    </row>
    <row r="499" spans="1:11" x14ac:dyDescent="0.2">
      <c r="A499" s="301"/>
      <c r="B499" s="358" t="s">
        <v>849</v>
      </c>
      <c r="C499" s="358" t="s">
        <v>854</v>
      </c>
      <c r="D499" s="358" t="s">
        <v>850</v>
      </c>
      <c r="E499" s="358"/>
      <c r="F499" s="358"/>
      <c r="G499" s="358"/>
      <c r="H499" s="358"/>
      <c r="I499" s="304"/>
      <c r="J499" s="312" t="str">
        <f t="shared" si="7"/>
        <v>// Description: [[ See other documentation ]]</v>
      </c>
      <c r="K499" s="305"/>
    </row>
    <row r="500" spans="1:11" x14ac:dyDescent="0.2">
      <c r="A500" s="301"/>
      <c r="B500" s="358" t="s">
        <v>378</v>
      </c>
      <c r="C500" s="358" t="s">
        <v>909</v>
      </c>
      <c r="D500" s="358"/>
      <c r="E500" s="358"/>
      <c r="F500" s="358"/>
      <c r="G500" s="358"/>
      <c r="H500" s="358"/>
      <c r="I500" s="304"/>
      <c r="J500" s="312" t="str">
        <f t="shared" si="7"/>
        <v>Compartment: Soil - Root Zone in RootSoil_SW2</v>
      </c>
      <c r="K500" s="305"/>
    </row>
    <row r="501" spans="1:11" x14ac:dyDescent="0.2">
      <c r="A501" s="301"/>
      <c r="B501" s="358" t="s">
        <v>519</v>
      </c>
      <c r="C501" s="358" t="s">
        <v>852</v>
      </c>
      <c r="D501" s="358"/>
      <c r="E501" s="358"/>
      <c r="F501" s="358"/>
      <c r="G501" s="358"/>
      <c r="H501" s="358"/>
      <c r="I501" s="304"/>
      <c r="J501" s="312" t="str">
        <f t="shared" si="7"/>
        <v>Property: MethylationRate</v>
      </c>
      <c r="K501" s="305"/>
    </row>
    <row r="502" spans="1:11" x14ac:dyDescent="0.2">
      <c r="A502" s="301"/>
      <c r="B502" s="358" t="s">
        <v>521</v>
      </c>
      <c r="C502" s="358" t="s">
        <v>774</v>
      </c>
      <c r="D502" s="358"/>
      <c r="E502" s="358"/>
      <c r="F502" s="358"/>
      <c r="G502" s="358"/>
      <c r="H502" s="358"/>
      <c r="I502" s="304"/>
      <c r="J502" s="312" t="str">
        <f t="shared" si="7"/>
        <v>Form: Constant</v>
      </c>
      <c r="K502" s="305"/>
    </row>
    <row r="503" spans="1:11" x14ac:dyDescent="0.2">
      <c r="A503" s="301"/>
      <c r="B503" s="358" t="s">
        <v>2</v>
      </c>
      <c r="C503" s="358" t="s">
        <v>853</v>
      </c>
      <c r="D503" s="358"/>
      <c r="E503" s="358"/>
      <c r="F503" s="358"/>
      <c r="G503" s="358"/>
      <c r="H503" s="358"/>
      <c r="I503" s="304"/>
      <c r="J503" s="312" t="str">
        <f t="shared" si="7"/>
        <v>Value: {Divalent Mercury} 0.001</v>
      </c>
      <c r="K503" s="305"/>
    </row>
    <row r="504" spans="1:11" x14ac:dyDescent="0.2">
      <c r="A504" s="301"/>
      <c r="B504" s="358" t="s">
        <v>849</v>
      </c>
      <c r="C504" s="358" t="s">
        <v>854</v>
      </c>
      <c r="D504" s="358" t="s">
        <v>850</v>
      </c>
      <c r="E504" s="358"/>
      <c r="F504" s="358"/>
      <c r="G504" s="358"/>
      <c r="H504" s="358"/>
      <c r="I504" s="304"/>
      <c r="J504" s="312" t="str">
        <f t="shared" si="7"/>
        <v>// Description: [[ See other documentation ]]</v>
      </c>
      <c r="K504" s="305"/>
    </row>
    <row r="505" spans="1:11" x14ac:dyDescent="0.2">
      <c r="A505" s="301"/>
      <c r="B505" s="358" t="s">
        <v>519</v>
      </c>
      <c r="C505" s="358" t="s">
        <v>857</v>
      </c>
      <c r="D505" s="358"/>
      <c r="E505" s="358"/>
      <c r="F505" s="358"/>
      <c r="G505" s="358"/>
      <c r="H505" s="358"/>
      <c r="I505" s="304"/>
      <c r="J505" s="312" t="str">
        <f t="shared" si="7"/>
        <v>Property: ReductionRate</v>
      </c>
      <c r="K505" s="305"/>
    </row>
    <row r="506" spans="1:11" x14ac:dyDescent="0.2">
      <c r="A506" s="301"/>
      <c r="B506" s="358" t="s">
        <v>521</v>
      </c>
      <c r="C506" s="358" t="s">
        <v>774</v>
      </c>
      <c r="D506" s="358"/>
      <c r="E506" s="358"/>
      <c r="F506" s="358"/>
      <c r="G506" s="358"/>
      <c r="H506" s="358"/>
      <c r="I506" s="304"/>
      <c r="J506" s="312" t="str">
        <f t="shared" si="7"/>
        <v>Form: Constant</v>
      </c>
      <c r="K506" s="305"/>
    </row>
    <row r="507" spans="1:11" x14ac:dyDescent="0.2">
      <c r="A507" s="301"/>
      <c r="B507" s="358" t="s">
        <v>2</v>
      </c>
      <c r="C507" s="358" t="s">
        <v>859</v>
      </c>
      <c r="D507" s="358"/>
      <c r="E507" s="358"/>
      <c r="F507" s="358"/>
      <c r="G507" s="358"/>
      <c r="H507" s="358"/>
      <c r="I507" s="304"/>
      <c r="J507" s="312" t="str">
        <f t="shared" si="7"/>
        <v>Value: {Divalent Mercury} 0.00000325</v>
      </c>
      <c r="K507" s="305"/>
    </row>
    <row r="508" spans="1:11" x14ac:dyDescent="0.2">
      <c r="A508" s="301"/>
      <c r="B508" s="358" t="s">
        <v>849</v>
      </c>
      <c r="C508" s="358" t="s">
        <v>854</v>
      </c>
      <c r="D508" s="358" t="s">
        <v>850</v>
      </c>
      <c r="E508" s="358"/>
      <c r="F508" s="358"/>
      <c r="G508" s="358"/>
      <c r="H508" s="358"/>
      <c r="I508" s="304"/>
      <c r="J508" s="312" t="str">
        <f t="shared" si="7"/>
        <v>// Description: [[ See other documentation ]]</v>
      </c>
      <c r="K508" s="305"/>
    </row>
    <row r="509" spans="1:11" x14ac:dyDescent="0.2">
      <c r="A509" s="301"/>
      <c r="B509" s="358" t="s">
        <v>378</v>
      </c>
      <c r="C509" s="358" t="s">
        <v>910</v>
      </c>
      <c r="D509" s="358"/>
      <c r="E509" s="358"/>
      <c r="F509" s="358"/>
      <c r="G509" s="358"/>
      <c r="H509" s="358"/>
      <c r="I509" s="304"/>
      <c r="J509" s="312" t="str">
        <f t="shared" si="7"/>
        <v>Compartment: Soil - Vadose Zone in VadoseSoil_SW2</v>
      </c>
      <c r="K509" s="305"/>
    </row>
    <row r="510" spans="1:11" x14ac:dyDescent="0.2">
      <c r="A510" s="301"/>
      <c r="B510" s="358" t="s">
        <v>519</v>
      </c>
      <c r="C510" s="358" t="s">
        <v>852</v>
      </c>
      <c r="D510" s="358"/>
      <c r="E510" s="358"/>
      <c r="F510" s="358"/>
      <c r="G510" s="358"/>
      <c r="H510" s="358"/>
      <c r="I510" s="304"/>
      <c r="J510" s="312" t="str">
        <f t="shared" si="7"/>
        <v>Property: MethylationRate</v>
      </c>
      <c r="K510" s="305"/>
    </row>
    <row r="511" spans="1:11" x14ac:dyDescent="0.2">
      <c r="A511" s="301"/>
      <c r="B511" s="358" t="s">
        <v>521</v>
      </c>
      <c r="C511" s="358" t="s">
        <v>774</v>
      </c>
      <c r="D511" s="358"/>
      <c r="E511" s="358"/>
      <c r="F511" s="358"/>
      <c r="G511" s="358"/>
      <c r="H511" s="358"/>
      <c r="I511" s="304"/>
      <c r="J511" s="312" t="str">
        <f t="shared" si="7"/>
        <v>Form: Constant</v>
      </c>
      <c r="K511" s="305"/>
    </row>
    <row r="512" spans="1:11" x14ac:dyDescent="0.2">
      <c r="A512" s="301"/>
      <c r="B512" s="358" t="s">
        <v>2</v>
      </c>
      <c r="C512" s="358" t="s">
        <v>853</v>
      </c>
      <c r="D512" s="358"/>
      <c r="E512" s="358"/>
      <c r="F512" s="358"/>
      <c r="G512" s="358"/>
      <c r="H512" s="358"/>
      <c r="I512" s="304"/>
      <c r="J512" s="312" t="str">
        <f t="shared" si="7"/>
        <v>Value: {Divalent Mercury} 0.001</v>
      </c>
      <c r="K512" s="305"/>
    </row>
    <row r="513" spans="1:11" x14ac:dyDescent="0.2">
      <c r="A513" s="301"/>
      <c r="B513" s="358" t="s">
        <v>849</v>
      </c>
      <c r="C513" s="358" t="s">
        <v>854</v>
      </c>
      <c r="D513" s="358" t="s">
        <v>850</v>
      </c>
      <c r="E513" s="358"/>
      <c r="F513" s="358"/>
      <c r="G513" s="358"/>
      <c r="H513" s="358"/>
      <c r="I513" s="304"/>
      <c r="J513" s="312" t="str">
        <f t="shared" si="7"/>
        <v>// Description: [[ See other documentation ]]</v>
      </c>
      <c r="K513" s="305"/>
    </row>
    <row r="514" spans="1:11" x14ac:dyDescent="0.2">
      <c r="A514" s="301"/>
      <c r="B514" s="358" t="s">
        <v>519</v>
      </c>
      <c r="C514" s="358" t="s">
        <v>857</v>
      </c>
      <c r="D514" s="358"/>
      <c r="E514" s="358"/>
      <c r="F514" s="358"/>
      <c r="G514" s="358"/>
      <c r="H514" s="358"/>
      <c r="I514" s="304"/>
      <c r="J514" s="312" t="str">
        <f t="shared" si="7"/>
        <v>Property: ReductionRate</v>
      </c>
      <c r="K514" s="305"/>
    </row>
    <row r="515" spans="1:11" x14ac:dyDescent="0.2">
      <c r="A515" s="301"/>
      <c r="B515" s="358" t="s">
        <v>521</v>
      </c>
      <c r="C515" s="358" t="s">
        <v>774</v>
      </c>
      <c r="D515" s="358"/>
      <c r="E515" s="358"/>
      <c r="F515" s="358"/>
      <c r="G515" s="358"/>
      <c r="H515" s="358"/>
      <c r="I515" s="304"/>
      <c r="J515" s="312" t="str">
        <f t="shared" si="7"/>
        <v>Form: Constant</v>
      </c>
      <c r="K515" s="305"/>
    </row>
    <row r="516" spans="1:11" x14ac:dyDescent="0.2">
      <c r="A516" s="301"/>
      <c r="B516" s="358" t="s">
        <v>2</v>
      </c>
      <c r="C516" s="358" t="s">
        <v>859</v>
      </c>
      <c r="D516" s="358"/>
      <c r="E516" s="358"/>
      <c r="F516" s="358"/>
      <c r="G516" s="358"/>
      <c r="H516" s="358"/>
      <c r="I516" s="304"/>
      <c r="J516" s="312" t="str">
        <f t="shared" si="7"/>
        <v>Value: {Divalent Mercury} 0.00000325</v>
      </c>
      <c r="K516" s="305"/>
    </row>
    <row r="517" spans="1:11" x14ac:dyDescent="0.2">
      <c r="A517" s="301"/>
      <c r="B517" s="358" t="s">
        <v>849</v>
      </c>
      <c r="C517" s="358" t="s">
        <v>854</v>
      </c>
      <c r="D517" s="358" t="s">
        <v>850</v>
      </c>
      <c r="E517" s="358"/>
      <c r="F517" s="358"/>
      <c r="G517" s="358"/>
      <c r="H517" s="358"/>
      <c r="I517" s="304"/>
      <c r="J517" s="312" t="str">
        <f t="shared" ref="J517:J548" si="8">ConcatenateWithSpaces(B517:H517)</f>
        <v>// Description: [[ See other documentation ]]</v>
      </c>
      <c r="K517" s="305"/>
    </row>
    <row r="518" spans="1:11" x14ac:dyDescent="0.2">
      <c r="A518" s="301"/>
      <c r="B518" s="358" t="s">
        <v>851</v>
      </c>
      <c r="C518" s="358" t="s">
        <v>911</v>
      </c>
      <c r="D518" s="358"/>
      <c r="E518" s="358"/>
      <c r="F518" s="358"/>
      <c r="G518" s="358"/>
      <c r="H518" s="358"/>
      <c r="I518" s="304"/>
      <c r="J518" s="312" t="str">
        <f t="shared" si="8"/>
        <v>Compartment:  Soil - Surface in SurfSoil_W1</v>
      </c>
      <c r="K518" s="305"/>
    </row>
    <row r="519" spans="1:11" x14ac:dyDescent="0.2">
      <c r="A519" s="301"/>
      <c r="B519" s="358" t="s">
        <v>519</v>
      </c>
      <c r="C519" s="358" t="s">
        <v>852</v>
      </c>
      <c r="D519" s="358"/>
      <c r="E519" s="358"/>
      <c r="F519" s="358"/>
      <c r="G519" s="358"/>
      <c r="H519" s="358"/>
      <c r="I519" s="304"/>
      <c r="J519" s="312" t="str">
        <f t="shared" si="8"/>
        <v>Property: MethylationRate</v>
      </c>
      <c r="K519" s="305"/>
    </row>
    <row r="520" spans="1:11" x14ac:dyDescent="0.2">
      <c r="A520" s="301"/>
      <c r="B520" s="358" t="s">
        <v>521</v>
      </c>
      <c r="C520" s="358" t="s">
        <v>774</v>
      </c>
      <c r="D520" s="358"/>
      <c r="E520" s="358"/>
      <c r="F520" s="358"/>
      <c r="G520" s="358"/>
      <c r="H520" s="358"/>
      <c r="I520" s="304"/>
      <c r="J520" s="312" t="str">
        <f t="shared" si="8"/>
        <v>Form: Constant</v>
      </c>
      <c r="K520" s="305"/>
    </row>
    <row r="521" spans="1:11" x14ac:dyDescent="0.2">
      <c r="A521" s="301"/>
      <c r="B521" s="358" t="s">
        <v>2</v>
      </c>
      <c r="C521" s="358" t="s">
        <v>860</v>
      </c>
      <c r="D521" s="358"/>
      <c r="E521" s="358"/>
      <c r="F521" s="358"/>
      <c r="G521" s="358"/>
      <c r="H521" s="358"/>
      <c r="I521" s="304"/>
      <c r="J521" s="312" t="str">
        <f t="shared" si="8"/>
        <v>Value: {Divalent Mercury} 0.003</v>
      </c>
      <c r="K521" s="305"/>
    </row>
    <row r="522" spans="1:11" x14ac:dyDescent="0.2">
      <c r="A522" s="301"/>
      <c r="B522" s="358" t="s">
        <v>849</v>
      </c>
      <c r="C522" s="358" t="s">
        <v>854</v>
      </c>
      <c r="D522" s="358" t="s">
        <v>850</v>
      </c>
      <c r="E522" s="358"/>
      <c r="F522" s="358"/>
      <c r="G522" s="358"/>
      <c r="H522" s="358"/>
      <c r="I522" s="304"/>
      <c r="J522" s="312" t="str">
        <f t="shared" si="8"/>
        <v>// Description: [[ See other documentation ]]</v>
      </c>
      <c r="K522" s="305"/>
    </row>
    <row r="523" spans="1:11" x14ac:dyDescent="0.2">
      <c r="A523" s="301"/>
      <c r="B523" s="358" t="s">
        <v>519</v>
      </c>
      <c r="C523" s="358" t="s">
        <v>855</v>
      </c>
      <c r="D523" s="358"/>
      <c r="E523" s="358"/>
      <c r="F523" s="358"/>
      <c r="G523" s="358"/>
      <c r="H523" s="358"/>
      <c r="I523" s="304"/>
      <c r="J523" s="312" t="str">
        <f t="shared" si="8"/>
        <v>Property: DemethylationRate</v>
      </c>
      <c r="K523" s="305"/>
    </row>
    <row r="524" spans="1:11" x14ac:dyDescent="0.2">
      <c r="A524" s="301"/>
      <c r="B524" s="358" t="s">
        <v>521</v>
      </c>
      <c r="C524" s="358" t="s">
        <v>774</v>
      </c>
      <c r="D524" s="358"/>
      <c r="E524" s="358"/>
      <c r="F524" s="358"/>
      <c r="G524" s="358"/>
      <c r="H524" s="358"/>
      <c r="I524" s="304"/>
      <c r="J524" s="312" t="str">
        <f t="shared" si="8"/>
        <v>Form: Constant</v>
      </c>
      <c r="K524" s="305"/>
    </row>
    <row r="525" spans="1:11" x14ac:dyDescent="0.2">
      <c r="A525" s="301"/>
      <c r="B525" s="358" t="s">
        <v>2</v>
      </c>
      <c r="C525" s="358" t="s">
        <v>861</v>
      </c>
      <c r="D525" s="358"/>
      <c r="E525" s="358"/>
      <c r="F525" s="358"/>
      <c r="G525" s="358"/>
      <c r="H525" s="358"/>
      <c r="I525" s="304"/>
      <c r="J525" s="312" t="str">
        <f t="shared" si="8"/>
        <v>Value: {MethylMercury} 0.05</v>
      </c>
      <c r="K525" s="305"/>
    </row>
    <row r="526" spans="1:11" x14ac:dyDescent="0.2">
      <c r="A526" s="301"/>
      <c r="B526" s="358" t="s">
        <v>849</v>
      </c>
      <c r="C526" s="358" t="s">
        <v>854</v>
      </c>
      <c r="D526" s="358" t="s">
        <v>850</v>
      </c>
      <c r="E526" s="358"/>
      <c r="F526" s="358"/>
      <c r="G526" s="358"/>
      <c r="H526" s="358"/>
      <c r="I526" s="304"/>
      <c r="J526" s="312" t="str">
        <f t="shared" si="8"/>
        <v>// Description: [[ See other documentation ]]</v>
      </c>
      <c r="K526" s="305"/>
    </row>
    <row r="527" spans="1:11" x14ac:dyDescent="0.2">
      <c r="A527" s="301"/>
      <c r="B527" s="358" t="s">
        <v>519</v>
      </c>
      <c r="C527" s="358" t="s">
        <v>857</v>
      </c>
      <c r="D527" s="358"/>
      <c r="E527" s="358"/>
      <c r="F527" s="358"/>
      <c r="G527" s="358"/>
      <c r="H527" s="358"/>
      <c r="I527" s="304"/>
      <c r="J527" s="312" t="str">
        <f t="shared" si="8"/>
        <v>Property: ReductionRate</v>
      </c>
      <c r="K527" s="305"/>
    </row>
    <row r="528" spans="1:11" x14ac:dyDescent="0.2">
      <c r="A528" s="301"/>
      <c r="B528" s="358" t="s">
        <v>521</v>
      </c>
      <c r="C528" s="358" t="s">
        <v>774</v>
      </c>
      <c r="D528" s="358"/>
      <c r="E528" s="358"/>
      <c r="F528" s="358"/>
      <c r="G528" s="358"/>
      <c r="H528" s="358"/>
      <c r="I528" s="304"/>
      <c r="J528" s="312" t="str">
        <f t="shared" si="8"/>
        <v>Form: Constant</v>
      </c>
      <c r="K528" s="305"/>
    </row>
    <row r="529" spans="1:11" x14ac:dyDescent="0.2">
      <c r="A529" s="301"/>
      <c r="B529" s="358" t="s">
        <v>2</v>
      </c>
      <c r="C529" s="358" t="s">
        <v>862</v>
      </c>
      <c r="D529" s="358"/>
      <c r="E529" s="358"/>
      <c r="F529" s="358"/>
      <c r="G529" s="358"/>
      <c r="H529" s="358"/>
      <c r="I529" s="304"/>
      <c r="J529" s="312" t="str">
        <f t="shared" si="8"/>
        <v>Value: {Divalent Mercury} 0.000004</v>
      </c>
      <c r="K529" s="305"/>
    </row>
    <row r="530" spans="1:11" x14ac:dyDescent="0.2">
      <c r="A530" s="301"/>
      <c r="B530" s="358" t="s">
        <v>849</v>
      </c>
      <c r="C530" s="358" t="s">
        <v>854</v>
      </c>
      <c r="D530" s="358" t="s">
        <v>850</v>
      </c>
      <c r="E530" s="358"/>
      <c r="F530" s="358"/>
      <c r="G530" s="358"/>
      <c r="H530" s="358"/>
      <c r="I530" s="304"/>
      <c r="J530" s="312" t="str">
        <f t="shared" si="8"/>
        <v>// Description: [[ See other documentation ]]</v>
      </c>
      <c r="K530" s="305"/>
    </row>
    <row r="531" spans="1:11" x14ac:dyDescent="0.2">
      <c r="A531" s="301"/>
      <c r="B531" s="358" t="s">
        <v>378</v>
      </c>
      <c r="C531" s="358" t="s">
        <v>912</v>
      </c>
      <c r="D531" s="358"/>
      <c r="E531" s="358"/>
      <c r="F531" s="358"/>
      <c r="G531" s="358"/>
      <c r="H531" s="358"/>
      <c r="I531" s="304"/>
      <c r="J531" s="312" t="str">
        <f t="shared" si="8"/>
        <v>Compartment: Soil - Root Zone in RootSoil_W1</v>
      </c>
      <c r="K531" s="305"/>
    </row>
    <row r="532" spans="1:11" x14ac:dyDescent="0.2">
      <c r="A532" s="301"/>
      <c r="B532" s="358" t="s">
        <v>519</v>
      </c>
      <c r="C532" s="358" t="s">
        <v>852</v>
      </c>
      <c r="D532" s="358"/>
      <c r="E532" s="358"/>
      <c r="F532" s="358"/>
      <c r="G532" s="358"/>
      <c r="H532" s="358"/>
      <c r="I532" s="304"/>
      <c r="J532" s="312" t="str">
        <f t="shared" si="8"/>
        <v>Property: MethylationRate</v>
      </c>
      <c r="K532" s="305"/>
    </row>
    <row r="533" spans="1:11" x14ac:dyDescent="0.2">
      <c r="A533" s="301"/>
      <c r="B533" s="358" t="s">
        <v>521</v>
      </c>
      <c r="C533" s="358" t="s">
        <v>774</v>
      </c>
      <c r="D533" s="358"/>
      <c r="E533" s="358"/>
      <c r="F533" s="358"/>
      <c r="G533" s="358"/>
      <c r="H533" s="358"/>
      <c r="I533" s="304"/>
      <c r="J533" s="312" t="str">
        <f t="shared" si="8"/>
        <v>Form: Constant</v>
      </c>
      <c r="K533" s="305"/>
    </row>
    <row r="534" spans="1:11" x14ac:dyDescent="0.2">
      <c r="A534" s="301"/>
      <c r="B534" s="358" t="s">
        <v>2</v>
      </c>
      <c r="C534" s="358" t="s">
        <v>860</v>
      </c>
      <c r="D534" s="358"/>
      <c r="E534" s="358"/>
      <c r="F534" s="358"/>
      <c r="G534" s="358"/>
      <c r="H534" s="358"/>
      <c r="I534" s="304"/>
      <c r="J534" s="312" t="str">
        <f t="shared" si="8"/>
        <v>Value: {Divalent Mercury} 0.003</v>
      </c>
      <c r="K534" s="305"/>
    </row>
    <row r="535" spans="1:11" x14ac:dyDescent="0.2">
      <c r="A535" s="301"/>
      <c r="B535" s="358" t="s">
        <v>849</v>
      </c>
      <c r="C535" s="358" t="s">
        <v>854</v>
      </c>
      <c r="D535" s="358" t="s">
        <v>850</v>
      </c>
      <c r="E535" s="358"/>
      <c r="F535" s="358"/>
      <c r="G535" s="358"/>
      <c r="H535" s="358"/>
      <c r="I535" s="304"/>
      <c r="J535" s="312" t="str">
        <f t="shared" si="8"/>
        <v>// Description: [[ See other documentation ]]</v>
      </c>
      <c r="K535" s="305"/>
    </row>
    <row r="536" spans="1:11" x14ac:dyDescent="0.2">
      <c r="A536" s="301"/>
      <c r="B536" s="358" t="s">
        <v>519</v>
      </c>
      <c r="C536" s="358" t="s">
        <v>857</v>
      </c>
      <c r="D536" s="358"/>
      <c r="E536" s="358"/>
      <c r="F536" s="358"/>
      <c r="G536" s="358"/>
      <c r="H536" s="358"/>
      <c r="I536" s="304"/>
      <c r="J536" s="312" t="str">
        <f t="shared" si="8"/>
        <v>Property: ReductionRate</v>
      </c>
      <c r="K536" s="305"/>
    </row>
    <row r="537" spans="1:11" x14ac:dyDescent="0.2">
      <c r="A537" s="301"/>
      <c r="B537" s="358" t="s">
        <v>521</v>
      </c>
      <c r="C537" s="358" t="s">
        <v>774</v>
      </c>
      <c r="D537" s="358"/>
      <c r="E537" s="358"/>
      <c r="F537" s="358"/>
      <c r="G537" s="358"/>
      <c r="H537" s="358"/>
      <c r="I537" s="304"/>
      <c r="J537" s="312" t="str">
        <f t="shared" si="8"/>
        <v>Form: Constant</v>
      </c>
      <c r="K537" s="305"/>
    </row>
    <row r="538" spans="1:11" x14ac:dyDescent="0.2">
      <c r="A538" s="301"/>
      <c r="B538" s="358" t="s">
        <v>2</v>
      </c>
      <c r="C538" s="358" t="s">
        <v>862</v>
      </c>
      <c r="D538" s="358"/>
      <c r="E538" s="358"/>
      <c r="F538" s="358"/>
      <c r="G538" s="358"/>
      <c r="H538" s="358"/>
      <c r="I538" s="304"/>
      <c r="J538" s="312" t="str">
        <f t="shared" si="8"/>
        <v>Value: {Divalent Mercury} 0.000004</v>
      </c>
      <c r="K538" s="305"/>
    </row>
    <row r="539" spans="1:11" x14ac:dyDescent="0.2">
      <c r="A539" s="301"/>
      <c r="B539" s="358" t="s">
        <v>849</v>
      </c>
      <c r="C539" s="358" t="s">
        <v>854</v>
      </c>
      <c r="D539" s="358" t="s">
        <v>850</v>
      </c>
      <c r="E539" s="358"/>
      <c r="F539" s="358"/>
      <c r="G539" s="358"/>
      <c r="H539" s="358"/>
      <c r="I539" s="304"/>
      <c r="J539" s="312" t="str">
        <f t="shared" si="8"/>
        <v>// Description: [[ See other documentation ]]</v>
      </c>
      <c r="K539" s="305"/>
    </row>
    <row r="540" spans="1:11" x14ac:dyDescent="0.2">
      <c r="A540" s="301"/>
      <c r="B540" s="358" t="s">
        <v>378</v>
      </c>
      <c r="C540" s="358" t="s">
        <v>913</v>
      </c>
      <c r="D540" s="358"/>
      <c r="E540" s="358"/>
      <c r="F540" s="358"/>
      <c r="G540" s="358"/>
      <c r="H540" s="358"/>
      <c r="I540" s="304"/>
      <c r="J540" s="312" t="str">
        <f t="shared" si="8"/>
        <v>Compartment: Soil - Vadose Zone in VadoseSoil_W1</v>
      </c>
      <c r="K540" s="305"/>
    </row>
    <row r="541" spans="1:11" x14ac:dyDescent="0.2">
      <c r="A541" s="301"/>
      <c r="B541" s="358" t="s">
        <v>519</v>
      </c>
      <c r="C541" s="358" t="s">
        <v>852</v>
      </c>
      <c r="D541" s="358"/>
      <c r="E541" s="358"/>
      <c r="F541" s="358"/>
      <c r="G541" s="358"/>
      <c r="H541" s="358"/>
      <c r="I541" s="304"/>
      <c r="J541" s="312" t="str">
        <f t="shared" si="8"/>
        <v>Property: MethylationRate</v>
      </c>
      <c r="K541" s="305"/>
    </row>
    <row r="542" spans="1:11" x14ac:dyDescent="0.2">
      <c r="A542" s="301"/>
      <c r="B542" s="358" t="s">
        <v>521</v>
      </c>
      <c r="C542" s="358" t="s">
        <v>774</v>
      </c>
      <c r="D542" s="358"/>
      <c r="E542" s="358"/>
      <c r="F542" s="358"/>
      <c r="G542" s="358"/>
      <c r="H542" s="358"/>
      <c r="I542" s="304"/>
      <c r="J542" s="312" t="str">
        <f t="shared" si="8"/>
        <v>Form: Constant</v>
      </c>
      <c r="K542" s="305"/>
    </row>
    <row r="543" spans="1:11" x14ac:dyDescent="0.2">
      <c r="A543" s="301"/>
      <c r="B543" s="358" t="s">
        <v>2</v>
      </c>
      <c r="C543" s="358" t="s">
        <v>860</v>
      </c>
      <c r="D543" s="358"/>
      <c r="E543" s="358"/>
      <c r="F543" s="358"/>
      <c r="G543" s="358"/>
      <c r="H543" s="358"/>
      <c r="I543" s="304"/>
      <c r="J543" s="312" t="str">
        <f t="shared" si="8"/>
        <v>Value: {Divalent Mercury} 0.003</v>
      </c>
      <c r="K543" s="305"/>
    </row>
    <row r="544" spans="1:11" x14ac:dyDescent="0.2">
      <c r="A544" s="301"/>
      <c r="B544" s="358" t="s">
        <v>849</v>
      </c>
      <c r="C544" s="358" t="s">
        <v>854</v>
      </c>
      <c r="D544" s="358" t="s">
        <v>850</v>
      </c>
      <c r="E544" s="358"/>
      <c r="F544" s="358"/>
      <c r="G544" s="358"/>
      <c r="H544" s="358"/>
      <c r="I544" s="304"/>
      <c r="J544" s="312" t="str">
        <f t="shared" si="8"/>
        <v>// Description: [[ See other documentation ]]</v>
      </c>
      <c r="K544" s="305"/>
    </row>
    <row r="545" spans="1:11" x14ac:dyDescent="0.2">
      <c r="A545" s="301"/>
      <c r="B545" s="358" t="s">
        <v>519</v>
      </c>
      <c r="C545" s="358" t="s">
        <v>857</v>
      </c>
      <c r="D545" s="358"/>
      <c r="E545" s="358"/>
      <c r="F545" s="358"/>
      <c r="G545" s="358"/>
      <c r="H545" s="358"/>
      <c r="I545" s="304"/>
      <c r="J545" s="312" t="str">
        <f t="shared" si="8"/>
        <v>Property: ReductionRate</v>
      </c>
      <c r="K545" s="305"/>
    </row>
    <row r="546" spans="1:11" x14ac:dyDescent="0.2">
      <c r="A546" s="301"/>
      <c r="B546" s="358" t="s">
        <v>521</v>
      </c>
      <c r="C546" s="358" t="s">
        <v>774</v>
      </c>
      <c r="D546" s="358"/>
      <c r="E546" s="358"/>
      <c r="F546" s="358"/>
      <c r="G546" s="358"/>
      <c r="H546" s="358"/>
      <c r="I546" s="304"/>
      <c r="J546" s="312" t="str">
        <f t="shared" si="8"/>
        <v>Form: Constant</v>
      </c>
      <c r="K546" s="305"/>
    </row>
    <row r="547" spans="1:11" x14ac:dyDescent="0.2">
      <c r="A547" s="301"/>
      <c r="B547" s="358" t="s">
        <v>2</v>
      </c>
      <c r="C547" s="358" t="s">
        <v>862</v>
      </c>
      <c r="D547" s="358"/>
      <c r="E547" s="358"/>
      <c r="F547" s="358"/>
      <c r="G547" s="358"/>
      <c r="H547" s="358"/>
      <c r="I547" s="304"/>
      <c r="J547" s="312" t="str">
        <f t="shared" si="8"/>
        <v>Value: {Divalent Mercury} 0.000004</v>
      </c>
      <c r="K547" s="305"/>
    </row>
    <row r="548" spans="1:11" x14ac:dyDescent="0.2">
      <c r="A548" s="301"/>
      <c r="B548" s="358" t="s">
        <v>849</v>
      </c>
      <c r="C548" s="358" t="s">
        <v>854</v>
      </c>
      <c r="D548" s="358" t="s">
        <v>850</v>
      </c>
      <c r="E548" s="358"/>
      <c r="F548" s="358"/>
      <c r="G548" s="358"/>
      <c r="H548" s="358"/>
      <c r="I548" s="304"/>
      <c r="J548" s="312" t="str">
        <f t="shared" si="8"/>
        <v>// Description: [[ See other documentation ]]</v>
      </c>
      <c r="K548" s="305"/>
    </row>
    <row r="549" spans="1:11" x14ac:dyDescent="0.2">
      <c r="A549" s="301"/>
      <c r="B549" s="358"/>
      <c r="C549" s="358"/>
      <c r="D549" s="358"/>
      <c r="E549" s="358"/>
      <c r="F549" s="358"/>
      <c r="G549" s="358"/>
      <c r="H549" s="358"/>
      <c r="I549" s="304"/>
      <c r="J549" s="312"/>
      <c r="K549" s="305"/>
    </row>
    <row r="550" spans="1:11" x14ac:dyDescent="0.2">
      <c r="A550" s="301"/>
      <c r="B550" s="358"/>
      <c r="C550" s="358"/>
      <c r="D550" s="358"/>
      <c r="E550" s="358"/>
      <c r="F550" s="358"/>
      <c r="G550" s="358"/>
      <c r="H550" s="358"/>
      <c r="I550" s="304"/>
      <c r="J550" s="312"/>
      <c r="K550" s="305"/>
    </row>
    <row r="551" spans="1:11" x14ac:dyDescent="0.2">
      <c r="A551" s="301"/>
      <c r="B551" s="358"/>
      <c r="C551" s="358"/>
      <c r="D551" s="358"/>
      <c r="E551" s="358"/>
      <c r="F551" s="358"/>
      <c r="G551" s="358"/>
      <c r="H551" s="358"/>
      <c r="I551" s="304"/>
      <c r="J551" s="312"/>
      <c r="K551" s="305"/>
    </row>
    <row r="552" spans="1:11" x14ac:dyDescent="0.2">
      <c r="A552" s="301"/>
      <c r="B552" s="358"/>
      <c r="C552" s="358"/>
      <c r="D552" s="358"/>
      <c r="E552" s="358"/>
      <c r="F552" s="358"/>
      <c r="G552" s="358"/>
      <c r="H552" s="358"/>
      <c r="I552" s="304"/>
      <c r="J552" s="312"/>
      <c r="K552" s="305"/>
    </row>
    <row r="553" spans="1:11" x14ac:dyDescent="0.2">
      <c r="A553" s="301"/>
      <c r="B553" s="358"/>
      <c r="C553" s="358"/>
      <c r="D553" s="358"/>
      <c r="E553" s="358"/>
      <c r="F553" s="358"/>
      <c r="G553" s="358"/>
      <c r="H553" s="358"/>
      <c r="I553" s="304"/>
      <c r="J553" s="312"/>
      <c r="K553" s="305"/>
    </row>
    <row r="554" spans="1:11" x14ac:dyDescent="0.2">
      <c r="A554" s="301"/>
      <c r="B554" s="358"/>
      <c r="C554" s="358"/>
      <c r="D554" s="358"/>
      <c r="E554" s="358"/>
      <c r="F554" s="358"/>
      <c r="G554" s="358"/>
      <c r="H554" s="358"/>
      <c r="I554" s="304"/>
      <c r="J554" s="312"/>
      <c r="K554" s="305"/>
    </row>
    <row r="555" spans="1:11" x14ac:dyDescent="0.2">
      <c r="A555" s="301"/>
      <c r="B555" s="358"/>
      <c r="C555" s="358"/>
      <c r="D555" s="358"/>
      <c r="E555" s="358"/>
      <c r="F555" s="358"/>
      <c r="G555" s="358"/>
      <c r="H555" s="358"/>
      <c r="I555" s="304"/>
      <c r="J555" s="312"/>
      <c r="K555" s="305"/>
    </row>
    <row r="556" spans="1:11" x14ac:dyDescent="0.2">
      <c r="A556" s="301"/>
      <c r="B556" s="358"/>
      <c r="C556" s="358"/>
      <c r="D556" s="358"/>
      <c r="E556" s="358"/>
      <c r="F556" s="358"/>
      <c r="G556" s="358"/>
      <c r="H556" s="358"/>
      <c r="I556" s="304"/>
      <c r="J556" s="312"/>
      <c r="K556" s="305"/>
    </row>
    <row r="557" spans="1:11" x14ac:dyDescent="0.2">
      <c r="A557" s="301"/>
      <c r="B557" s="358"/>
      <c r="C557" s="358"/>
      <c r="D557" s="358"/>
      <c r="E557" s="358"/>
      <c r="F557" s="358"/>
      <c r="G557" s="358"/>
      <c r="H557" s="358"/>
      <c r="I557" s="304"/>
      <c r="J557" s="312"/>
      <c r="K557" s="305"/>
    </row>
    <row r="558" spans="1:11" x14ac:dyDescent="0.2">
      <c r="A558" s="301"/>
      <c r="B558" s="358"/>
      <c r="C558" s="358"/>
      <c r="D558" s="358"/>
      <c r="E558" s="358"/>
      <c r="F558" s="358"/>
      <c r="G558" s="358"/>
      <c r="H558" s="358"/>
      <c r="I558" s="304"/>
      <c r="J558" s="312"/>
      <c r="K558" s="305"/>
    </row>
    <row r="559" spans="1:11" x14ac:dyDescent="0.2">
      <c r="A559" s="301"/>
      <c r="B559" s="358"/>
      <c r="C559" s="358"/>
      <c r="D559" s="358"/>
      <c r="E559" s="358"/>
      <c r="F559" s="358"/>
      <c r="G559" s="358"/>
      <c r="H559" s="358"/>
      <c r="I559" s="304"/>
      <c r="J559" s="312"/>
      <c r="K559" s="305"/>
    </row>
    <row r="560" spans="1:11" x14ac:dyDescent="0.2">
      <c r="A560" s="301"/>
      <c r="B560" s="358"/>
      <c r="C560" s="358"/>
      <c r="D560" s="358"/>
      <c r="E560" s="358"/>
      <c r="F560" s="358"/>
      <c r="G560" s="358"/>
      <c r="H560" s="358"/>
      <c r="I560" s="304"/>
      <c r="J560" s="312"/>
      <c r="K560" s="305"/>
    </row>
    <row r="561" spans="1:11" x14ac:dyDescent="0.2">
      <c r="A561" s="301"/>
      <c r="B561" s="358"/>
      <c r="C561" s="358"/>
      <c r="D561" s="358"/>
      <c r="E561" s="358"/>
      <c r="F561" s="358"/>
      <c r="G561" s="358"/>
      <c r="H561" s="358"/>
      <c r="I561" s="304"/>
      <c r="J561" s="312"/>
      <c r="K561" s="305"/>
    </row>
    <row r="562" spans="1:11" x14ac:dyDescent="0.2">
      <c r="A562" s="301"/>
      <c r="B562" s="358"/>
      <c r="C562" s="358"/>
      <c r="D562" s="358"/>
      <c r="E562" s="358"/>
      <c r="F562" s="358"/>
      <c r="G562" s="358"/>
      <c r="H562" s="358"/>
      <c r="I562" s="304"/>
      <c r="J562" s="312"/>
      <c r="K562" s="305"/>
    </row>
    <row r="563" spans="1:11" x14ac:dyDescent="0.2">
      <c r="A563" s="301"/>
      <c r="B563" s="358"/>
      <c r="C563" s="358"/>
      <c r="D563" s="358"/>
      <c r="E563" s="358"/>
      <c r="F563" s="358"/>
      <c r="G563" s="358"/>
      <c r="H563" s="358"/>
      <c r="I563" s="304"/>
      <c r="J563" s="312"/>
      <c r="K563" s="305"/>
    </row>
    <row r="564" spans="1:11" x14ac:dyDescent="0.2">
      <c r="A564" s="301"/>
      <c r="B564" s="358"/>
      <c r="C564" s="358"/>
      <c r="D564" s="358"/>
      <c r="E564" s="358"/>
      <c r="F564" s="358"/>
      <c r="G564" s="358"/>
      <c r="H564" s="358"/>
      <c r="I564" s="304"/>
      <c r="J564" s="312"/>
      <c r="K564" s="305"/>
    </row>
    <row r="565" spans="1:11" x14ac:dyDescent="0.2">
      <c r="A565" s="301"/>
      <c r="B565" s="358"/>
      <c r="C565" s="358"/>
      <c r="D565" s="358"/>
      <c r="E565" s="358"/>
      <c r="F565" s="358"/>
      <c r="G565" s="358"/>
      <c r="H565" s="358"/>
      <c r="I565" s="304"/>
      <c r="J565" s="312"/>
      <c r="K565" s="305"/>
    </row>
    <row r="566" spans="1:11" x14ac:dyDescent="0.2">
      <c r="A566" s="301"/>
      <c r="B566" s="358"/>
      <c r="C566" s="358"/>
      <c r="D566" s="358"/>
      <c r="E566" s="358"/>
      <c r="F566" s="358"/>
      <c r="G566" s="358"/>
      <c r="H566" s="358"/>
      <c r="I566" s="304"/>
      <c r="J566" s="312"/>
      <c r="K566" s="305"/>
    </row>
    <row r="567" spans="1:11" x14ac:dyDescent="0.2">
      <c r="A567" s="301"/>
      <c r="B567" s="358"/>
      <c r="C567" s="358"/>
      <c r="D567" s="358"/>
      <c r="E567" s="358"/>
      <c r="F567" s="358"/>
      <c r="G567" s="358"/>
      <c r="H567" s="358"/>
      <c r="I567" s="304"/>
      <c r="J567" s="312"/>
      <c r="K567" s="305"/>
    </row>
    <row r="568" spans="1:11" x14ac:dyDescent="0.2">
      <c r="A568" s="301"/>
      <c r="B568" s="358"/>
      <c r="C568" s="358"/>
      <c r="D568" s="358"/>
      <c r="E568" s="358"/>
      <c r="F568" s="358"/>
      <c r="G568" s="358"/>
      <c r="H568" s="358"/>
      <c r="I568" s="304"/>
      <c r="J568" s="312"/>
      <c r="K568" s="305"/>
    </row>
    <row r="569" spans="1:11" x14ac:dyDescent="0.2">
      <c r="A569" s="301"/>
      <c r="B569" s="358"/>
      <c r="C569" s="358"/>
      <c r="D569" s="358"/>
      <c r="E569" s="358"/>
      <c r="F569" s="358"/>
      <c r="G569" s="358"/>
      <c r="H569" s="358"/>
      <c r="I569" s="304"/>
      <c r="J569" s="312"/>
      <c r="K569" s="305"/>
    </row>
    <row r="570" spans="1:11" x14ac:dyDescent="0.2">
      <c r="A570" s="301"/>
      <c r="B570" s="358"/>
      <c r="C570" s="358"/>
      <c r="D570" s="358"/>
      <c r="E570" s="358"/>
      <c r="F570" s="358"/>
      <c r="G570" s="358"/>
      <c r="H570" s="358"/>
      <c r="I570" s="304"/>
      <c r="J570" s="312"/>
      <c r="K570" s="305"/>
    </row>
    <row r="571" spans="1:11" x14ac:dyDescent="0.2">
      <c r="A571" s="301"/>
      <c r="B571" s="358"/>
      <c r="C571" s="358"/>
      <c r="D571" s="358"/>
      <c r="E571" s="358"/>
      <c r="F571" s="358"/>
      <c r="G571" s="358"/>
      <c r="H571" s="358"/>
      <c r="I571" s="304"/>
      <c r="J571" s="312"/>
      <c r="K571" s="305"/>
    </row>
    <row r="572" spans="1:11" x14ac:dyDescent="0.2">
      <c r="A572" s="301"/>
      <c r="B572" s="358"/>
      <c r="C572" s="358"/>
      <c r="D572" s="358"/>
      <c r="E572" s="358"/>
      <c r="F572" s="358"/>
      <c r="G572" s="358"/>
      <c r="H572" s="358"/>
      <c r="I572" s="304"/>
      <c r="J572" s="312"/>
      <c r="K572" s="305"/>
    </row>
    <row r="573" spans="1:11" x14ac:dyDescent="0.2">
      <c r="A573" s="301"/>
      <c r="B573" s="358"/>
      <c r="C573" s="358"/>
      <c r="D573" s="358"/>
      <c r="E573" s="358"/>
      <c r="F573" s="358"/>
      <c r="G573" s="358"/>
      <c r="H573" s="358"/>
      <c r="I573" s="304"/>
      <c r="J573" s="312"/>
      <c r="K573" s="305"/>
    </row>
    <row r="574" spans="1:11" x14ac:dyDescent="0.2">
      <c r="A574" s="301"/>
      <c r="B574" s="358"/>
      <c r="C574" s="358"/>
      <c r="D574" s="358"/>
      <c r="E574" s="358"/>
      <c r="F574" s="358"/>
      <c r="G574" s="358"/>
      <c r="H574" s="358"/>
      <c r="I574" s="304"/>
      <c r="J574" s="312"/>
      <c r="K574" s="305"/>
    </row>
    <row r="575" spans="1:11" x14ac:dyDescent="0.2">
      <c r="A575" s="301"/>
      <c r="B575" s="358"/>
      <c r="C575" s="358"/>
      <c r="D575" s="358"/>
      <c r="E575" s="358"/>
      <c r="F575" s="358"/>
      <c r="G575" s="358"/>
      <c r="H575" s="358"/>
      <c r="I575" s="304"/>
      <c r="J575" s="312"/>
      <c r="K575" s="305"/>
    </row>
    <row r="576" spans="1:11" x14ac:dyDescent="0.2">
      <c r="A576" s="301"/>
      <c r="B576" s="358"/>
      <c r="C576" s="358"/>
      <c r="D576" s="358"/>
      <c r="E576" s="358"/>
      <c r="F576" s="358"/>
      <c r="G576" s="358"/>
      <c r="H576" s="358"/>
      <c r="I576" s="304"/>
      <c r="J576" s="312"/>
      <c r="K576" s="305"/>
    </row>
    <row r="577" spans="1:11" x14ac:dyDescent="0.2">
      <c r="A577" s="301"/>
      <c r="B577" s="358"/>
      <c r="C577" s="358"/>
      <c r="D577" s="358"/>
      <c r="E577" s="358"/>
      <c r="F577" s="358"/>
      <c r="G577" s="358"/>
      <c r="H577" s="358"/>
      <c r="I577" s="304"/>
      <c r="J577" s="312"/>
      <c r="K577" s="305"/>
    </row>
    <row r="578" spans="1:11" x14ac:dyDescent="0.2">
      <c r="A578" s="301"/>
      <c r="B578" s="358"/>
      <c r="C578" s="358"/>
      <c r="D578" s="358"/>
      <c r="E578" s="358"/>
      <c r="F578" s="358"/>
      <c r="G578" s="358"/>
      <c r="H578" s="358"/>
      <c r="I578" s="304"/>
      <c r="J578" s="312"/>
      <c r="K578" s="305"/>
    </row>
    <row r="579" spans="1:11" x14ac:dyDescent="0.2">
      <c r="A579" s="301"/>
      <c r="B579" s="358"/>
      <c r="C579" s="358"/>
      <c r="D579" s="358"/>
      <c r="E579" s="358"/>
      <c r="F579" s="358"/>
      <c r="G579" s="358"/>
      <c r="H579" s="358"/>
      <c r="I579" s="304"/>
      <c r="J579" s="312"/>
      <c r="K579" s="305"/>
    </row>
    <row r="580" spans="1:11" x14ac:dyDescent="0.2">
      <c r="A580" s="301"/>
      <c r="B580" s="358"/>
      <c r="C580" s="358"/>
      <c r="D580" s="358"/>
      <c r="E580" s="358"/>
      <c r="F580" s="358"/>
      <c r="G580" s="358"/>
      <c r="H580" s="358"/>
      <c r="I580" s="304"/>
      <c r="J580" s="312"/>
      <c r="K580" s="305"/>
    </row>
    <row r="581" spans="1:11" x14ac:dyDescent="0.2">
      <c r="A581" s="301"/>
      <c r="B581" s="358"/>
      <c r="C581" s="358"/>
      <c r="D581" s="358"/>
      <c r="E581" s="358"/>
      <c r="F581" s="358"/>
      <c r="G581" s="358"/>
      <c r="H581" s="358"/>
      <c r="I581" s="304"/>
      <c r="J581" s="312"/>
      <c r="K581" s="305"/>
    </row>
    <row r="582" spans="1:11" x14ac:dyDescent="0.2">
      <c r="A582" s="301"/>
      <c r="B582" s="358"/>
      <c r="C582" s="358"/>
      <c r="D582" s="358"/>
      <c r="E582" s="358"/>
      <c r="F582" s="358"/>
      <c r="G582" s="358"/>
      <c r="H582" s="358"/>
      <c r="I582" s="304"/>
      <c r="J582" s="312"/>
      <c r="K582" s="305"/>
    </row>
    <row r="583" spans="1:11" x14ac:dyDescent="0.2">
      <c r="A583" s="301"/>
      <c r="B583" s="358"/>
      <c r="C583" s="358"/>
      <c r="D583" s="358"/>
      <c r="E583" s="358"/>
      <c r="F583" s="358"/>
      <c r="G583" s="358"/>
      <c r="H583" s="358"/>
      <c r="I583" s="304"/>
      <c r="J583" s="312"/>
      <c r="K583" s="305"/>
    </row>
    <row r="584" spans="1:11" x14ac:dyDescent="0.2">
      <c r="A584" s="301"/>
      <c r="B584" s="358"/>
      <c r="C584" s="358"/>
      <c r="D584" s="358"/>
      <c r="E584" s="358"/>
      <c r="F584" s="358"/>
      <c r="G584" s="358"/>
      <c r="H584" s="358"/>
      <c r="I584" s="304"/>
      <c r="J584" s="312"/>
      <c r="K584" s="305"/>
    </row>
    <row r="585" spans="1:11" x14ac:dyDescent="0.2">
      <c r="A585" s="301"/>
      <c r="B585" s="358"/>
      <c r="C585" s="358"/>
      <c r="D585" s="358"/>
      <c r="E585" s="358"/>
      <c r="F585" s="358"/>
      <c r="G585" s="358"/>
      <c r="H585" s="358"/>
      <c r="I585" s="304"/>
      <c r="J585" s="312"/>
      <c r="K585" s="305"/>
    </row>
    <row r="586" spans="1:11" x14ac:dyDescent="0.2">
      <c r="A586" s="301"/>
      <c r="B586" s="358"/>
      <c r="C586" s="358"/>
      <c r="D586" s="358"/>
      <c r="E586" s="358"/>
      <c r="F586" s="358"/>
      <c r="G586" s="358"/>
      <c r="H586" s="358"/>
      <c r="I586" s="304"/>
      <c r="J586" s="312"/>
      <c r="K586" s="305"/>
    </row>
    <row r="587" spans="1:11" x14ac:dyDescent="0.2">
      <c r="A587" s="301"/>
      <c r="B587" s="358"/>
      <c r="C587" s="358"/>
      <c r="D587" s="358"/>
      <c r="E587" s="358"/>
      <c r="F587" s="358"/>
      <c r="G587" s="358"/>
      <c r="H587" s="358"/>
      <c r="I587" s="304"/>
      <c r="J587" s="312"/>
      <c r="K587" s="305"/>
    </row>
    <row r="588" spans="1:11" x14ac:dyDescent="0.2">
      <c r="A588" s="301"/>
      <c r="B588" s="358"/>
      <c r="C588" s="358"/>
      <c r="D588" s="358"/>
      <c r="E588" s="358"/>
      <c r="F588" s="358"/>
      <c r="G588" s="358"/>
      <c r="H588" s="358"/>
      <c r="I588" s="304"/>
      <c r="J588" s="312"/>
      <c r="K588" s="305"/>
    </row>
    <row r="589" spans="1:11" x14ac:dyDescent="0.2">
      <c r="A589" s="301"/>
      <c r="B589" s="358"/>
      <c r="C589" s="358"/>
      <c r="D589" s="358"/>
      <c r="E589" s="358"/>
      <c r="F589" s="358"/>
      <c r="G589" s="358"/>
      <c r="H589" s="358"/>
      <c r="I589" s="304"/>
      <c r="J589" s="312"/>
      <c r="K589" s="305"/>
    </row>
    <row r="590" spans="1:11" x14ac:dyDescent="0.2">
      <c r="A590" s="301"/>
      <c r="B590" s="358"/>
      <c r="C590" s="358"/>
      <c r="D590" s="358"/>
      <c r="E590" s="358"/>
      <c r="F590" s="358"/>
      <c r="G590" s="358"/>
      <c r="H590" s="358"/>
      <c r="I590" s="304"/>
      <c r="J590" s="312"/>
      <c r="K590" s="305"/>
    </row>
    <row r="591" spans="1:11" x14ac:dyDescent="0.2">
      <c r="A591" s="301"/>
      <c r="B591" s="358"/>
      <c r="C591" s="358"/>
      <c r="D591" s="358"/>
      <c r="E591" s="358"/>
      <c r="F591" s="358"/>
      <c r="G591" s="358"/>
      <c r="H591" s="358"/>
      <c r="I591" s="304"/>
      <c r="J591" s="312"/>
      <c r="K591" s="305"/>
    </row>
    <row r="592" spans="1:11" x14ac:dyDescent="0.2">
      <c r="A592" s="301"/>
      <c r="B592" s="358"/>
      <c r="C592" s="358"/>
      <c r="D592" s="358"/>
      <c r="E592" s="358"/>
      <c r="F592" s="358"/>
      <c r="G592" s="358"/>
      <c r="H592" s="358"/>
      <c r="I592" s="304"/>
      <c r="J592" s="312"/>
      <c r="K592" s="305"/>
    </row>
    <row r="593" spans="1:11" x14ac:dyDescent="0.2">
      <c r="A593" s="301"/>
      <c r="B593" s="358"/>
      <c r="C593" s="358"/>
      <c r="D593" s="358"/>
      <c r="E593" s="358"/>
      <c r="F593" s="358"/>
      <c r="G593" s="358"/>
      <c r="H593" s="358"/>
      <c r="I593" s="304"/>
      <c r="J593" s="312"/>
      <c r="K593" s="305"/>
    </row>
    <row r="594" spans="1:11" x14ac:dyDescent="0.2">
      <c r="A594" s="301"/>
      <c r="B594" s="358"/>
      <c r="C594" s="358"/>
      <c r="D594" s="358"/>
      <c r="E594" s="358"/>
      <c r="F594" s="358"/>
      <c r="G594" s="358"/>
      <c r="H594" s="358"/>
      <c r="I594" s="304"/>
      <c r="J594" s="312"/>
      <c r="K594" s="305"/>
    </row>
    <row r="595" spans="1:11" x14ac:dyDescent="0.2">
      <c r="A595" s="301"/>
      <c r="B595" s="358"/>
      <c r="C595" s="358"/>
      <c r="D595" s="358"/>
      <c r="E595" s="358"/>
      <c r="F595" s="358"/>
      <c r="G595" s="358"/>
      <c r="H595" s="358"/>
      <c r="I595" s="304"/>
      <c r="J595" s="312"/>
      <c r="K595" s="305"/>
    </row>
    <row r="596" spans="1:11" x14ac:dyDescent="0.2">
      <c r="A596" s="301"/>
      <c r="B596" s="358"/>
      <c r="C596" s="358"/>
      <c r="D596" s="358"/>
      <c r="E596" s="358"/>
      <c r="F596" s="358"/>
      <c r="G596" s="358"/>
      <c r="H596" s="358"/>
      <c r="I596" s="304"/>
      <c r="J596" s="312"/>
      <c r="K596" s="305"/>
    </row>
    <row r="597" spans="1:11" x14ac:dyDescent="0.2">
      <c r="A597" s="301"/>
      <c r="B597" s="358"/>
      <c r="C597" s="358"/>
      <c r="D597" s="358"/>
      <c r="E597" s="358"/>
      <c r="F597" s="358"/>
      <c r="G597" s="358"/>
      <c r="H597" s="358"/>
      <c r="I597" s="304"/>
      <c r="J597" s="312"/>
      <c r="K597" s="305"/>
    </row>
    <row r="598" spans="1:11" x14ac:dyDescent="0.2">
      <c r="A598" s="301"/>
      <c r="B598" s="358"/>
      <c r="C598" s="358"/>
      <c r="D598" s="358"/>
      <c r="E598" s="358"/>
      <c r="F598" s="358"/>
      <c r="G598" s="358"/>
      <c r="H598" s="358"/>
      <c r="I598" s="304"/>
      <c r="J598" s="312"/>
      <c r="K598" s="305"/>
    </row>
    <row r="599" spans="1:11" x14ac:dyDescent="0.2">
      <c r="A599" s="301"/>
      <c r="B599" s="358"/>
      <c r="C599" s="358"/>
      <c r="D599" s="358"/>
      <c r="E599" s="358"/>
      <c r="F599" s="358"/>
      <c r="G599" s="358"/>
      <c r="H599" s="358"/>
      <c r="I599" s="304"/>
      <c r="J599" s="312"/>
      <c r="K599" s="305"/>
    </row>
    <row r="600" spans="1:11" x14ac:dyDescent="0.2">
      <c r="A600" s="301"/>
      <c r="B600" s="358"/>
      <c r="C600" s="358"/>
      <c r="D600" s="358"/>
      <c r="E600" s="358"/>
      <c r="F600" s="358"/>
      <c r="G600" s="358"/>
      <c r="H600" s="358"/>
      <c r="I600" s="304"/>
      <c r="J600" s="312"/>
      <c r="K600" s="305"/>
    </row>
    <row r="601" spans="1:11" x14ac:dyDescent="0.2">
      <c r="A601" s="301"/>
      <c r="B601" s="358"/>
      <c r="C601" s="358"/>
      <c r="D601" s="358"/>
      <c r="E601" s="358"/>
      <c r="F601" s="358"/>
      <c r="G601" s="358"/>
      <c r="H601" s="358"/>
      <c r="I601" s="304"/>
      <c r="J601" s="312"/>
      <c r="K601" s="305"/>
    </row>
    <row r="602" spans="1:11" x14ac:dyDescent="0.2">
      <c r="A602" s="301"/>
      <c r="B602" s="358"/>
      <c r="C602" s="358"/>
      <c r="D602" s="358"/>
      <c r="E602" s="358"/>
      <c r="F602" s="358"/>
      <c r="G602" s="358"/>
      <c r="H602" s="358"/>
      <c r="I602" s="304"/>
      <c r="J602" s="312"/>
      <c r="K602" s="305"/>
    </row>
    <row r="603" spans="1:11" x14ac:dyDescent="0.2">
      <c r="A603" s="301"/>
      <c r="B603" s="358"/>
      <c r="C603" s="358"/>
      <c r="D603" s="358"/>
      <c r="E603" s="358"/>
      <c r="F603" s="358"/>
      <c r="G603" s="358"/>
      <c r="H603" s="358"/>
      <c r="I603" s="304"/>
      <c r="J603" s="312"/>
      <c r="K603" s="305"/>
    </row>
    <row r="604" spans="1:11" x14ac:dyDescent="0.2">
      <c r="A604" s="301"/>
      <c r="B604" s="358"/>
      <c r="C604" s="358"/>
      <c r="D604" s="358"/>
      <c r="E604" s="358"/>
      <c r="F604" s="358"/>
      <c r="G604" s="358"/>
      <c r="H604" s="358"/>
      <c r="I604" s="304"/>
      <c r="J604" s="312"/>
      <c r="K604" s="305"/>
    </row>
    <row r="605" spans="1:11" ht="13.5" thickBot="1" x14ac:dyDescent="0.25">
      <c r="A605" s="323"/>
      <c r="B605" s="358"/>
      <c r="C605" s="358"/>
      <c r="D605" s="358"/>
      <c r="E605" s="358"/>
      <c r="F605" s="358"/>
      <c r="G605" s="358"/>
      <c r="H605" s="358"/>
      <c r="I605" s="324"/>
      <c r="J605" s="312"/>
      <c r="K605" s="325"/>
    </row>
    <row r="606" spans="1:11" x14ac:dyDescent="0.2">
      <c r="B606" s="358"/>
      <c r="C606" s="358"/>
      <c r="D606" s="358"/>
      <c r="E606" s="358"/>
      <c r="F606" s="358"/>
      <c r="G606" s="358"/>
      <c r="H606" s="358"/>
      <c r="J606" s="312"/>
    </row>
    <row r="607" spans="1:11" x14ac:dyDescent="0.2">
      <c r="B607" s="358"/>
      <c r="C607" s="358"/>
      <c r="D607" s="358"/>
      <c r="E607" s="358"/>
      <c r="F607" s="358"/>
      <c r="G607" s="358"/>
      <c r="H607" s="358"/>
      <c r="J607" s="312"/>
    </row>
    <row r="608" spans="1:11" x14ac:dyDescent="0.2">
      <c r="B608" s="358"/>
      <c r="C608" s="358"/>
      <c r="D608" s="358"/>
      <c r="E608" s="358"/>
      <c r="F608" s="358"/>
      <c r="G608" s="358"/>
      <c r="H608" s="358"/>
      <c r="J608" s="312"/>
    </row>
    <row r="609" spans="2:10" x14ac:dyDescent="0.2">
      <c r="B609" s="358"/>
      <c r="C609" s="358"/>
      <c r="D609" s="358"/>
      <c r="E609" s="358"/>
      <c r="F609" s="358"/>
      <c r="G609" s="358"/>
      <c r="H609" s="358"/>
      <c r="J609" s="312"/>
    </row>
    <row r="610" spans="2:10" x14ac:dyDescent="0.2">
      <c r="B610" s="358"/>
      <c r="C610" s="358"/>
      <c r="D610" s="358"/>
      <c r="E610" s="358"/>
      <c r="F610" s="358"/>
      <c r="G610" s="358"/>
      <c r="H610" s="358"/>
      <c r="J610" s="312"/>
    </row>
    <row r="611" spans="2:10" x14ac:dyDescent="0.2">
      <c r="B611" s="358"/>
      <c r="C611" s="358"/>
      <c r="D611" s="358"/>
      <c r="E611" s="358"/>
      <c r="F611" s="358"/>
      <c r="G611" s="358"/>
      <c r="H611" s="358"/>
      <c r="J611" s="312"/>
    </row>
    <row r="612" spans="2:10" x14ac:dyDescent="0.2">
      <c r="B612" s="358"/>
      <c r="C612" s="358"/>
      <c r="D612" s="358"/>
      <c r="E612" s="358"/>
      <c r="F612" s="358"/>
      <c r="G612" s="358"/>
      <c r="H612" s="358"/>
      <c r="J612" s="312"/>
    </row>
    <row r="613" spans="2:10" x14ac:dyDescent="0.2">
      <c r="B613" s="358"/>
      <c r="C613" s="358"/>
      <c r="D613" s="358"/>
      <c r="E613" s="358"/>
      <c r="F613" s="358"/>
      <c r="G613" s="358"/>
      <c r="H613" s="358"/>
      <c r="J613" s="312"/>
    </row>
    <row r="614" spans="2:10" x14ac:dyDescent="0.2">
      <c r="B614" s="358"/>
      <c r="C614" s="358"/>
      <c r="D614" s="358"/>
      <c r="E614" s="358"/>
      <c r="F614" s="358"/>
      <c r="G614" s="358"/>
      <c r="H614" s="358"/>
      <c r="J614" s="312"/>
    </row>
    <row r="615" spans="2:10" x14ac:dyDescent="0.2">
      <c r="B615" s="358"/>
      <c r="C615" s="358"/>
      <c r="D615" s="358"/>
      <c r="E615" s="358"/>
      <c r="F615" s="358"/>
      <c r="G615" s="358"/>
      <c r="H615" s="358"/>
      <c r="J615" s="312"/>
    </row>
    <row r="616" spans="2:10" x14ac:dyDescent="0.2">
      <c r="B616" s="358"/>
      <c r="C616" s="358"/>
      <c r="D616" s="358"/>
      <c r="E616" s="358"/>
      <c r="F616" s="358"/>
      <c r="G616" s="358"/>
      <c r="H616" s="358"/>
      <c r="J616" s="312"/>
    </row>
    <row r="617" spans="2:10" x14ac:dyDescent="0.2">
      <c r="B617" s="358"/>
      <c r="C617" s="358"/>
      <c r="D617" s="358"/>
      <c r="E617" s="358"/>
      <c r="F617" s="358"/>
      <c r="G617" s="358"/>
      <c r="H617" s="358"/>
      <c r="J617" s="312"/>
    </row>
    <row r="618" spans="2:10" x14ac:dyDescent="0.2">
      <c r="B618" s="358"/>
      <c r="C618" s="358"/>
      <c r="D618" s="358"/>
      <c r="E618" s="358"/>
      <c r="F618" s="358"/>
      <c r="G618" s="358"/>
      <c r="H618" s="358"/>
      <c r="J618" s="312"/>
    </row>
    <row r="619" spans="2:10" x14ac:dyDescent="0.2">
      <c r="B619" s="358"/>
      <c r="C619" s="358"/>
      <c r="D619" s="358"/>
      <c r="E619" s="358"/>
      <c r="F619" s="358"/>
      <c r="G619" s="358"/>
      <c r="H619" s="358"/>
      <c r="J619" s="312"/>
    </row>
    <row r="620" spans="2:10" x14ac:dyDescent="0.2">
      <c r="B620" s="358"/>
      <c r="C620" s="358"/>
      <c r="D620" s="358"/>
      <c r="E620" s="358"/>
      <c r="F620" s="358"/>
      <c r="G620" s="358"/>
      <c r="H620" s="358"/>
      <c r="J620" s="312"/>
    </row>
    <row r="621" spans="2:10" x14ac:dyDescent="0.2">
      <c r="B621" s="358"/>
      <c r="C621" s="358"/>
      <c r="D621" s="358"/>
      <c r="E621" s="358"/>
      <c r="F621" s="358"/>
      <c r="G621" s="358"/>
      <c r="H621" s="358"/>
      <c r="J621" s="312"/>
    </row>
    <row r="622" spans="2:10" x14ac:dyDescent="0.2">
      <c r="B622" s="358"/>
      <c r="C622" s="358"/>
      <c r="D622" s="358"/>
      <c r="E622" s="358"/>
      <c r="F622" s="358"/>
      <c r="G622" s="358"/>
      <c r="H622" s="358"/>
      <c r="J622" s="312"/>
    </row>
    <row r="623" spans="2:10" x14ac:dyDescent="0.2">
      <c r="B623" s="358"/>
      <c r="C623" s="358"/>
      <c r="D623" s="358"/>
      <c r="E623" s="358"/>
      <c r="F623" s="358"/>
      <c r="G623" s="358"/>
      <c r="H623" s="358"/>
      <c r="J623" s="312"/>
    </row>
    <row r="624" spans="2:10" x14ac:dyDescent="0.2">
      <c r="B624" s="358"/>
      <c r="C624" s="358"/>
      <c r="D624" s="358"/>
      <c r="E624" s="358"/>
      <c r="F624" s="358"/>
      <c r="G624" s="358"/>
      <c r="H624" s="358"/>
      <c r="J624" s="312"/>
    </row>
    <row r="625" spans="2:10" x14ac:dyDescent="0.2">
      <c r="B625" s="358"/>
      <c r="C625" s="358"/>
      <c r="D625" s="358"/>
      <c r="E625" s="358"/>
      <c r="F625" s="358"/>
      <c r="G625" s="358"/>
      <c r="H625" s="358"/>
      <c r="J625" s="312"/>
    </row>
    <row r="626" spans="2:10" x14ac:dyDescent="0.2">
      <c r="B626" s="358"/>
      <c r="C626" s="358"/>
      <c r="D626" s="358"/>
      <c r="E626" s="358"/>
      <c r="F626" s="358"/>
      <c r="G626" s="358"/>
      <c r="H626" s="358"/>
      <c r="J626" s="312"/>
    </row>
    <row r="627" spans="2:10" x14ac:dyDescent="0.2">
      <c r="B627" s="358"/>
      <c r="C627" s="358"/>
      <c r="D627" s="358"/>
      <c r="E627" s="358"/>
      <c r="F627" s="358"/>
      <c r="G627" s="358"/>
      <c r="H627" s="358"/>
      <c r="J627" s="312"/>
    </row>
    <row r="628" spans="2:10" x14ac:dyDescent="0.2">
      <c r="B628" s="358"/>
      <c r="C628" s="358"/>
      <c r="D628" s="358"/>
      <c r="E628" s="358"/>
      <c r="F628" s="358"/>
      <c r="G628" s="358"/>
      <c r="H628" s="358"/>
      <c r="J628" s="312"/>
    </row>
    <row r="629" spans="2:10" x14ac:dyDescent="0.2">
      <c r="B629" s="358"/>
      <c r="C629" s="358"/>
      <c r="D629" s="358"/>
      <c r="E629" s="358"/>
      <c r="F629" s="358"/>
      <c r="G629" s="358"/>
      <c r="H629" s="358"/>
      <c r="J629" s="312"/>
    </row>
    <row r="630" spans="2:10" x14ac:dyDescent="0.2">
      <c r="B630" s="358"/>
      <c r="C630" s="358"/>
      <c r="D630" s="358"/>
      <c r="E630" s="358"/>
      <c r="F630" s="358"/>
      <c r="G630" s="358"/>
      <c r="H630" s="358"/>
      <c r="J630" s="312"/>
    </row>
    <row r="631" spans="2:10" x14ac:dyDescent="0.2">
      <c r="B631" s="358"/>
      <c r="C631" s="358"/>
      <c r="D631" s="358"/>
      <c r="E631" s="358"/>
      <c r="F631" s="358"/>
      <c r="G631" s="358"/>
      <c r="H631" s="358"/>
      <c r="J631" s="312"/>
    </row>
    <row r="632" spans="2:10" x14ac:dyDescent="0.2">
      <c r="B632" s="358"/>
      <c r="C632" s="358"/>
      <c r="D632" s="358"/>
      <c r="E632" s="358"/>
      <c r="F632" s="358"/>
      <c r="G632" s="358"/>
      <c r="H632" s="358"/>
      <c r="J632" s="312"/>
    </row>
    <row r="633" spans="2:10" x14ac:dyDescent="0.2">
      <c r="B633" s="358"/>
      <c r="C633" s="358"/>
      <c r="D633" s="358"/>
      <c r="E633" s="358"/>
      <c r="F633" s="358"/>
      <c r="G633" s="358"/>
      <c r="H633" s="358"/>
      <c r="J633" s="312"/>
    </row>
    <row r="634" spans="2:10" x14ac:dyDescent="0.2">
      <c r="B634" s="358"/>
      <c r="C634" s="358"/>
      <c r="D634" s="358"/>
      <c r="E634" s="358"/>
      <c r="F634" s="358"/>
      <c r="G634" s="358"/>
      <c r="H634" s="358"/>
      <c r="J634" s="312"/>
    </row>
    <row r="635" spans="2:10" x14ac:dyDescent="0.2">
      <c r="B635" s="358"/>
      <c r="C635" s="358"/>
      <c r="D635" s="358"/>
      <c r="E635" s="358"/>
      <c r="F635" s="358"/>
      <c r="G635" s="358"/>
      <c r="H635" s="358"/>
      <c r="J635" s="312"/>
    </row>
    <row r="636" spans="2:10" x14ac:dyDescent="0.2">
      <c r="B636" s="358"/>
      <c r="C636" s="358"/>
      <c r="D636" s="358"/>
      <c r="E636" s="358"/>
      <c r="F636" s="358"/>
      <c r="G636" s="358"/>
      <c r="H636" s="358"/>
      <c r="J636" s="312"/>
    </row>
    <row r="637" spans="2:10" x14ac:dyDescent="0.2">
      <c r="B637" s="358"/>
      <c r="C637" s="358"/>
      <c r="D637" s="358"/>
      <c r="E637" s="358"/>
      <c r="F637" s="358"/>
      <c r="G637" s="358"/>
      <c r="H637" s="358"/>
      <c r="J637" s="312"/>
    </row>
    <row r="638" spans="2:10" x14ac:dyDescent="0.2">
      <c r="B638" s="358"/>
      <c r="C638" s="358"/>
      <c r="D638" s="358"/>
      <c r="E638" s="358"/>
      <c r="F638" s="358"/>
      <c r="G638" s="358"/>
      <c r="H638" s="358"/>
      <c r="J638" s="312"/>
    </row>
    <row r="639" spans="2:10" x14ac:dyDescent="0.2">
      <c r="B639" s="358"/>
      <c r="C639" s="358"/>
      <c r="D639" s="358"/>
      <c r="E639" s="358"/>
      <c r="F639" s="358"/>
      <c r="G639" s="358"/>
      <c r="H639" s="358"/>
      <c r="J639" s="312"/>
    </row>
    <row r="640" spans="2:10" x14ac:dyDescent="0.2">
      <c r="B640" s="358"/>
      <c r="C640" s="358"/>
      <c r="D640" s="358"/>
      <c r="E640" s="358"/>
      <c r="F640" s="358"/>
      <c r="G640" s="358"/>
      <c r="H640" s="358"/>
      <c r="J640" s="312"/>
    </row>
    <row r="641" spans="2:10" x14ac:dyDescent="0.2">
      <c r="B641" s="358"/>
      <c r="C641" s="358"/>
      <c r="D641" s="358"/>
      <c r="E641" s="358"/>
      <c r="F641" s="358"/>
      <c r="G641" s="358"/>
      <c r="H641" s="358"/>
      <c r="J641" s="312"/>
    </row>
    <row r="642" spans="2:10" x14ac:dyDescent="0.2">
      <c r="B642" s="358"/>
      <c r="C642" s="358"/>
      <c r="D642" s="358"/>
      <c r="E642" s="358"/>
      <c r="F642" s="358"/>
      <c r="G642" s="358"/>
      <c r="H642" s="358"/>
      <c r="J642" s="312"/>
    </row>
    <row r="643" spans="2:10" x14ac:dyDescent="0.2">
      <c r="B643" s="358"/>
      <c r="C643" s="358"/>
      <c r="D643" s="358"/>
      <c r="E643" s="358"/>
      <c r="F643" s="358"/>
      <c r="G643" s="358"/>
      <c r="H643" s="358"/>
      <c r="J643" s="312"/>
    </row>
    <row r="644" spans="2:10" x14ac:dyDescent="0.2">
      <c r="B644" s="358"/>
      <c r="C644" s="358"/>
      <c r="D644" s="358"/>
      <c r="E644" s="358"/>
      <c r="F644" s="358"/>
      <c r="G644" s="358"/>
      <c r="H644" s="358"/>
      <c r="J644" s="312"/>
    </row>
    <row r="645" spans="2:10" x14ac:dyDescent="0.2">
      <c r="B645" s="358"/>
      <c r="C645" s="358"/>
      <c r="D645" s="358"/>
      <c r="E645" s="358"/>
      <c r="F645" s="358"/>
      <c r="G645" s="358"/>
      <c r="H645" s="358"/>
      <c r="J645" s="312"/>
    </row>
    <row r="646" spans="2:10" x14ac:dyDescent="0.2">
      <c r="B646" s="358"/>
      <c r="C646" s="358"/>
      <c r="D646" s="358"/>
      <c r="E646" s="358"/>
      <c r="F646" s="358"/>
      <c r="G646" s="358"/>
      <c r="H646" s="358"/>
      <c r="J646" s="312"/>
    </row>
    <row r="647" spans="2:10" x14ac:dyDescent="0.2">
      <c r="B647" s="358"/>
      <c r="C647" s="358"/>
      <c r="D647" s="358"/>
      <c r="E647" s="358"/>
      <c r="F647" s="358"/>
      <c r="G647" s="358"/>
      <c r="H647" s="358"/>
      <c r="J647" s="312"/>
    </row>
    <row r="648" spans="2:10" x14ac:dyDescent="0.2">
      <c r="B648" s="358"/>
      <c r="C648" s="358"/>
      <c r="D648" s="358"/>
      <c r="E648" s="358"/>
      <c r="F648" s="358"/>
      <c r="G648" s="358"/>
      <c r="H648" s="358"/>
      <c r="J648" s="312"/>
    </row>
    <row r="649" spans="2:10" x14ac:dyDescent="0.2">
      <c r="B649" s="358"/>
      <c r="C649" s="358"/>
      <c r="D649" s="358"/>
      <c r="E649" s="358"/>
      <c r="F649" s="358"/>
      <c r="G649" s="358"/>
      <c r="H649" s="358"/>
      <c r="J649" s="312"/>
    </row>
    <row r="650" spans="2:10" x14ac:dyDescent="0.2">
      <c r="B650" s="358"/>
      <c r="C650" s="358"/>
      <c r="D650" s="358"/>
      <c r="E650" s="358"/>
      <c r="F650" s="358"/>
      <c r="G650" s="358"/>
      <c r="H650" s="358"/>
      <c r="J650" s="312"/>
    </row>
    <row r="651" spans="2:10" x14ac:dyDescent="0.2">
      <c r="B651" s="358"/>
      <c r="C651" s="358"/>
      <c r="D651" s="358"/>
      <c r="E651" s="358"/>
      <c r="F651" s="358"/>
      <c r="G651" s="358"/>
      <c r="H651" s="358"/>
      <c r="J651" s="312"/>
    </row>
    <row r="652" spans="2:10" x14ac:dyDescent="0.2">
      <c r="B652" s="358"/>
      <c r="C652" s="358"/>
      <c r="D652" s="358"/>
      <c r="E652" s="358"/>
      <c r="F652" s="358"/>
      <c r="G652" s="358"/>
      <c r="H652" s="358"/>
      <c r="J652" s="312"/>
    </row>
    <row r="653" spans="2:10" x14ac:dyDescent="0.2">
      <c r="B653" s="358"/>
      <c r="C653" s="358"/>
      <c r="D653" s="358"/>
      <c r="E653" s="358"/>
      <c r="F653" s="358"/>
      <c r="G653" s="358"/>
      <c r="H653" s="358"/>
      <c r="J653" s="312"/>
    </row>
    <row r="654" spans="2:10" x14ac:dyDescent="0.2">
      <c r="B654" s="358"/>
      <c r="C654" s="358"/>
      <c r="D654" s="358"/>
      <c r="E654" s="358"/>
      <c r="F654" s="358"/>
      <c r="G654" s="358"/>
      <c r="H654" s="358"/>
      <c r="J654" s="312"/>
    </row>
    <row r="655" spans="2:10" x14ac:dyDescent="0.2">
      <c r="B655" s="358"/>
      <c r="C655" s="358"/>
      <c r="D655" s="358"/>
      <c r="E655" s="358"/>
      <c r="F655" s="358"/>
      <c r="G655" s="358"/>
      <c r="H655" s="358"/>
      <c r="J655" s="312"/>
    </row>
    <row r="656" spans="2:10" x14ac:dyDescent="0.2">
      <c r="B656" s="358"/>
      <c r="C656" s="358"/>
      <c r="D656" s="358"/>
      <c r="E656" s="358"/>
      <c r="F656" s="358"/>
      <c r="G656" s="358"/>
      <c r="H656" s="358"/>
      <c r="J656" s="312"/>
    </row>
    <row r="657" spans="2:10" x14ac:dyDescent="0.2">
      <c r="B657" s="358"/>
      <c r="C657" s="358"/>
      <c r="D657" s="358"/>
      <c r="E657" s="358"/>
      <c r="F657" s="358"/>
      <c r="G657" s="358"/>
      <c r="H657" s="358"/>
      <c r="J657" s="312"/>
    </row>
    <row r="658" spans="2:10" x14ac:dyDescent="0.2">
      <c r="B658" s="358"/>
      <c r="C658" s="358"/>
      <c r="D658" s="358"/>
      <c r="E658" s="358"/>
      <c r="F658" s="358"/>
      <c r="G658" s="358"/>
      <c r="H658" s="358"/>
      <c r="J658" s="312"/>
    </row>
    <row r="659" spans="2:10" x14ac:dyDescent="0.2">
      <c r="B659" s="358"/>
      <c r="C659" s="358"/>
      <c r="D659" s="358"/>
      <c r="E659" s="358"/>
      <c r="F659" s="358"/>
      <c r="G659" s="358"/>
      <c r="H659" s="358"/>
      <c r="J659" s="312"/>
    </row>
    <row r="660" spans="2:10" x14ac:dyDescent="0.2">
      <c r="B660" s="358"/>
      <c r="C660" s="358"/>
      <c r="D660" s="358"/>
      <c r="E660" s="358"/>
      <c r="F660" s="358"/>
      <c r="G660" s="358"/>
      <c r="H660" s="358"/>
      <c r="J660" s="312"/>
    </row>
    <row r="661" spans="2:10" x14ac:dyDescent="0.2">
      <c r="B661" s="358"/>
      <c r="C661" s="358"/>
      <c r="D661" s="358"/>
      <c r="E661" s="358"/>
      <c r="F661" s="358"/>
      <c r="G661" s="358"/>
      <c r="H661" s="358"/>
      <c r="J661" s="312"/>
    </row>
    <row r="662" spans="2:10" x14ac:dyDescent="0.2">
      <c r="B662" s="358"/>
      <c r="C662" s="358"/>
      <c r="D662" s="358"/>
      <c r="E662" s="358"/>
      <c r="F662" s="358"/>
      <c r="G662" s="358"/>
      <c r="H662" s="358"/>
      <c r="J662" s="312"/>
    </row>
    <row r="663" spans="2:10" x14ac:dyDescent="0.2">
      <c r="B663" s="358"/>
      <c r="C663" s="358"/>
      <c r="D663" s="358"/>
      <c r="E663" s="358"/>
      <c r="F663" s="358"/>
      <c r="G663" s="358"/>
      <c r="H663" s="358"/>
      <c r="J663" s="312"/>
    </row>
    <row r="664" spans="2:10" x14ac:dyDescent="0.2">
      <c r="B664" s="358"/>
      <c r="C664" s="358"/>
      <c r="D664" s="358"/>
      <c r="E664" s="358"/>
      <c r="F664" s="358"/>
      <c r="G664" s="358"/>
      <c r="H664" s="358"/>
      <c r="J664" s="312"/>
    </row>
    <row r="665" spans="2:10" x14ac:dyDescent="0.2">
      <c r="B665" s="358"/>
      <c r="C665" s="358"/>
      <c r="D665" s="358"/>
      <c r="E665" s="358"/>
      <c r="F665" s="358"/>
      <c r="G665" s="358"/>
      <c r="H665" s="358"/>
      <c r="J665" s="312"/>
    </row>
    <row r="666" spans="2:10" x14ac:dyDescent="0.2">
      <c r="B666" s="358"/>
      <c r="C666" s="358"/>
      <c r="D666" s="358"/>
      <c r="E666" s="358"/>
      <c r="F666" s="358"/>
      <c r="G666" s="358"/>
      <c r="H666" s="358"/>
      <c r="J666" s="312"/>
    </row>
    <row r="667" spans="2:10" x14ac:dyDescent="0.2">
      <c r="B667" s="358"/>
      <c r="C667" s="358"/>
      <c r="D667" s="358"/>
      <c r="E667" s="358"/>
      <c r="F667" s="358"/>
      <c r="G667" s="358"/>
      <c r="H667" s="358"/>
      <c r="J667" s="312"/>
    </row>
    <row r="668" spans="2:10" x14ac:dyDescent="0.2">
      <c r="B668" s="358"/>
      <c r="C668" s="358"/>
      <c r="D668" s="358"/>
      <c r="E668" s="358"/>
      <c r="F668" s="358"/>
      <c r="G668" s="358"/>
      <c r="H668" s="358"/>
      <c r="J668" s="312"/>
    </row>
    <row r="669" spans="2:10" x14ac:dyDescent="0.2">
      <c r="B669" s="358"/>
      <c r="C669" s="358"/>
      <c r="D669" s="358"/>
      <c r="E669" s="358"/>
      <c r="F669" s="358"/>
      <c r="G669" s="358"/>
      <c r="H669" s="358"/>
      <c r="J669" s="312"/>
    </row>
    <row r="670" spans="2:10" x14ac:dyDescent="0.2">
      <c r="B670" s="358"/>
      <c r="C670" s="358"/>
      <c r="D670" s="358"/>
      <c r="E670" s="358"/>
      <c r="F670" s="358"/>
      <c r="G670" s="358"/>
      <c r="H670" s="358"/>
      <c r="J670" s="312"/>
    </row>
    <row r="671" spans="2:10" x14ac:dyDescent="0.2">
      <c r="B671" s="358"/>
      <c r="C671" s="358"/>
      <c r="D671" s="358"/>
      <c r="E671" s="358"/>
      <c r="F671" s="358"/>
      <c r="G671" s="358"/>
      <c r="H671" s="358"/>
      <c r="J671" s="312"/>
    </row>
    <row r="672" spans="2:10" x14ac:dyDescent="0.2">
      <c r="B672" s="358"/>
      <c r="C672" s="358"/>
      <c r="D672" s="358"/>
      <c r="E672" s="358"/>
      <c r="F672" s="358"/>
      <c r="G672" s="358"/>
      <c r="H672" s="358"/>
      <c r="J672" s="312"/>
    </row>
    <row r="673" spans="2:10" x14ac:dyDescent="0.2">
      <c r="B673" s="358"/>
      <c r="C673" s="358"/>
      <c r="D673" s="358"/>
      <c r="E673" s="358"/>
      <c r="F673" s="358"/>
      <c r="G673" s="358"/>
      <c r="H673" s="358"/>
      <c r="J673" s="312"/>
    </row>
    <row r="674" spans="2:10" x14ac:dyDescent="0.2">
      <c r="B674" s="358"/>
      <c r="C674" s="358"/>
      <c r="D674" s="358"/>
      <c r="E674" s="358"/>
      <c r="F674" s="358"/>
      <c r="G674" s="358"/>
      <c r="H674" s="358"/>
      <c r="J674" s="312"/>
    </row>
    <row r="675" spans="2:10" x14ac:dyDescent="0.2">
      <c r="B675" s="358"/>
      <c r="C675" s="358"/>
      <c r="D675" s="358"/>
      <c r="E675" s="358"/>
      <c r="F675" s="358"/>
      <c r="G675" s="358"/>
      <c r="H675" s="358"/>
      <c r="J675" s="312"/>
    </row>
    <row r="676" spans="2:10" x14ac:dyDescent="0.2">
      <c r="B676" s="358"/>
      <c r="C676" s="358"/>
      <c r="D676" s="358"/>
      <c r="E676" s="358"/>
      <c r="F676" s="358"/>
      <c r="G676" s="358"/>
      <c r="H676" s="358"/>
      <c r="J676" s="312"/>
    </row>
    <row r="677" spans="2:10" x14ac:dyDescent="0.2">
      <c r="B677" s="358"/>
      <c r="C677" s="358"/>
      <c r="D677" s="358"/>
      <c r="E677" s="358"/>
      <c r="F677" s="358"/>
      <c r="G677" s="358"/>
      <c r="H677" s="358"/>
      <c r="J677" s="312"/>
    </row>
    <row r="678" spans="2:10" x14ac:dyDescent="0.2">
      <c r="B678" s="358"/>
      <c r="C678" s="358"/>
      <c r="D678" s="358"/>
      <c r="E678" s="358"/>
      <c r="F678" s="358"/>
      <c r="G678" s="358"/>
      <c r="H678" s="358"/>
      <c r="J678" s="312"/>
    </row>
    <row r="679" spans="2:10" x14ac:dyDescent="0.2">
      <c r="B679" s="358"/>
      <c r="C679" s="358"/>
      <c r="D679" s="358"/>
      <c r="E679" s="358"/>
      <c r="F679" s="358"/>
      <c r="G679" s="358"/>
      <c r="H679" s="358"/>
      <c r="J679" s="312"/>
    </row>
    <row r="680" spans="2:10" x14ac:dyDescent="0.2">
      <c r="B680" s="358"/>
      <c r="C680" s="358"/>
      <c r="D680" s="358"/>
      <c r="E680" s="358"/>
      <c r="F680" s="358"/>
      <c r="G680" s="358"/>
      <c r="H680" s="358"/>
      <c r="J680" s="312"/>
    </row>
    <row r="681" spans="2:10" x14ac:dyDescent="0.2">
      <c r="B681" s="358"/>
      <c r="C681" s="358"/>
      <c r="D681" s="358"/>
      <c r="E681" s="358"/>
      <c r="F681" s="358"/>
      <c r="G681" s="358"/>
      <c r="H681" s="358"/>
      <c r="J681" s="312"/>
    </row>
    <row r="682" spans="2:10" x14ac:dyDescent="0.2">
      <c r="B682" s="358"/>
      <c r="C682" s="358"/>
      <c r="D682" s="358"/>
      <c r="E682" s="358"/>
      <c r="F682" s="358"/>
      <c r="G682" s="358"/>
      <c r="H682" s="358"/>
      <c r="J682" s="312"/>
    </row>
    <row r="683" spans="2:10" x14ac:dyDescent="0.2">
      <c r="B683" s="358"/>
      <c r="C683" s="358"/>
      <c r="D683" s="358"/>
      <c r="E683" s="358"/>
      <c r="F683" s="358"/>
      <c r="G683" s="358"/>
      <c r="H683" s="358"/>
      <c r="J683" s="312"/>
    </row>
    <row r="684" spans="2:10" x14ac:dyDescent="0.2">
      <c r="B684" s="358"/>
      <c r="C684" s="358"/>
      <c r="D684" s="358"/>
      <c r="E684" s="358"/>
      <c r="F684" s="358"/>
      <c r="G684" s="358"/>
      <c r="H684" s="358"/>
      <c r="J684" s="312"/>
    </row>
    <row r="685" spans="2:10" x14ac:dyDescent="0.2">
      <c r="B685" s="358"/>
      <c r="C685" s="358"/>
      <c r="D685" s="358"/>
      <c r="E685" s="358"/>
      <c r="F685" s="358"/>
      <c r="G685" s="358"/>
      <c r="H685" s="358"/>
      <c r="J685" s="312"/>
    </row>
    <row r="686" spans="2:10" x14ac:dyDescent="0.2">
      <c r="B686" s="358"/>
      <c r="C686" s="358"/>
      <c r="D686" s="358"/>
      <c r="E686" s="358"/>
      <c r="F686" s="358"/>
      <c r="G686" s="358"/>
      <c r="H686" s="358"/>
      <c r="J686" s="312"/>
    </row>
    <row r="687" spans="2:10" x14ac:dyDescent="0.2">
      <c r="B687" s="358"/>
      <c r="C687" s="358"/>
      <c r="D687" s="358"/>
      <c r="E687" s="358"/>
      <c r="F687" s="358"/>
      <c r="G687" s="358"/>
      <c r="H687" s="358"/>
      <c r="J687" s="312"/>
    </row>
    <row r="688" spans="2:10" x14ac:dyDescent="0.2">
      <c r="B688" s="358"/>
      <c r="C688" s="358"/>
      <c r="D688" s="358"/>
      <c r="E688" s="358"/>
      <c r="F688" s="358"/>
      <c r="G688" s="358"/>
      <c r="H688" s="358"/>
      <c r="J688" s="312"/>
    </row>
    <row r="689" spans="2:10" x14ac:dyDescent="0.2">
      <c r="B689" s="358"/>
      <c r="C689" s="358"/>
      <c r="D689" s="358"/>
      <c r="E689" s="358"/>
      <c r="F689" s="358"/>
      <c r="G689" s="358"/>
      <c r="H689" s="358"/>
      <c r="J689" s="312"/>
    </row>
    <row r="690" spans="2:10" x14ac:dyDescent="0.2">
      <c r="B690" s="358"/>
      <c r="C690" s="358"/>
      <c r="D690" s="358"/>
      <c r="E690" s="358"/>
      <c r="F690" s="358"/>
      <c r="G690" s="358"/>
      <c r="H690" s="358"/>
      <c r="J690" s="312"/>
    </row>
    <row r="691" spans="2:10" x14ac:dyDescent="0.2">
      <c r="B691" s="358"/>
      <c r="C691" s="358"/>
      <c r="D691" s="358"/>
      <c r="E691" s="358"/>
      <c r="F691" s="358"/>
      <c r="G691" s="358"/>
      <c r="H691" s="358"/>
      <c r="J691" s="312"/>
    </row>
    <row r="692" spans="2:10" x14ac:dyDescent="0.2">
      <c r="B692" s="358"/>
      <c r="C692" s="358"/>
      <c r="D692" s="358"/>
      <c r="E692" s="358"/>
      <c r="F692" s="358"/>
      <c r="G692" s="358"/>
      <c r="H692" s="358"/>
      <c r="J692" s="312"/>
    </row>
    <row r="693" spans="2:10" x14ac:dyDescent="0.2">
      <c r="B693" s="358"/>
      <c r="C693" s="358"/>
      <c r="D693" s="358"/>
      <c r="E693" s="358"/>
      <c r="F693" s="358"/>
      <c r="G693" s="358"/>
      <c r="H693" s="358"/>
      <c r="J693" s="312"/>
    </row>
    <row r="694" spans="2:10" x14ac:dyDescent="0.2">
      <c r="B694" s="358"/>
      <c r="C694" s="358"/>
      <c r="D694" s="358"/>
      <c r="E694" s="358"/>
      <c r="F694" s="358"/>
      <c r="G694" s="358"/>
      <c r="H694" s="358"/>
      <c r="J694" s="312"/>
    </row>
    <row r="695" spans="2:10" x14ac:dyDescent="0.2">
      <c r="B695" s="358"/>
      <c r="C695" s="358"/>
      <c r="D695" s="358"/>
      <c r="E695" s="358"/>
      <c r="F695" s="358"/>
      <c r="G695" s="358"/>
      <c r="H695" s="358"/>
      <c r="J695" s="312"/>
    </row>
    <row r="696" spans="2:10" x14ac:dyDescent="0.2">
      <c r="B696" s="358"/>
      <c r="C696" s="358"/>
      <c r="D696" s="358"/>
      <c r="E696" s="358"/>
      <c r="F696" s="358"/>
      <c r="G696" s="358"/>
      <c r="H696" s="358"/>
      <c r="J696" s="312"/>
    </row>
    <row r="697" spans="2:10" x14ac:dyDescent="0.2">
      <c r="B697" s="358"/>
      <c r="C697" s="358"/>
      <c r="D697" s="358"/>
      <c r="E697" s="358"/>
      <c r="F697" s="358"/>
      <c r="G697" s="358"/>
      <c r="H697" s="358"/>
      <c r="J697" s="312"/>
    </row>
    <row r="698" spans="2:10" x14ac:dyDescent="0.2">
      <c r="B698" s="358"/>
      <c r="C698" s="358"/>
      <c r="D698" s="358"/>
      <c r="E698" s="358"/>
      <c r="F698" s="358"/>
      <c r="G698" s="358"/>
      <c r="H698" s="358"/>
      <c r="J698" s="312"/>
    </row>
    <row r="699" spans="2:10" x14ac:dyDescent="0.2">
      <c r="B699" s="358"/>
      <c r="C699" s="358"/>
      <c r="D699" s="358"/>
      <c r="E699" s="358"/>
      <c r="F699" s="358"/>
      <c r="G699" s="358"/>
      <c r="H699" s="358"/>
      <c r="J699" s="312"/>
    </row>
    <row r="700" spans="2:10" x14ac:dyDescent="0.2">
      <c r="B700" s="358"/>
      <c r="C700" s="358"/>
      <c r="D700" s="358"/>
      <c r="E700" s="358"/>
      <c r="F700" s="358"/>
      <c r="G700" s="358"/>
      <c r="H700" s="358"/>
      <c r="J700" s="312"/>
    </row>
    <row r="701" spans="2:10" x14ac:dyDescent="0.2">
      <c r="B701" s="358"/>
      <c r="C701" s="358"/>
      <c r="D701" s="358"/>
      <c r="E701" s="358"/>
      <c r="F701" s="358"/>
      <c r="G701" s="358"/>
      <c r="H701" s="358"/>
      <c r="J701" s="312"/>
    </row>
    <row r="702" spans="2:10" x14ac:dyDescent="0.2">
      <c r="B702" s="358"/>
      <c r="C702" s="358"/>
      <c r="D702" s="358"/>
      <c r="E702" s="358"/>
      <c r="F702" s="358"/>
      <c r="G702" s="358"/>
      <c r="H702" s="358"/>
      <c r="J702" s="312"/>
    </row>
    <row r="703" spans="2:10" x14ac:dyDescent="0.2">
      <c r="B703" s="358"/>
      <c r="C703" s="358"/>
      <c r="D703" s="358"/>
      <c r="E703" s="358"/>
      <c r="F703" s="358"/>
      <c r="G703" s="358"/>
      <c r="H703" s="358"/>
      <c r="J703" s="312"/>
    </row>
    <row r="704" spans="2:10" x14ac:dyDescent="0.2">
      <c r="B704" s="358"/>
      <c r="C704" s="358"/>
      <c r="D704" s="358"/>
      <c r="E704" s="358"/>
      <c r="F704" s="358"/>
      <c r="G704" s="358"/>
      <c r="H704" s="358"/>
      <c r="J704" s="312"/>
    </row>
    <row r="705" spans="2:10" x14ac:dyDescent="0.2">
      <c r="B705" s="358"/>
      <c r="C705" s="358"/>
      <c r="D705" s="358"/>
      <c r="E705" s="358"/>
      <c r="F705" s="358"/>
      <c r="G705" s="358"/>
      <c r="H705" s="358"/>
      <c r="J705" s="312"/>
    </row>
    <row r="706" spans="2:10" x14ac:dyDescent="0.2">
      <c r="B706" s="358"/>
      <c r="C706" s="358"/>
      <c r="D706" s="358"/>
      <c r="E706" s="358"/>
      <c r="F706" s="358"/>
      <c r="G706" s="358"/>
      <c r="H706" s="358"/>
      <c r="J706" s="312"/>
    </row>
    <row r="707" spans="2:10" x14ac:dyDescent="0.2">
      <c r="B707" s="358"/>
      <c r="C707" s="358"/>
      <c r="D707" s="358"/>
      <c r="E707" s="358"/>
      <c r="F707" s="358"/>
      <c r="G707" s="358"/>
      <c r="H707" s="358"/>
      <c r="J707" s="312"/>
    </row>
    <row r="708" spans="2:10" x14ac:dyDescent="0.2">
      <c r="B708" s="358"/>
      <c r="C708" s="358"/>
      <c r="D708" s="358"/>
      <c r="E708" s="358"/>
      <c r="F708" s="358"/>
      <c r="G708" s="358"/>
      <c r="H708" s="358"/>
      <c r="J708" s="312"/>
    </row>
    <row r="709" spans="2:10" x14ac:dyDescent="0.2">
      <c r="B709" s="358"/>
      <c r="C709" s="358"/>
      <c r="D709" s="358"/>
      <c r="E709" s="358"/>
      <c r="F709" s="358"/>
      <c r="G709" s="358"/>
      <c r="H709" s="358"/>
      <c r="J709" s="312"/>
    </row>
    <row r="710" spans="2:10" x14ac:dyDescent="0.2">
      <c r="B710" s="358"/>
      <c r="C710" s="358"/>
      <c r="D710" s="358"/>
      <c r="E710" s="358"/>
      <c r="F710" s="358"/>
      <c r="G710" s="358"/>
      <c r="H710" s="358"/>
      <c r="J710" s="312"/>
    </row>
    <row r="711" spans="2:10" x14ac:dyDescent="0.2">
      <c r="B711" s="358"/>
      <c r="C711" s="358"/>
      <c r="D711" s="358"/>
      <c r="E711" s="358"/>
      <c r="F711" s="358"/>
      <c r="G711" s="358"/>
      <c r="H711" s="358"/>
      <c r="J711" s="312"/>
    </row>
    <row r="712" spans="2:10" x14ac:dyDescent="0.2">
      <c r="B712" s="358"/>
      <c r="C712" s="358"/>
      <c r="D712" s="358"/>
      <c r="E712" s="358"/>
      <c r="F712" s="358"/>
      <c r="G712" s="358"/>
      <c r="H712" s="358"/>
      <c r="J712" s="312"/>
    </row>
    <row r="713" spans="2:10" x14ac:dyDescent="0.2">
      <c r="B713" s="358"/>
      <c r="C713" s="358"/>
      <c r="D713" s="358"/>
      <c r="E713" s="358"/>
      <c r="F713" s="358"/>
      <c r="G713" s="358"/>
      <c r="H713" s="358"/>
      <c r="J713" s="312"/>
    </row>
    <row r="714" spans="2:10" x14ac:dyDescent="0.2">
      <c r="B714" s="358"/>
      <c r="C714" s="358"/>
      <c r="D714" s="358"/>
      <c r="E714" s="358"/>
      <c r="F714" s="358"/>
      <c r="G714" s="358"/>
      <c r="H714" s="358"/>
      <c r="J714" s="312"/>
    </row>
    <row r="715" spans="2:10" x14ac:dyDescent="0.2">
      <c r="B715" s="358"/>
      <c r="C715" s="358"/>
      <c r="D715" s="358"/>
      <c r="E715" s="358"/>
      <c r="F715" s="358"/>
      <c r="G715" s="358"/>
      <c r="H715" s="358"/>
      <c r="J715" s="312"/>
    </row>
    <row r="716" spans="2:10" x14ac:dyDescent="0.2">
      <c r="B716" s="358"/>
      <c r="C716" s="358"/>
      <c r="D716" s="358"/>
      <c r="E716" s="358"/>
      <c r="F716" s="358"/>
      <c r="G716" s="358"/>
      <c r="H716" s="358"/>
      <c r="J716" s="312"/>
    </row>
    <row r="717" spans="2:10" x14ac:dyDescent="0.2">
      <c r="B717" s="358"/>
      <c r="C717" s="358"/>
      <c r="D717" s="358"/>
      <c r="E717" s="358"/>
      <c r="F717" s="358"/>
      <c r="G717" s="358"/>
      <c r="H717" s="358"/>
      <c r="J717" s="312"/>
    </row>
    <row r="718" spans="2:10" x14ac:dyDescent="0.2">
      <c r="B718" s="358"/>
      <c r="C718" s="358"/>
      <c r="D718" s="358"/>
      <c r="E718" s="358"/>
      <c r="F718" s="358"/>
      <c r="G718" s="358"/>
      <c r="H718" s="358"/>
      <c r="J718" s="312"/>
    </row>
    <row r="719" spans="2:10" x14ac:dyDescent="0.2">
      <c r="B719" s="358"/>
      <c r="C719" s="358"/>
      <c r="D719" s="358"/>
      <c r="E719" s="358"/>
      <c r="F719" s="358"/>
      <c r="G719" s="358"/>
      <c r="H719" s="358"/>
      <c r="J719" s="312"/>
    </row>
    <row r="720" spans="2:10" x14ac:dyDescent="0.2">
      <c r="B720" s="358"/>
      <c r="C720" s="358"/>
      <c r="D720" s="358"/>
      <c r="E720" s="358"/>
      <c r="F720" s="358"/>
      <c r="G720" s="358"/>
      <c r="H720" s="358"/>
      <c r="J720" s="312"/>
    </row>
    <row r="721" spans="2:10" x14ac:dyDescent="0.2">
      <c r="B721" s="358"/>
      <c r="C721" s="358"/>
      <c r="D721" s="358"/>
      <c r="E721" s="358"/>
      <c r="F721" s="358"/>
      <c r="G721" s="358"/>
      <c r="H721" s="358"/>
      <c r="J721" s="312"/>
    </row>
    <row r="722" spans="2:10" x14ac:dyDescent="0.2">
      <c r="B722" s="358"/>
      <c r="C722" s="358"/>
      <c r="D722" s="358"/>
      <c r="E722" s="358"/>
      <c r="F722" s="358"/>
      <c r="G722" s="358"/>
      <c r="H722" s="358"/>
      <c r="J722" s="312"/>
    </row>
    <row r="723" spans="2:10" x14ac:dyDescent="0.2">
      <c r="B723" s="358"/>
      <c r="C723" s="358"/>
      <c r="D723" s="358"/>
      <c r="E723" s="358"/>
      <c r="F723" s="358"/>
      <c r="G723" s="358"/>
      <c r="H723" s="358"/>
      <c r="J723" s="312"/>
    </row>
    <row r="724" spans="2:10" x14ac:dyDescent="0.2">
      <c r="B724" s="358"/>
      <c r="C724" s="358"/>
      <c r="D724" s="358"/>
      <c r="E724" s="358"/>
      <c r="F724" s="358"/>
      <c r="G724" s="358"/>
      <c r="H724" s="358"/>
      <c r="J724" s="312"/>
    </row>
    <row r="725" spans="2:10" x14ac:dyDescent="0.2">
      <c r="B725" s="358"/>
      <c r="C725" s="358"/>
      <c r="D725" s="358"/>
      <c r="E725" s="358"/>
      <c r="F725" s="358"/>
      <c r="G725" s="358"/>
      <c r="H725" s="358"/>
      <c r="J725" s="312"/>
    </row>
    <row r="726" spans="2:10" x14ac:dyDescent="0.2">
      <c r="B726" s="358"/>
      <c r="C726" s="358"/>
      <c r="D726" s="358"/>
      <c r="E726" s="358"/>
      <c r="F726" s="358"/>
      <c r="G726" s="358"/>
      <c r="H726" s="358"/>
      <c r="J726" s="312"/>
    </row>
    <row r="727" spans="2:10" x14ac:dyDescent="0.2">
      <c r="B727" s="358"/>
      <c r="C727" s="358"/>
      <c r="D727" s="358"/>
      <c r="E727" s="358"/>
      <c r="F727" s="358"/>
      <c r="G727" s="358"/>
      <c r="H727" s="358"/>
      <c r="J727" s="312"/>
    </row>
    <row r="728" spans="2:10" x14ac:dyDescent="0.2">
      <c r="B728" s="358"/>
      <c r="C728" s="358"/>
      <c r="D728" s="358"/>
      <c r="E728" s="358"/>
      <c r="F728" s="358"/>
      <c r="G728" s="358"/>
      <c r="H728" s="358"/>
      <c r="J728" s="312"/>
    </row>
    <row r="729" spans="2:10" x14ac:dyDescent="0.2">
      <c r="B729" s="358"/>
      <c r="C729" s="358"/>
      <c r="D729" s="358"/>
      <c r="E729" s="358"/>
      <c r="F729" s="358"/>
      <c r="G729" s="358"/>
      <c r="H729" s="358"/>
      <c r="J729" s="312"/>
    </row>
    <row r="730" spans="2:10" x14ac:dyDescent="0.2">
      <c r="B730" s="358"/>
      <c r="C730" s="358"/>
      <c r="D730" s="358"/>
      <c r="E730" s="358"/>
      <c r="F730" s="358"/>
      <c r="G730" s="358"/>
      <c r="H730" s="358"/>
      <c r="J730" s="312"/>
    </row>
    <row r="731" spans="2:10" x14ac:dyDescent="0.2">
      <c r="B731" s="358"/>
      <c r="C731" s="358"/>
      <c r="D731" s="358"/>
      <c r="E731" s="358"/>
      <c r="F731" s="358"/>
      <c r="G731" s="358"/>
      <c r="H731" s="358"/>
      <c r="J731" s="312"/>
    </row>
    <row r="732" spans="2:10" x14ac:dyDescent="0.2">
      <c r="B732" s="358"/>
      <c r="C732" s="358"/>
      <c r="D732" s="358"/>
      <c r="E732" s="358"/>
      <c r="F732" s="358"/>
      <c r="G732" s="358"/>
      <c r="H732" s="358"/>
      <c r="J732" s="312"/>
    </row>
    <row r="733" spans="2:10" x14ac:dyDescent="0.2">
      <c r="B733" s="358"/>
      <c r="C733" s="358"/>
      <c r="D733" s="358"/>
      <c r="E733" s="358"/>
      <c r="F733" s="358"/>
      <c r="G733" s="358"/>
      <c r="H733" s="358"/>
      <c r="J733" s="312"/>
    </row>
    <row r="734" spans="2:10" x14ac:dyDescent="0.2">
      <c r="B734" s="358"/>
      <c r="C734" s="358"/>
      <c r="D734" s="358"/>
      <c r="E734" s="358"/>
      <c r="F734" s="358"/>
      <c r="G734" s="358"/>
      <c r="H734" s="358"/>
      <c r="J734" s="312"/>
    </row>
    <row r="735" spans="2:10" x14ac:dyDescent="0.2">
      <c r="B735" s="358"/>
      <c r="C735" s="358"/>
      <c r="D735" s="358"/>
      <c r="E735" s="358"/>
      <c r="F735" s="358"/>
      <c r="G735" s="358"/>
      <c r="H735" s="358"/>
      <c r="J735" s="312"/>
    </row>
    <row r="736" spans="2:10" x14ac:dyDescent="0.2">
      <c r="B736" s="358"/>
      <c r="C736" s="358"/>
      <c r="D736" s="358"/>
      <c r="E736" s="358"/>
      <c r="F736" s="358"/>
      <c r="G736" s="358"/>
      <c r="H736" s="358"/>
      <c r="J736" s="312"/>
    </row>
    <row r="737" spans="2:10" x14ac:dyDescent="0.2">
      <c r="B737" s="358"/>
      <c r="C737" s="358"/>
      <c r="D737" s="358"/>
      <c r="E737" s="358"/>
      <c r="F737" s="358"/>
      <c r="G737" s="358"/>
      <c r="H737" s="358"/>
      <c r="J737" s="312"/>
    </row>
    <row r="738" spans="2:10" x14ac:dyDescent="0.2">
      <c r="B738" s="358"/>
      <c r="C738" s="358"/>
      <c r="D738" s="358"/>
      <c r="E738" s="358"/>
      <c r="F738" s="358"/>
      <c r="G738" s="358"/>
      <c r="H738" s="358"/>
      <c r="J738" s="312"/>
    </row>
    <row r="739" spans="2:10" x14ac:dyDescent="0.2">
      <c r="B739" s="358"/>
      <c r="C739" s="358"/>
      <c r="D739" s="358"/>
      <c r="E739" s="358"/>
      <c r="F739" s="358"/>
      <c r="G739" s="358"/>
      <c r="H739" s="358"/>
      <c r="J739" s="312"/>
    </row>
    <row r="740" spans="2:10" x14ac:dyDescent="0.2">
      <c r="B740" s="358"/>
      <c r="C740" s="358"/>
      <c r="D740" s="358"/>
      <c r="E740" s="358"/>
      <c r="F740" s="358"/>
      <c r="G740" s="358"/>
      <c r="H740" s="358"/>
      <c r="J740" s="312"/>
    </row>
    <row r="741" spans="2:10" x14ac:dyDescent="0.2">
      <c r="B741" s="358"/>
      <c r="C741" s="358"/>
      <c r="D741" s="358"/>
      <c r="E741" s="358"/>
      <c r="F741" s="358"/>
      <c r="G741" s="358"/>
      <c r="H741" s="358"/>
      <c r="J741" s="312"/>
    </row>
    <row r="742" spans="2:10" x14ac:dyDescent="0.2">
      <c r="B742" s="358"/>
      <c r="C742" s="358"/>
      <c r="D742" s="358"/>
      <c r="E742" s="358"/>
      <c r="F742" s="358"/>
      <c r="G742" s="358"/>
      <c r="H742" s="358"/>
      <c r="J742" s="312"/>
    </row>
    <row r="743" spans="2:10" x14ac:dyDescent="0.2">
      <c r="B743" s="358"/>
      <c r="C743" s="358"/>
      <c r="D743" s="358"/>
      <c r="E743" s="358"/>
      <c r="F743" s="358"/>
      <c r="G743" s="358"/>
      <c r="H743" s="358"/>
      <c r="J743" s="312"/>
    </row>
    <row r="744" spans="2:10" x14ac:dyDescent="0.2">
      <c r="B744" s="358"/>
      <c r="C744" s="358"/>
      <c r="D744" s="358"/>
      <c r="E744" s="358"/>
      <c r="F744" s="358"/>
      <c r="G744" s="358"/>
      <c r="H744" s="358"/>
      <c r="J744" s="312"/>
    </row>
    <row r="745" spans="2:10" x14ac:dyDescent="0.2">
      <c r="B745" s="358"/>
      <c r="C745" s="358"/>
      <c r="D745" s="358"/>
      <c r="E745" s="358"/>
      <c r="F745" s="358"/>
      <c r="G745" s="358"/>
      <c r="H745" s="358"/>
      <c r="J745" s="312"/>
    </row>
    <row r="746" spans="2:10" x14ac:dyDescent="0.2">
      <c r="B746" s="358"/>
      <c r="C746" s="358"/>
      <c r="D746" s="358"/>
      <c r="E746" s="358"/>
      <c r="F746" s="358"/>
      <c r="G746" s="358"/>
      <c r="H746" s="358"/>
      <c r="J746" s="312"/>
    </row>
    <row r="747" spans="2:10" x14ac:dyDescent="0.2">
      <c r="B747" s="358"/>
      <c r="C747" s="358"/>
      <c r="D747" s="358"/>
      <c r="E747" s="358"/>
      <c r="F747" s="358"/>
      <c r="G747" s="358"/>
      <c r="H747" s="358"/>
      <c r="J747" s="312"/>
    </row>
    <row r="748" spans="2:10" x14ac:dyDescent="0.2">
      <c r="B748" s="358"/>
      <c r="C748" s="358"/>
      <c r="D748" s="358"/>
      <c r="E748" s="358"/>
      <c r="F748" s="358"/>
      <c r="G748" s="358"/>
      <c r="H748" s="358"/>
      <c r="J748" s="312"/>
    </row>
    <row r="749" spans="2:10" x14ac:dyDescent="0.2">
      <c r="B749" s="358"/>
      <c r="C749" s="358"/>
      <c r="D749" s="358"/>
      <c r="E749" s="358"/>
      <c r="F749" s="358"/>
      <c r="G749" s="358"/>
      <c r="H749" s="358"/>
      <c r="J749" s="312"/>
    </row>
    <row r="750" spans="2:10" x14ac:dyDescent="0.2">
      <c r="B750" s="358"/>
      <c r="C750" s="358"/>
      <c r="D750" s="358"/>
      <c r="E750" s="358"/>
      <c r="F750" s="358"/>
      <c r="G750" s="358"/>
      <c r="H750" s="358"/>
      <c r="J750" s="312"/>
    </row>
    <row r="751" spans="2:10" x14ac:dyDescent="0.2">
      <c r="B751" s="358"/>
      <c r="C751" s="358"/>
      <c r="D751" s="358"/>
      <c r="E751" s="358"/>
      <c r="F751" s="358"/>
      <c r="G751" s="358"/>
      <c r="H751" s="358"/>
      <c r="J751" s="312"/>
    </row>
    <row r="752" spans="2:10" x14ac:dyDescent="0.2">
      <c r="B752" s="358"/>
      <c r="C752" s="358"/>
      <c r="D752" s="358"/>
      <c r="E752" s="358"/>
      <c r="F752" s="358"/>
      <c r="G752" s="358"/>
      <c r="H752" s="358"/>
      <c r="J752" s="312"/>
    </row>
    <row r="753" spans="2:10" x14ac:dyDescent="0.2">
      <c r="B753" s="358"/>
      <c r="C753" s="358"/>
      <c r="D753" s="358"/>
      <c r="E753" s="358"/>
      <c r="F753" s="358"/>
      <c r="G753" s="358"/>
      <c r="H753" s="358"/>
      <c r="J753" s="312"/>
    </row>
    <row r="754" spans="2:10" x14ac:dyDescent="0.2">
      <c r="B754" s="358"/>
      <c r="C754" s="358"/>
      <c r="D754" s="358"/>
      <c r="E754" s="358"/>
      <c r="F754" s="358"/>
      <c r="G754" s="358"/>
      <c r="H754" s="358"/>
      <c r="J754" s="312"/>
    </row>
    <row r="755" spans="2:10" x14ac:dyDescent="0.2">
      <c r="B755" s="358"/>
      <c r="C755" s="358"/>
      <c r="D755" s="358"/>
      <c r="E755" s="358"/>
      <c r="F755" s="358"/>
      <c r="G755" s="358"/>
      <c r="H755" s="358"/>
      <c r="J755" s="312"/>
    </row>
    <row r="756" spans="2:10" x14ac:dyDescent="0.2">
      <c r="B756" s="358"/>
      <c r="C756" s="358"/>
      <c r="D756" s="358"/>
      <c r="E756" s="358"/>
      <c r="F756" s="358"/>
      <c r="G756" s="358"/>
      <c r="H756" s="358"/>
      <c r="J756" s="312"/>
    </row>
    <row r="757" spans="2:10" x14ac:dyDescent="0.2">
      <c r="B757" s="358"/>
      <c r="C757" s="358"/>
      <c r="D757" s="358"/>
      <c r="E757" s="358"/>
      <c r="F757" s="358"/>
      <c r="G757" s="358"/>
      <c r="H757" s="358"/>
      <c r="J757" s="312"/>
    </row>
    <row r="758" spans="2:10" x14ac:dyDescent="0.2">
      <c r="B758" s="358"/>
      <c r="C758" s="358"/>
      <c r="D758" s="358"/>
      <c r="E758" s="358"/>
      <c r="F758" s="358"/>
      <c r="G758" s="358"/>
      <c r="H758" s="358"/>
      <c r="J758" s="312"/>
    </row>
    <row r="759" spans="2:10" x14ac:dyDescent="0.2">
      <c r="B759" s="358"/>
      <c r="C759" s="358"/>
      <c r="D759" s="358"/>
      <c r="E759" s="358"/>
      <c r="F759" s="358"/>
      <c r="G759" s="358"/>
      <c r="H759" s="358"/>
      <c r="J759" s="312"/>
    </row>
    <row r="760" spans="2:10" x14ac:dyDescent="0.2">
      <c r="B760" s="358"/>
      <c r="C760" s="358"/>
      <c r="D760" s="358"/>
      <c r="E760" s="358"/>
      <c r="F760" s="358"/>
      <c r="G760" s="358"/>
      <c r="H760" s="358"/>
      <c r="J760" s="312"/>
    </row>
    <row r="761" spans="2:10" x14ac:dyDescent="0.2">
      <c r="B761" s="358"/>
      <c r="C761" s="358"/>
      <c r="D761" s="358"/>
      <c r="E761" s="358"/>
      <c r="F761" s="358"/>
      <c r="G761" s="358"/>
      <c r="H761" s="358"/>
      <c r="J761" s="312"/>
    </row>
    <row r="762" spans="2:10" x14ac:dyDescent="0.2">
      <c r="B762" s="358"/>
      <c r="C762" s="358"/>
      <c r="D762" s="358"/>
      <c r="E762" s="358"/>
      <c r="F762" s="358"/>
      <c r="G762" s="358"/>
      <c r="H762" s="358"/>
      <c r="J762" s="312"/>
    </row>
    <row r="763" spans="2:10" x14ac:dyDescent="0.2">
      <c r="B763" s="358"/>
      <c r="C763" s="358"/>
      <c r="D763" s="358"/>
      <c r="E763" s="358"/>
      <c r="F763" s="358"/>
      <c r="G763" s="358"/>
      <c r="H763" s="358"/>
      <c r="J763" s="312"/>
    </row>
    <row r="764" spans="2:10" x14ac:dyDescent="0.2">
      <c r="B764" s="358"/>
      <c r="C764" s="358"/>
      <c r="D764" s="358"/>
      <c r="E764" s="358"/>
      <c r="F764" s="358"/>
      <c r="G764" s="358"/>
      <c r="H764" s="358"/>
      <c r="J764" s="312"/>
    </row>
    <row r="765" spans="2:10" x14ac:dyDescent="0.2">
      <c r="B765" s="358"/>
      <c r="C765" s="358"/>
      <c r="D765" s="358"/>
      <c r="E765" s="358"/>
      <c r="F765" s="358"/>
      <c r="G765" s="358"/>
      <c r="H765" s="358"/>
      <c r="J765" s="312"/>
    </row>
    <row r="766" spans="2:10" x14ac:dyDescent="0.2">
      <c r="B766" s="358"/>
      <c r="C766" s="358"/>
      <c r="D766" s="358"/>
      <c r="E766" s="358"/>
      <c r="F766" s="358"/>
      <c r="G766" s="358"/>
      <c r="H766" s="358"/>
      <c r="J766" s="312"/>
    </row>
    <row r="767" spans="2:10" x14ac:dyDescent="0.2">
      <c r="B767" s="358"/>
      <c r="C767" s="358"/>
      <c r="D767" s="358"/>
      <c r="E767" s="358"/>
      <c r="F767" s="358"/>
      <c r="G767" s="358"/>
      <c r="H767" s="358"/>
      <c r="J767" s="312"/>
    </row>
    <row r="768" spans="2:10" x14ac:dyDescent="0.2">
      <c r="B768" s="358"/>
      <c r="C768" s="358"/>
      <c r="D768" s="358"/>
      <c r="E768" s="358"/>
      <c r="F768" s="358"/>
      <c r="G768" s="358"/>
      <c r="H768" s="358"/>
      <c r="J768" s="312"/>
    </row>
    <row r="769" spans="2:10" x14ac:dyDescent="0.2">
      <c r="B769" s="358"/>
      <c r="C769" s="358"/>
      <c r="D769" s="358"/>
      <c r="E769" s="358"/>
      <c r="F769" s="358"/>
      <c r="G769" s="358"/>
      <c r="H769" s="358"/>
      <c r="J769" s="312"/>
    </row>
    <row r="770" spans="2:10" x14ac:dyDescent="0.2">
      <c r="B770" s="358"/>
      <c r="C770" s="358"/>
      <c r="D770" s="358"/>
      <c r="E770" s="358"/>
      <c r="F770" s="358"/>
      <c r="G770" s="358"/>
      <c r="H770" s="358"/>
      <c r="J770" s="312"/>
    </row>
    <row r="771" spans="2:10" x14ac:dyDescent="0.2">
      <c r="B771" s="358"/>
      <c r="C771" s="358"/>
      <c r="D771" s="358"/>
      <c r="E771" s="358"/>
      <c r="F771" s="358"/>
      <c r="G771" s="358"/>
      <c r="H771" s="358"/>
      <c r="J771" s="312"/>
    </row>
    <row r="772" spans="2:10" x14ac:dyDescent="0.2">
      <c r="B772" s="358"/>
      <c r="C772" s="358"/>
      <c r="D772" s="358"/>
      <c r="E772" s="358"/>
      <c r="F772" s="358"/>
      <c r="G772" s="358"/>
      <c r="H772" s="358"/>
      <c r="J772" s="312"/>
    </row>
    <row r="773" spans="2:10" x14ac:dyDescent="0.2">
      <c r="B773" s="358"/>
      <c r="C773" s="358"/>
      <c r="D773" s="358"/>
      <c r="E773" s="358"/>
      <c r="F773" s="358"/>
      <c r="G773" s="358"/>
      <c r="H773" s="358"/>
      <c r="J773" s="312"/>
    </row>
    <row r="774" spans="2:10" x14ac:dyDescent="0.2">
      <c r="B774" s="358"/>
      <c r="C774" s="358"/>
      <c r="D774" s="358"/>
      <c r="E774" s="358"/>
      <c r="F774" s="358"/>
      <c r="G774" s="358"/>
      <c r="H774" s="358"/>
      <c r="J774" s="312"/>
    </row>
    <row r="775" spans="2:10" x14ac:dyDescent="0.2">
      <c r="B775" s="358"/>
      <c r="C775" s="358"/>
      <c r="D775" s="358"/>
      <c r="E775" s="358"/>
      <c r="F775" s="358"/>
      <c r="G775" s="358"/>
      <c r="H775" s="358"/>
      <c r="J775" s="312"/>
    </row>
    <row r="776" spans="2:10" x14ac:dyDescent="0.2">
      <c r="B776" s="358"/>
      <c r="C776" s="358"/>
      <c r="D776" s="358"/>
      <c r="E776" s="358"/>
      <c r="F776" s="358"/>
      <c r="G776" s="358"/>
      <c r="H776" s="358"/>
      <c r="J776" s="312"/>
    </row>
    <row r="777" spans="2:10" x14ac:dyDescent="0.2">
      <c r="B777" s="358"/>
      <c r="C777" s="358"/>
      <c r="D777" s="358"/>
      <c r="E777" s="358"/>
      <c r="F777" s="358"/>
      <c r="G777" s="358"/>
      <c r="H777" s="358"/>
      <c r="J777" s="312"/>
    </row>
    <row r="778" spans="2:10" x14ac:dyDescent="0.2">
      <c r="B778" s="358"/>
      <c r="C778" s="358"/>
      <c r="D778" s="358"/>
      <c r="E778" s="358"/>
      <c r="F778" s="358"/>
      <c r="G778" s="358"/>
      <c r="H778" s="358"/>
      <c r="J778" s="312"/>
    </row>
    <row r="779" spans="2:10" x14ac:dyDescent="0.2">
      <c r="B779" s="358"/>
      <c r="C779" s="358"/>
      <c r="D779" s="358"/>
      <c r="E779" s="358"/>
      <c r="F779" s="358"/>
      <c r="G779" s="358"/>
      <c r="H779" s="358"/>
      <c r="J779" s="312"/>
    </row>
    <row r="780" spans="2:10" x14ac:dyDescent="0.2">
      <c r="B780" s="358"/>
      <c r="C780" s="358"/>
      <c r="D780" s="358"/>
      <c r="E780" s="358"/>
      <c r="F780" s="358"/>
      <c r="G780" s="358"/>
      <c r="H780" s="358"/>
      <c r="J780" s="312"/>
    </row>
    <row r="781" spans="2:10" x14ac:dyDescent="0.2">
      <c r="B781" s="358"/>
      <c r="C781" s="358"/>
      <c r="D781" s="358"/>
      <c r="E781" s="358"/>
      <c r="F781" s="358"/>
      <c r="G781" s="358"/>
      <c r="H781" s="358"/>
      <c r="J781" s="312"/>
    </row>
    <row r="782" spans="2:10" x14ac:dyDescent="0.2">
      <c r="B782" s="358"/>
      <c r="C782" s="358"/>
      <c r="D782" s="358"/>
      <c r="E782" s="358"/>
      <c r="F782" s="358"/>
      <c r="G782" s="358"/>
      <c r="H782" s="358"/>
      <c r="J782" s="312"/>
    </row>
    <row r="783" spans="2:10" x14ac:dyDescent="0.2">
      <c r="B783" s="358"/>
      <c r="C783" s="358"/>
      <c r="D783" s="358"/>
      <c r="E783" s="358"/>
      <c r="F783" s="358"/>
      <c r="G783" s="358"/>
      <c r="H783" s="358"/>
      <c r="J783" s="312"/>
    </row>
    <row r="784" spans="2:10" x14ac:dyDescent="0.2">
      <c r="B784" s="358"/>
      <c r="C784" s="358"/>
      <c r="D784" s="358"/>
      <c r="E784" s="358"/>
      <c r="F784" s="358"/>
      <c r="G784" s="358"/>
      <c r="H784" s="358"/>
      <c r="J784" s="312"/>
    </row>
    <row r="785" spans="2:10" x14ac:dyDescent="0.2">
      <c r="B785" s="358"/>
      <c r="C785" s="358"/>
      <c r="D785" s="358"/>
      <c r="E785" s="358"/>
      <c r="F785" s="358"/>
      <c r="G785" s="358"/>
      <c r="H785" s="358"/>
      <c r="J785" s="312"/>
    </row>
    <row r="786" spans="2:10" x14ac:dyDescent="0.2">
      <c r="B786" s="358"/>
      <c r="C786" s="358"/>
      <c r="D786" s="358"/>
      <c r="E786" s="358"/>
      <c r="F786" s="358"/>
      <c r="G786" s="358"/>
      <c r="H786" s="358"/>
      <c r="J786" s="312"/>
    </row>
    <row r="787" spans="2:10" x14ac:dyDescent="0.2">
      <c r="B787" s="358"/>
      <c r="C787" s="358"/>
      <c r="D787" s="358"/>
      <c r="E787" s="358"/>
      <c r="F787" s="358"/>
      <c r="G787" s="358"/>
      <c r="H787" s="358"/>
      <c r="J787" s="312"/>
    </row>
    <row r="788" spans="2:10" x14ac:dyDescent="0.2">
      <c r="B788" s="358"/>
      <c r="C788" s="358"/>
      <c r="D788" s="358"/>
      <c r="E788" s="358"/>
      <c r="F788" s="358"/>
      <c r="G788" s="358"/>
      <c r="H788" s="358"/>
      <c r="J788" s="312"/>
    </row>
    <row r="789" spans="2:10" x14ac:dyDescent="0.2">
      <c r="B789" s="358"/>
      <c r="C789" s="358"/>
      <c r="D789" s="358"/>
      <c r="E789" s="358"/>
      <c r="F789" s="358"/>
      <c r="G789" s="358"/>
      <c r="H789" s="358"/>
      <c r="J789" s="312"/>
    </row>
    <row r="790" spans="2:10" x14ac:dyDescent="0.2">
      <c r="B790" s="358"/>
      <c r="C790" s="358"/>
      <c r="D790" s="358"/>
      <c r="E790" s="358"/>
      <c r="F790" s="358"/>
      <c r="G790" s="358"/>
      <c r="H790" s="358"/>
      <c r="J790" s="312"/>
    </row>
    <row r="791" spans="2:10" x14ac:dyDescent="0.2">
      <c r="B791" s="358"/>
      <c r="C791" s="358"/>
      <c r="D791" s="358"/>
      <c r="E791" s="358"/>
      <c r="F791" s="358"/>
      <c r="G791" s="358"/>
      <c r="H791" s="358"/>
      <c r="J791" s="312"/>
    </row>
    <row r="792" spans="2:10" x14ac:dyDescent="0.2">
      <c r="B792" s="358"/>
      <c r="C792" s="358"/>
      <c r="D792" s="358"/>
      <c r="E792" s="358"/>
      <c r="F792" s="358"/>
      <c r="G792" s="358"/>
      <c r="H792" s="358"/>
      <c r="J792" s="312"/>
    </row>
    <row r="793" spans="2:10" x14ac:dyDescent="0.2">
      <c r="B793" s="358"/>
      <c r="C793" s="358"/>
      <c r="D793" s="358"/>
      <c r="E793" s="358"/>
      <c r="F793" s="358"/>
      <c r="G793" s="358"/>
      <c r="H793" s="358"/>
      <c r="J793" s="312"/>
    </row>
    <row r="794" spans="2:10" x14ac:dyDescent="0.2">
      <c r="B794" s="358"/>
      <c r="C794" s="358"/>
      <c r="D794" s="358"/>
      <c r="E794" s="358"/>
      <c r="F794" s="358"/>
      <c r="G794" s="358"/>
      <c r="H794" s="358"/>
      <c r="J794" s="312"/>
    </row>
    <row r="795" spans="2:10" x14ac:dyDescent="0.2">
      <c r="B795" s="358"/>
      <c r="C795" s="358"/>
      <c r="D795" s="358"/>
      <c r="E795" s="358"/>
      <c r="F795" s="358"/>
      <c r="G795" s="358"/>
      <c r="H795" s="358"/>
      <c r="J795" s="312"/>
    </row>
    <row r="796" spans="2:10" x14ac:dyDescent="0.2">
      <c r="B796" s="358"/>
      <c r="C796" s="358"/>
      <c r="D796" s="358"/>
      <c r="E796" s="358"/>
      <c r="F796" s="358"/>
      <c r="G796" s="358"/>
      <c r="H796" s="358"/>
      <c r="J796" s="312"/>
    </row>
    <row r="797" spans="2:10" x14ac:dyDescent="0.2">
      <c r="B797" s="358"/>
      <c r="C797" s="358"/>
      <c r="D797" s="358"/>
      <c r="E797" s="358"/>
      <c r="F797" s="358"/>
      <c r="G797" s="358"/>
      <c r="H797" s="358"/>
      <c r="J797" s="312"/>
    </row>
    <row r="798" spans="2:10" x14ac:dyDescent="0.2">
      <c r="B798" s="358"/>
      <c r="C798" s="358"/>
      <c r="D798" s="358"/>
      <c r="E798" s="358"/>
      <c r="F798" s="358"/>
      <c r="G798" s="358"/>
      <c r="H798" s="358"/>
      <c r="J798" s="312"/>
    </row>
    <row r="799" spans="2:10" x14ac:dyDescent="0.2">
      <c r="B799" s="358"/>
      <c r="C799" s="358"/>
      <c r="D799" s="358"/>
      <c r="E799" s="358"/>
      <c r="F799" s="358"/>
      <c r="G799" s="358"/>
      <c r="H799" s="358"/>
      <c r="J799" s="312"/>
    </row>
    <row r="800" spans="2:10" x14ac:dyDescent="0.2">
      <c r="B800" s="358"/>
      <c r="C800" s="358"/>
      <c r="D800" s="358"/>
      <c r="E800" s="358"/>
      <c r="F800" s="358"/>
      <c r="G800" s="358"/>
      <c r="H800" s="358"/>
      <c r="J800" s="312"/>
    </row>
    <row r="801" spans="2:10" x14ac:dyDescent="0.2">
      <c r="B801" s="358"/>
      <c r="C801" s="358"/>
      <c r="D801" s="358"/>
      <c r="E801" s="358"/>
      <c r="F801" s="358"/>
      <c r="G801" s="358"/>
      <c r="H801" s="358"/>
      <c r="J801" s="312"/>
    </row>
    <row r="802" spans="2:10" x14ac:dyDescent="0.2">
      <c r="B802" s="358"/>
      <c r="C802" s="358"/>
      <c r="D802" s="358"/>
      <c r="E802" s="358"/>
      <c r="F802" s="358"/>
      <c r="G802" s="358"/>
      <c r="H802" s="358"/>
      <c r="J802" s="312"/>
    </row>
    <row r="803" spans="2:10" x14ac:dyDescent="0.2">
      <c r="B803" s="358"/>
      <c r="C803" s="358"/>
      <c r="D803" s="358"/>
      <c r="E803" s="358"/>
      <c r="F803" s="358"/>
      <c r="G803" s="358"/>
      <c r="H803" s="358"/>
      <c r="J803" s="312"/>
    </row>
    <row r="804" spans="2:10" x14ac:dyDescent="0.2">
      <c r="B804" s="358"/>
      <c r="C804" s="358"/>
      <c r="D804" s="358"/>
      <c r="E804" s="358"/>
      <c r="F804" s="358"/>
      <c r="G804" s="358"/>
      <c r="H804" s="358"/>
      <c r="J804" s="312"/>
    </row>
    <row r="805" spans="2:10" x14ac:dyDescent="0.2">
      <c r="B805" s="358"/>
      <c r="C805" s="358"/>
      <c r="D805" s="358"/>
      <c r="E805" s="358"/>
      <c r="F805" s="358"/>
      <c r="G805" s="358"/>
      <c r="H805" s="358"/>
      <c r="J805" s="312"/>
    </row>
    <row r="806" spans="2:10" x14ac:dyDescent="0.2">
      <c r="B806" s="358"/>
      <c r="C806" s="358"/>
      <c r="D806" s="358"/>
      <c r="E806" s="358"/>
      <c r="F806" s="358"/>
      <c r="G806" s="358"/>
      <c r="H806" s="358"/>
      <c r="J806" s="312"/>
    </row>
    <row r="807" spans="2:10" x14ac:dyDescent="0.2">
      <c r="B807" s="358"/>
      <c r="C807" s="358"/>
      <c r="D807" s="358"/>
      <c r="E807" s="358"/>
      <c r="F807" s="358"/>
      <c r="G807" s="358"/>
      <c r="H807" s="358"/>
      <c r="J807" s="312"/>
    </row>
    <row r="808" spans="2:10" x14ac:dyDescent="0.2">
      <c r="B808" s="358"/>
      <c r="C808" s="358"/>
      <c r="D808" s="358"/>
      <c r="E808" s="358"/>
      <c r="F808" s="358"/>
      <c r="G808" s="358"/>
      <c r="H808" s="358"/>
      <c r="J808" s="312"/>
    </row>
    <row r="809" spans="2:10" x14ac:dyDescent="0.2">
      <c r="B809" s="358"/>
      <c r="C809" s="358"/>
      <c r="D809" s="358"/>
      <c r="E809" s="358"/>
      <c r="F809" s="358"/>
      <c r="G809" s="358"/>
      <c r="H809" s="358"/>
      <c r="J809" s="312"/>
    </row>
    <row r="810" spans="2:10" x14ac:dyDescent="0.2">
      <c r="B810" s="358"/>
      <c r="C810" s="358"/>
      <c r="D810" s="358"/>
      <c r="E810" s="358"/>
      <c r="F810" s="358"/>
      <c r="G810" s="358"/>
      <c r="H810" s="358"/>
      <c r="J810" s="312"/>
    </row>
    <row r="811" spans="2:10" x14ac:dyDescent="0.2">
      <c r="B811" s="358"/>
      <c r="C811" s="358"/>
      <c r="D811" s="358"/>
      <c r="E811" s="358"/>
      <c r="F811" s="358"/>
      <c r="G811" s="358"/>
      <c r="H811" s="358"/>
      <c r="J811" s="312"/>
    </row>
    <row r="812" spans="2:10" x14ac:dyDescent="0.2">
      <c r="B812" s="358"/>
      <c r="C812" s="358"/>
      <c r="D812" s="358"/>
      <c r="E812" s="358"/>
      <c r="F812" s="358"/>
      <c r="G812" s="358"/>
      <c r="H812" s="358"/>
      <c r="J812" s="312"/>
    </row>
    <row r="813" spans="2:10" x14ac:dyDescent="0.2">
      <c r="B813" s="358"/>
      <c r="C813" s="358"/>
      <c r="D813" s="358"/>
      <c r="E813" s="358"/>
      <c r="F813" s="358"/>
      <c r="G813" s="358"/>
      <c r="H813" s="358"/>
      <c r="J813" s="312"/>
    </row>
    <row r="814" spans="2:10" x14ac:dyDescent="0.2">
      <c r="B814" s="358"/>
      <c r="C814" s="358"/>
      <c r="D814" s="358"/>
      <c r="E814" s="358"/>
      <c r="F814" s="358"/>
      <c r="G814" s="358"/>
      <c r="H814" s="358"/>
      <c r="J814" s="312"/>
    </row>
    <row r="815" spans="2:10" x14ac:dyDescent="0.2">
      <c r="B815" s="358"/>
      <c r="C815" s="358"/>
      <c r="D815" s="358"/>
      <c r="E815" s="358"/>
      <c r="F815" s="358"/>
      <c r="G815" s="358"/>
      <c r="H815" s="358"/>
      <c r="J815" s="312"/>
    </row>
    <row r="816" spans="2:10" x14ac:dyDescent="0.2">
      <c r="B816" s="358"/>
      <c r="C816" s="358"/>
      <c r="D816" s="358"/>
      <c r="E816" s="358"/>
      <c r="F816" s="358"/>
      <c r="G816" s="358"/>
      <c r="H816" s="358"/>
      <c r="J816" s="312"/>
    </row>
    <row r="817" spans="2:10" x14ac:dyDescent="0.2">
      <c r="B817" s="358"/>
      <c r="C817" s="358"/>
      <c r="D817" s="358"/>
      <c r="E817" s="358"/>
      <c r="F817" s="358"/>
      <c r="G817" s="358"/>
      <c r="H817" s="358"/>
      <c r="J817" s="312"/>
    </row>
    <row r="818" spans="2:10" x14ac:dyDescent="0.2">
      <c r="B818" s="358"/>
      <c r="C818" s="358"/>
      <c r="D818" s="358"/>
      <c r="E818" s="358"/>
      <c r="F818" s="358"/>
      <c r="G818" s="358"/>
      <c r="H818" s="358"/>
      <c r="J818" s="312"/>
    </row>
    <row r="819" spans="2:10" x14ac:dyDescent="0.2">
      <c r="B819" s="358"/>
      <c r="C819" s="358"/>
      <c r="D819" s="358"/>
      <c r="E819" s="358"/>
      <c r="F819" s="358"/>
      <c r="G819" s="358"/>
      <c r="H819" s="358"/>
      <c r="J819" s="312"/>
    </row>
    <row r="820" spans="2:10" x14ac:dyDescent="0.2">
      <c r="B820" s="358"/>
      <c r="C820" s="358"/>
      <c r="D820" s="358"/>
      <c r="E820" s="358"/>
      <c r="F820" s="358"/>
      <c r="G820" s="358"/>
      <c r="H820" s="358"/>
      <c r="J820" s="312"/>
    </row>
    <row r="821" spans="2:10" x14ac:dyDescent="0.2">
      <c r="B821" s="358"/>
      <c r="C821" s="358"/>
      <c r="D821" s="358"/>
      <c r="E821" s="358"/>
      <c r="F821" s="358"/>
      <c r="G821" s="358"/>
      <c r="H821" s="358"/>
      <c r="J821" s="312"/>
    </row>
    <row r="822" spans="2:10" x14ac:dyDescent="0.2">
      <c r="B822" s="358"/>
      <c r="C822" s="358"/>
      <c r="D822" s="358"/>
      <c r="E822" s="358"/>
      <c r="F822" s="358"/>
      <c r="G822" s="358"/>
      <c r="H822" s="358"/>
      <c r="J822" s="312"/>
    </row>
    <row r="823" spans="2:10" x14ac:dyDescent="0.2">
      <c r="B823" s="358"/>
      <c r="C823" s="358"/>
      <c r="D823" s="358"/>
      <c r="E823" s="358"/>
      <c r="F823" s="358"/>
      <c r="G823" s="358"/>
      <c r="H823" s="358"/>
      <c r="J823" s="312"/>
    </row>
    <row r="824" spans="2:10" x14ac:dyDescent="0.2">
      <c r="B824" s="358"/>
      <c r="C824" s="358"/>
      <c r="D824" s="358"/>
      <c r="E824" s="358"/>
      <c r="F824" s="358"/>
      <c r="G824" s="358"/>
      <c r="H824" s="358"/>
      <c r="J824" s="312"/>
    </row>
    <row r="825" spans="2:10" x14ac:dyDescent="0.2">
      <c r="B825" s="358"/>
      <c r="C825" s="358"/>
      <c r="D825" s="358"/>
      <c r="E825" s="358"/>
      <c r="F825" s="358"/>
      <c r="G825" s="358"/>
      <c r="H825" s="358"/>
      <c r="J825" s="312"/>
    </row>
    <row r="826" spans="2:10" x14ac:dyDescent="0.2">
      <c r="B826" s="358"/>
      <c r="C826" s="358"/>
      <c r="D826" s="358"/>
      <c r="E826" s="358"/>
      <c r="F826" s="358"/>
      <c r="G826" s="358"/>
      <c r="H826" s="358"/>
      <c r="J826" s="312"/>
    </row>
    <row r="827" spans="2:10" x14ac:dyDescent="0.2">
      <c r="B827" s="358"/>
      <c r="C827" s="358"/>
      <c r="D827" s="358"/>
      <c r="E827" s="358"/>
      <c r="F827" s="358"/>
      <c r="G827" s="358"/>
      <c r="H827" s="358"/>
      <c r="J827" s="312"/>
    </row>
    <row r="828" spans="2:10" x14ac:dyDescent="0.2">
      <c r="B828" s="358"/>
      <c r="C828" s="358"/>
      <c r="D828" s="358"/>
      <c r="E828" s="358"/>
      <c r="F828" s="358"/>
      <c r="G828" s="358"/>
      <c r="H828" s="358"/>
      <c r="J828" s="312"/>
    </row>
    <row r="829" spans="2:10" x14ac:dyDescent="0.2">
      <c r="B829" s="358"/>
      <c r="C829" s="358"/>
      <c r="D829" s="358"/>
      <c r="E829" s="358"/>
      <c r="F829" s="358"/>
      <c r="G829" s="358"/>
      <c r="H829" s="358"/>
      <c r="J829" s="312"/>
    </row>
    <row r="830" spans="2:10" x14ac:dyDescent="0.2">
      <c r="B830" s="358"/>
      <c r="C830" s="358"/>
      <c r="D830" s="358"/>
      <c r="E830" s="358"/>
      <c r="F830" s="358"/>
      <c r="G830" s="358"/>
      <c r="H830" s="358"/>
      <c r="J830" s="312"/>
    </row>
    <row r="831" spans="2:10" x14ac:dyDescent="0.2">
      <c r="B831" s="358"/>
      <c r="C831" s="358"/>
      <c r="D831" s="358"/>
      <c r="E831" s="358"/>
      <c r="F831" s="358"/>
      <c r="G831" s="358"/>
      <c r="H831" s="358"/>
      <c r="J831" s="312"/>
    </row>
    <row r="832" spans="2:10" x14ac:dyDescent="0.2">
      <c r="B832" s="358"/>
      <c r="C832" s="358"/>
      <c r="D832" s="358"/>
      <c r="E832" s="358"/>
      <c r="F832" s="358"/>
      <c r="G832" s="358"/>
      <c r="H832" s="358"/>
      <c r="J832" s="312"/>
    </row>
    <row r="833" spans="2:10" x14ac:dyDescent="0.2">
      <c r="B833" s="358"/>
      <c r="C833" s="358"/>
      <c r="D833" s="358"/>
      <c r="E833" s="358"/>
      <c r="F833" s="358"/>
      <c r="G833" s="358"/>
      <c r="H833" s="358"/>
      <c r="J833" s="312"/>
    </row>
    <row r="834" spans="2:10" x14ac:dyDescent="0.2">
      <c r="B834" s="358"/>
      <c r="C834" s="358"/>
      <c r="D834" s="358"/>
      <c r="E834" s="358"/>
      <c r="F834" s="358"/>
      <c r="G834" s="358"/>
      <c r="H834" s="358"/>
      <c r="J834" s="312"/>
    </row>
    <row r="835" spans="2:10" x14ac:dyDescent="0.2">
      <c r="B835" s="358"/>
      <c r="C835" s="358"/>
      <c r="D835" s="358"/>
      <c r="E835" s="358"/>
      <c r="F835" s="358"/>
      <c r="G835" s="358"/>
      <c r="H835" s="358"/>
      <c r="J835" s="312"/>
    </row>
    <row r="836" spans="2:10" x14ac:dyDescent="0.2">
      <c r="B836" s="358"/>
      <c r="C836" s="358"/>
      <c r="D836" s="358"/>
      <c r="E836" s="358"/>
      <c r="F836" s="358"/>
      <c r="G836" s="358"/>
      <c r="H836" s="358"/>
      <c r="J836" s="312"/>
    </row>
    <row r="837" spans="2:10" x14ac:dyDescent="0.2">
      <c r="B837" s="358"/>
      <c r="C837" s="358"/>
      <c r="D837" s="358"/>
      <c r="E837" s="358"/>
      <c r="F837" s="358"/>
      <c r="G837" s="358"/>
      <c r="H837" s="358"/>
      <c r="J837" s="312"/>
    </row>
    <row r="838" spans="2:10" x14ac:dyDescent="0.2">
      <c r="B838" s="358"/>
      <c r="C838" s="358"/>
      <c r="D838" s="358"/>
      <c r="E838" s="358"/>
      <c r="F838" s="358"/>
      <c r="G838" s="358"/>
      <c r="H838" s="358"/>
      <c r="J838" s="312"/>
    </row>
    <row r="839" spans="2:10" x14ac:dyDescent="0.2">
      <c r="B839" s="358"/>
      <c r="C839" s="358"/>
      <c r="D839" s="358"/>
      <c r="E839" s="358"/>
      <c r="F839" s="358"/>
      <c r="G839" s="358"/>
      <c r="H839" s="358"/>
      <c r="J839" s="312"/>
    </row>
    <row r="840" spans="2:10" x14ac:dyDescent="0.2">
      <c r="B840" s="358"/>
      <c r="C840" s="358"/>
      <c r="D840" s="358"/>
      <c r="E840" s="358"/>
      <c r="F840" s="358"/>
      <c r="G840" s="358"/>
      <c r="H840" s="358"/>
      <c r="J840" s="312"/>
    </row>
    <row r="841" spans="2:10" x14ac:dyDescent="0.2">
      <c r="B841" s="358"/>
      <c r="C841" s="358"/>
      <c r="D841" s="358"/>
      <c r="E841" s="358"/>
      <c r="F841" s="358"/>
      <c r="G841" s="358"/>
      <c r="H841" s="358"/>
      <c r="J841" s="312"/>
    </row>
    <row r="842" spans="2:10" x14ac:dyDescent="0.2">
      <c r="B842" s="358"/>
      <c r="C842" s="358"/>
      <c r="D842" s="358"/>
      <c r="E842" s="358"/>
      <c r="F842" s="358"/>
      <c r="G842" s="358"/>
      <c r="H842" s="358"/>
      <c r="J842" s="312"/>
    </row>
    <row r="843" spans="2:10" x14ac:dyDescent="0.2">
      <c r="B843" s="358"/>
      <c r="C843" s="358"/>
      <c r="D843" s="358"/>
      <c r="E843" s="358"/>
      <c r="F843" s="358"/>
      <c r="G843" s="358"/>
      <c r="H843" s="358"/>
      <c r="J843" s="312"/>
    </row>
    <row r="844" spans="2:10" x14ac:dyDescent="0.2">
      <c r="B844" s="358"/>
      <c r="C844" s="358"/>
      <c r="D844" s="358"/>
      <c r="E844" s="358"/>
      <c r="F844" s="358"/>
      <c r="G844" s="358"/>
      <c r="H844" s="358"/>
      <c r="J844" s="312"/>
    </row>
    <row r="845" spans="2:10" x14ac:dyDescent="0.2">
      <c r="B845" s="358"/>
      <c r="C845" s="358"/>
      <c r="D845" s="358"/>
      <c r="E845" s="358"/>
      <c r="F845" s="358"/>
      <c r="G845" s="358"/>
      <c r="H845" s="358"/>
      <c r="J845" s="312"/>
    </row>
    <row r="846" spans="2:10" x14ac:dyDescent="0.2">
      <c r="B846" s="358"/>
      <c r="C846" s="358"/>
      <c r="D846" s="358"/>
      <c r="E846" s="358"/>
      <c r="F846" s="358"/>
      <c r="G846" s="358"/>
      <c r="H846" s="358"/>
      <c r="J846" s="312"/>
    </row>
    <row r="847" spans="2:10" x14ac:dyDescent="0.2">
      <c r="B847" s="358"/>
      <c r="C847" s="358"/>
      <c r="D847" s="358"/>
      <c r="E847" s="358"/>
      <c r="F847" s="358"/>
      <c r="G847" s="358"/>
      <c r="H847" s="358"/>
      <c r="J847" s="312"/>
    </row>
    <row r="848" spans="2:10" x14ac:dyDescent="0.2">
      <c r="B848" s="358"/>
      <c r="C848" s="358"/>
      <c r="D848" s="358"/>
      <c r="E848" s="358"/>
      <c r="F848" s="358"/>
      <c r="G848" s="358"/>
      <c r="H848" s="358"/>
      <c r="J848" s="312"/>
    </row>
    <row r="849" spans="2:10" x14ac:dyDescent="0.2">
      <c r="B849" s="358"/>
      <c r="C849" s="358"/>
      <c r="D849" s="358"/>
      <c r="E849" s="358"/>
      <c r="F849" s="358"/>
      <c r="G849" s="358"/>
      <c r="H849" s="358"/>
      <c r="J849" s="312"/>
    </row>
    <row r="850" spans="2:10" x14ac:dyDescent="0.2">
      <c r="B850" s="358"/>
      <c r="C850" s="358"/>
      <c r="D850" s="358"/>
      <c r="E850" s="358"/>
      <c r="F850" s="358"/>
      <c r="G850" s="358"/>
      <c r="H850" s="358"/>
      <c r="J850" s="312"/>
    </row>
    <row r="851" spans="2:10" x14ac:dyDescent="0.2">
      <c r="B851" s="358"/>
      <c r="C851" s="358"/>
      <c r="D851" s="358"/>
      <c r="E851" s="358"/>
      <c r="F851" s="358"/>
      <c r="G851" s="358"/>
      <c r="H851" s="358"/>
      <c r="J851" s="312"/>
    </row>
    <row r="852" spans="2:10" x14ac:dyDescent="0.2">
      <c r="B852" s="358"/>
      <c r="C852" s="358"/>
      <c r="D852" s="358"/>
      <c r="E852" s="358"/>
      <c r="F852" s="358"/>
      <c r="G852" s="358"/>
      <c r="H852" s="358"/>
      <c r="J852" s="312"/>
    </row>
    <row r="853" spans="2:10" x14ac:dyDescent="0.2">
      <c r="B853" s="358"/>
      <c r="C853" s="358"/>
      <c r="D853" s="358"/>
      <c r="E853" s="358"/>
      <c r="F853" s="358"/>
      <c r="G853" s="358"/>
      <c r="H853" s="358"/>
      <c r="J853" s="312"/>
    </row>
    <row r="854" spans="2:10" x14ac:dyDescent="0.2">
      <c r="B854" s="358"/>
      <c r="C854" s="358"/>
      <c r="D854" s="358"/>
      <c r="E854" s="358"/>
      <c r="F854" s="358"/>
      <c r="G854" s="358"/>
      <c r="H854" s="358"/>
      <c r="J854" s="312"/>
    </row>
    <row r="855" spans="2:10" x14ac:dyDescent="0.2">
      <c r="B855" s="358"/>
      <c r="C855" s="358"/>
      <c r="D855" s="358"/>
      <c r="E855" s="358"/>
      <c r="F855" s="358"/>
      <c r="G855" s="358"/>
      <c r="H855" s="358"/>
      <c r="J855" s="312"/>
    </row>
    <row r="856" spans="2:10" x14ac:dyDescent="0.2">
      <c r="B856" s="358"/>
      <c r="C856" s="358"/>
      <c r="D856" s="358"/>
      <c r="E856" s="358"/>
      <c r="F856" s="358"/>
      <c r="G856" s="358"/>
      <c r="H856" s="358"/>
      <c r="J856" s="312"/>
    </row>
    <row r="857" spans="2:10" x14ac:dyDescent="0.2">
      <c r="B857" s="358"/>
      <c r="C857" s="358"/>
      <c r="D857" s="358"/>
      <c r="E857" s="358"/>
      <c r="F857" s="358"/>
      <c r="G857" s="358"/>
      <c r="H857" s="358"/>
      <c r="J857" s="312"/>
    </row>
    <row r="858" spans="2:10" x14ac:dyDescent="0.2">
      <c r="B858" s="358"/>
      <c r="C858" s="358"/>
      <c r="D858" s="358"/>
      <c r="E858" s="358"/>
      <c r="F858" s="358"/>
      <c r="G858" s="358"/>
      <c r="H858" s="358"/>
      <c r="J858" s="312"/>
    </row>
    <row r="859" spans="2:10" x14ac:dyDescent="0.2">
      <c r="B859" s="358"/>
      <c r="C859" s="358"/>
      <c r="D859" s="358"/>
      <c r="E859" s="358"/>
      <c r="F859" s="358"/>
      <c r="G859" s="358"/>
      <c r="H859" s="358"/>
      <c r="J859" s="312"/>
    </row>
    <row r="860" spans="2:10" x14ac:dyDescent="0.2">
      <c r="B860" s="358"/>
      <c r="C860" s="358"/>
      <c r="D860" s="358"/>
      <c r="E860" s="358"/>
      <c r="F860" s="358"/>
      <c r="G860" s="358"/>
      <c r="H860" s="358"/>
      <c r="J860" s="312"/>
    </row>
    <row r="861" spans="2:10" x14ac:dyDescent="0.2">
      <c r="B861" s="358"/>
      <c r="C861" s="358"/>
      <c r="D861" s="358"/>
      <c r="E861" s="358"/>
      <c r="F861" s="358"/>
      <c r="G861" s="358"/>
      <c r="H861" s="358"/>
      <c r="J861" s="312"/>
    </row>
    <row r="862" spans="2:10" x14ac:dyDescent="0.2">
      <c r="B862" s="358"/>
      <c r="C862" s="358"/>
      <c r="D862" s="358"/>
      <c r="E862" s="358"/>
      <c r="F862" s="358"/>
      <c r="G862" s="358"/>
      <c r="H862" s="358"/>
      <c r="J862" s="312"/>
    </row>
    <row r="863" spans="2:10" x14ac:dyDescent="0.2">
      <c r="B863" s="358"/>
      <c r="C863" s="358"/>
      <c r="D863" s="358"/>
      <c r="E863" s="358"/>
      <c r="F863" s="358"/>
      <c r="G863" s="358"/>
      <c r="H863" s="358"/>
      <c r="J863" s="312"/>
    </row>
    <row r="864" spans="2:10" x14ac:dyDescent="0.2">
      <c r="B864" s="358"/>
      <c r="C864" s="358"/>
      <c r="D864" s="358"/>
      <c r="E864" s="358"/>
      <c r="F864" s="358"/>
      <c r="G864" s="358"/>
      <c r="H864" s="358"/>
      <c r="J864" s="312"/>
    </row>
    <row r="865" spans="2:10" x14ac:dyDescent="0.2">
      <c r="B865" s="358"/>
      <c r="C865" s="358"/>
      <c r="D865" s="358"/>
      <c r="E865" s="358"/>
      <c r="F865" s="358"/>
      <c r="G865" s="358"/>
      <c r="H865" s="358"/>
      <c r="J865" s="312"/>
    </row>
    <row r="866" spans="2:10" x14ac:dyDescent="0.2">
      <c r="B866" s="358"/>
      <c r="C866" s="358"/>
      <c r="D866" s="358"/>
      <c r="E866" s="358"/>
      <c r="F866" s="358"/>
      <c r="G866" s="358"/>
      <c r="H866" s="358"/>
      <c r="J866" s="312"/>
    </row>
    <row r="867" spans="2:10" x14ac:dyDescent="0.2">
      <c r="B867" s="358"/>
      <c r="C867" s="358"/>
      <c r="D867" s="358"/>
      <c r="E867" s="358"/>
      <c r="F867" s="358"/>
      <c r="G867" s="358"/>
      <c r="H867" s="358"/>
      <c r="J867" s="312"/>
    </row>
    <row r="868" spans="2:10" x14ac:dyDescent="0.2">
      <c r="B868" s="358"/>
      <c r="C868" s="358"/>
      <c r="D868" s="358"/>
      <c r="E868" s="358"/>
      <c r="F868" s="358"/>
      <c r="G868" s="358"/>
      <c r="H868" s="358"/>
      <c r="J868" s="312"/>
    </row>
    <row r="869" spans="2:10" x14ac:dyDescent="0.2">
      <c r="B869" s="358"/>
      <c r="C869" s="358"/>
      <c r="D869" s="358"/>
      <c r="E869" s="358"/>
      <c r="F869" s="358"/>
      <c r="G869" s="358"/>
      <c r="H869" s="358"/>
      <c r="J869" s="312"/>
    </row>
    <row r="870" spans="2:10" x14ac:dyDescent="0.2">
      <c r="B870" s="358"/>
      <c r="C870" s="358"/>
      <c r="D870" s="358"/>
      <c r="E870" s="358"/>
      <c r="F870" s="358"/>
      <c r="G870" s="358"/>
      <c r="H870" s="358"/>
      <c r="J870" s="312"/>
    </row>
    <row r="871" spans="2:10" x14ac:dyDescent="0.2">
      <c r="B871" s="358"/>
      <c r="C871" s="358"/>
      <c r="D871" s="358"/>
      <c r="E871" s="358"/>
      <c r="F871" s="358"/>
      <c r="G871" s="358"/>
      <c r="H871" s="358"/>
      <c r="J871" s="312"/>
    </row>
    <row r="872" spans="2:10" x14ac:dyDescent="0.2">
      <c r="B872" s="358"/>
      <c r="C872" s="358"/>
      <c r="D872" s="358"/>
      <c r="E872" s="358"/>
      <c r="F872" s="358"/>
      <c r="G872" s="358"/>
      <c r="H872" s="358"/>
      <c r="J872" s="312"/>
    </row>
    <row r="873" spans="2:10" x14ac:dyDescent="0.2">
      <c r="B873" s="358"/>
      <c r="C873" s="358"/>
      <c r="D873" s="358"/>
      <c r="E873" s="358"/>
      <c r="F873" s="358"/>
      <c r="G873" s="358"/>
      <c r="H873" s="358"/>
      <c r="J873" s="312"/>
    </row>
    <row r="874" spans="2:10" x14ac:dyDescent="0.2">
      <c r="B874" s="358"/>
      <c r="C874" s="358"/>
      <c r="D874" s="358"/>
      <c r="E874" s="358"/>
      <c r="F874" s="358"/>
      <c r="G874" s="358"/>
      <c r="H874" s="358"/>
      <c r="J874" s="312"/>
    </row>
    <row r="875" spans="2:10" x14ac:dyDescent="0.2">
      <c r="B875" s="358"/>
      <c r="C875" s="358"/>
      <c r="D875" s="358"/>
      <c r="E875" s="358"/>
      <c r="F875" s="358"/>
      <c r="G875" s="358"/>
      <c r="H875" s="358"/>
      <c r="J875" s="312"/>
    </row>
    <row r="876" spans="2:10" x14ac:dyDescent="0.2">
      <c r="B876" s="358"/>
      <c r="C876" s="358"/>
      <c r="D876" s="358"/>
      <c r="E876" s="358"/>
      <c r="F876" s="358"/>
      <c r="G876" s="358"/>
      <c r="H876" s="358"/>
      <c r="J876" s="312"/>
    </row>
    <row r="877" spans="2:10" x14ac:dyDescent="0.2">
      <c r="B877" s="358"/>
      <c r="C877" s="358"/>
      <c r="D877" s="358"/>
      <c r="E877" s="358"/>
      <c r="F877" s="358"/>
      <c r="G877" s="358"/>
      <c r="H877" s="358"/>
      <c r="J877" s="312"/>
    </row>
    <row r="878" spans="2:10" x14ac:dyDescent="0.2">
      <c r="B878" s="358"/>
      <c r="C878" s="358"/>
      <c r="D878" s="358"/>
      <c r="E878" s="358"/>
      <c r="F878" s="358"/>
      <c r="G878" s="358"/>
      <c r="H878" s="358"/>
      <c r="J878" s="312"/>
    </row>
    <row r="879" spans="2:10" x14ac:dyDescent="0.2">
      <c r="B879" s="358"/>
      <c r="C879" s="358"/>
      <c r="D879" s="358"/>
      <c r="E879" s="358"/>
      <c r="F879" s="358"/>
      <c r="G879" s="358"/>
      <c r="H879" s="358"/>
      <c r="J879" s="312"/>
    </row>
    <row r="880" spans="2:10" x14ac:dyDescent="0.2">
      <c r="B880" s="358"/>
      <c r="C880" s="358"/>
      <c r="D880" s="358"/>
      <c r="E880" s="358"/>
      <c r="F880" s="358"/>
      <c r="G880" s="358"/>
      <c r="H880" s="358"/>
      <c r="J880" s="312"/>
    </row>
    <row r="881" spans="2:10" x14ac:dyDescent="0.2">
      <c r="B881" s="358"/>
      <c r="C881" s="358"/>
      <c r="D881" s="358"/>
      <c r="E881" s="358"/>
      <c r="F881" s="358"/>
      <c r="G881" s="358"/>
      <c r="H881" s="358"/>
      <c r="J881" s="312"/>
    </row>
    <row r="882" spans="2:10" x14ac:dyDescent="0.2">
      <c r="B882" s="358"/>
      <c r="C882" s="358"/>
      <c r="D882" s="358"/>
      <c r="E882" s="358"/>
      <c r="F882" s="358"/>
      <c r="G882" s="358"/>
      <c r="H882" s="358"/>
      <c r="J882" s="312"/>
    </row>
    <row r="883" spans="2:10" x14ac:dyDescent="0.2">
      <c r="B883" s="358"/>
      <c r="C883" s="358"/>
      <c r="D883" s="358"/>
      <c r="E883" s="358"/>
      <c r="F883" s="358"/>
      <c r="G883" s="358"/>
      <c r="H883" s="358"/>
      <c r="J883" s="312"/>
    </row>
    <row r="884" spans="2:10" x14ac:dyDescent="0.2">
      <c r="B884" s="358"/>
      <c r="C884" s="358"/>
      <c r="D884" s="358"/>
      <c r="E884" s="358"/>
      <c r="F884" s="358"/>
      <c r="G884" s="358"/>
      <c r="H884" s="358"/>
      <c r="J884" s="312"/>
    </row>
    <row r="885" spans="2:10" x14ac:dyDescent="0.2">
      <c r="B885" s="358"/>
      <c r="C885" s="358"/>
      <c r="D885" s="358"/>
      <c r="E885" s="358"/>
      <c r="F885" s="358"/>
      <c r="G885" s="358"/>
      <c r="H885" s="358"/>
      <c r="J885" s="312"/>
    </row>
    <row r="886" spans="2:10" x14ac:dyDescent="0.2">
      <c r="B886" s="358"/>
      <c r="C886" s="358"/>
      <c r="D886" s="358"/>
      <c r="E886" s="358"/>
      <c r="F886" s="358"/>
      <c r="G886" s="358"/>
      <c r="H886" s="358"/>
      <c r="J886" s="312"/>
    </row>
    <row r="887" spans="2:10" x14ac:dyDescent="0.2">
      <c r="B887" s="358"/>
      <c r="C887" s="358"/>
      <c r="D887" s="358"/>
      <c r="E887" s="358"/>
      <c r="F887" s="358"/>
      <c r="G887" s="358"/>
      <c r="H887" s="358"/>
      <c r="J887" s="312"/>
    </row>
    <row r="888" spans="2:10" x14ac:dyDescent="0.2">
      <c r="B888" s="358"/>
      <c r="C888" s="358"/>
      <c r="D888" s="358"/>
      <c r="E888" s="358"/>
      <c r="F888" s="358"/>
      <c r="G888" s="358"/>
      <c r="H888" s="358"/>
      <c r="J888" s="312"/>
    </row>
    <row r="889" spans="2:10" x14ac:dyDescent="0.2">
      <c r="B889" s="358"/>
      <c r="C889" s="358"/>
      <c r="D889" s="358"/>
      <c r="E889" s="358"/>
      <c r="F889" s="358"/>
      <c r="G889" s="358"/>
      <c r="H889" s="358"/>
      <c r="J889" s="312"/>
    </row>
    <row r="890" spans="2:10" x14ac:dyDescent="0.2">
      <c r="B890" s="358"/>
      <c r="C890" s="358"/>
      <c r="D890" s="358"/>
      <c r="E890" s="358"/>
      <c r="F890" s="358"/>
      <c r="G890" s="358"/>
      <c r="H890" s="358"/>
      <c r="J890" s="312"/>
    </row>
    <row r="891" spans="2:10" x14ac:dyDescent="0.2">
      <c r="B891" s="358"/>
      <c r="C891" s="358"/>
      <c r="D891" s="358"/>
      <c r="E891" s="358"/>
      <c r="F891" s="358"/>
      <c r="G891" s="358"/>
      <c r="H891" s="358"/>
      <c r="J891" s="312"/>
    </row>
    <row r="892" spans="2:10" x14ac:dyDescent="0.2">
      <c r="B892" s="358"/>
      <c r="C892" s="358"/>
      <c r="D892" s="358"/>
      <c r="E892" s="358"/>
      <c r="F892" s="358"/>
      <c r="G892" s="358"/>
      <c r="H892" s="358"/>
      <c r="J892" s="312"/>
    </row>
    <row r="893" spans="2:10" x14ac:dyDescent="0.2">
      <c r="B893" s="358"/>
      <c r="C893" s="358"/>
      <c r="D893" s="358"/>
      <c r="E893" s="358"/>
      <c r="F893" s="358"/>
      <c r="G893" s="358"/>
      <c r="H893" s="358"/>
      <c r="J893" s="312"/>
    </row>
    <row r="894" spans="2:10" x14ac:dyDescent="0.2">
      <c r="B894" s="358"/>
      <c r="C894" s="358"/>
      <c r="D894" s="358"/>
      <c r="E894" s="358"/>
      <c r="F894" s="358"/>
      <c r="G894" s="358"/>
      <c r="H894" s="358"/>
      <c r="J894" s="312"/>
    </row>
    <row r="895" spans="2:10" x14ac:dyDescent="0.2">
      <c r="B895" s="358"/>
      <c r="C895" s="358"/>
      <c r="D895" s="358"/>
      <c r="E895" s="358"/>
      <c r="F895" s="358"/>
      <c r="G895" s="358"/>
      <c r="H895" s="358"/>
      <c r="J895" s="312"/>
    </row>
    <row r="896" spans="2:10" x14ac:dyDescent="0.2">
      <c r="B896" s="358"/>
      <c r="C896" s="358"/>
      <c r="D896" s="358"/>
      <c r="E896" s="358"/>
      <c r="F896" s="358"/>
      <c r="G896" s="358"/>
      <c r="H896" s="358"/>
      <c r="J896" s="312"/>
    </row>
    <row r="897" spans="2:10" x14ac:dyDescent="0.2">
      <c r="B897" s="358"/>
      <c r="C897" s="358"/>
      <c r="D897" s="358"/>
      <c r="E897" s="358"/>
      <c r="F897" s="358"/>
      <c r="G897" s="358"/>
      <c r="H897" s="358"/>
      <c r="J897" s="312"/>
    </row>
    <row r="898" spans="2:10" x14ac:dyDescent="0.2">
      <c r="B898" s="358"/>
      <c r="C898" s="358"/>
      <c r="D898" s="358"/>
      <c r="E898" s="358"/>
      <c r="F898" s="358"/>
      <c r="G898" s="358"/>
      <c r="H898" s="358"/>
      <c r="J898" s="312"/>
    </row>
    <row r="899" spans="2:10" x14ac:dyDescent="0.2">
      <c r="B899" s="358"/>
      <c r="C899" s="358"/>
      <c r="D899" s="358"/>
      <c r="E899" s="358"/>
      <c r="F899" s="358"/>
      <c r="G899" s="358"/>
      <c r="H899" s="358"/>
      <c r="J899" s="312"/>
    </row>
    <row r="900" spans="2:10" x14ac:dyDescent="0.2">
      <c r="B900" s="358"/>
      <c r="C900" s="358"/>
      <c r="D900" s="358"/>
      <c r="E900" s="358"/>
      <c r="F900" s="358"/>
      <c r="G900" s="358"/>
      <c r="H900" s="358"/>
      <c r="J900" s="312"/>
    </row>
    <row r="901" spans="2:10" x14ac:dyDescent="0.2">
      <c r="B901" s="358"/>
      <c r="C901" s="358"/>
      <c r="D901" s="358"/>
      <c r="E901" s="358"/>
      <c r="F901" s="358"/>
      <c r="G901" s="358"/>
      <c r="H901" s="358"/>
      <c r="J901" s="312"/>
    </row>
    <row r="902" spans="2:10" x14ac:dyDescent="0.2">
      <c r="B902" s="358"/>
      <c r="C902" s="358"/>
      <c r="D902" s="358"/>
      <c r="E902" s="358"/>
      <c r="F902" s="358"/>
      <c r="G902" s="358"/>
      <c r="H902" s="358"/>
      <c r="J902" s="312"/>
    </row>
    <row r="903" spans="2:10" x14ac:dyDescent="0.2">
      <c r="B903" s="358"/>
      <c r="C903" s="358"/>
      <c r="D903" s="358"/>
      <c r="E903" s="358"/>
      <c r="F903" s="358"/>
      <c r="G903" s="358"/>
      <c r="H903" s="358"/>
      <c r="J903" s="312"/>
    </row>
    <row r="904" spans="2:10" x14ac:dyDescent="0.2">
      <c r="B904" s="358"/>
      <c r="C904" s="358"/>
      <c r="D904" s="358"/>
      <c r="E904" s="358"/>
      <c r="F904" s="358"/>
      <c r="G904" s="358"/>
      <c r="H904" s="358"/>
      <c r="J904" s="312"/>
    </row>
    <row r="905" spans="2:10" x14ac:dyDescent="0.2">
      <c r="B905" s="358"/>
      <c r="C905" s="358"/>
      <c r="D905" s="358"/>
      <c r="E905" s="358"/>
      <c r="F905" s="358"/>
      <c r="G905" s="358"/>
      <c r="H905" s="358"/>
      <c r="J905" s="312"/>
    </row>
    <row r="906" spans="2:10" x14ac:dyDescent="0.2">
      <c r="B906" s="358"/>
      <c r="C906" s="358"/>
      <c r="D906" s="358"/>
      <c r="E906" s="358"/>
      <c r="F906" s="358"/>
      <c r="G906" s="358"/>
      <c r="H906" s="358"/>
      <c r="J906" s="312"/>
    </row>
    <row r="907" spans="2:10" x14ac:dyDescent="0.2">
      <c r="B907" s="358"/>
      <c r="C907" s="358"/>
      <c r="D907" s="358"/>
      <c r="E907" s="358"/>
      <c r="F907" s="358"/>
      <c r="G907" s="358"/>
      <c r="H907" s="358"/>
      <c r="J907" s="312"/>
    </row>
    <row r="908" spans="2:10" x14ac:dyDescent="0.2">
      <c r="B908" s="358"/>
      <c r="C908" s="358"/>
      <c r="D908" s="358"/>
      <c r="E908" s="358"/>
      <c r="F908" s="358"/>
      <c r="G908" s="358"/>
      <c r="H908" s="358"/>
      <c r="J908" s="312"/>
    </row>
    <row r="909" spans="2:10" x14ac:dyDescent="0.2">
      <c r="B909" s="358"/>
      <c r="C909" s="358"/>
      <c r="D909" s="358"/>
      <c r="E909" s="358"/>
      <c r="F909" s="358"/>
      <c r="G909" s="358"/>
      <c r="H909" s="358"/>
      <c r="J909" s="312"/>
    </row>
    <row r="910" spans="2:10" x14ac:dyDescent="0.2">
      <c r="B910" s="358"/>
      <c r="C910" s="358"/>
      <c r="D910" s="358"/>
      <c r="E910" s="358"/>
      <c r="F910" s="358"/>
      <c r="G910" s="358"/>
      <c r="H910" s="358"/>
      <c r="J910" s="312"/>
    </row>
    <row r="911" spans="2:10" x14ac:dyDescent="0.2">
      <c r="B911" s="358"/>
      <c r="C911" s="358"/>
      <c r="D911" s="358"/>
      <c r="E911" s="358"/>
      <c r="F911" s="358"/>
      <c r="G911" s="358"/>
      <c r="H911" s="358"/>
      <c r="J911" s="312"/>
    </row>
    <row r="912" spans="2:10" x14ac:dyDescent="0.2">
      <c r="B912" s="358"/>
      <c r="C912" s="358"/>
      <c r="D912" s="358"/>
      <c r="E912" s="358"/>
      <c r="F912" s="358"/>
      <c r="G912" s="358"/>
      <c r="H912" s="358"/>
      <c r="J912" s="312"/>
    </row>
    <row r="913" spans="2:10" x14ac:dyDescent="0.2">
      <c r="B913" s="358"/>
      <c r="C913" s="358"/>
      <c r="D913" s="358"/>
      <c r="E913" s="358"/>
      <c r="F913" s="358"/>
      <c r="G913" s="358"/>
      <c r="H913" s="358"/>
      <c r="J913" s="312"/>
    </row>
    <row r="914" spans="2:10" x14ac:dyDescent="0.2">
      <c r="B914" s="358"/>
      <c r="C914" s="358"/>
      <c r="D914" s="358"/>
      <c r="E914" s="358"/>
      <c r="F914" s="358"/>
      <c r="G914" s="358"/>
      <c r="H914" s="358"/>
      <c r="J914" s="312"/>
    </row>
    <row r="915" spans="2:10" x14ac:dyDescent="0.2">
      <c r="B915" s="358"/>
      <c r="C915" s="358"/>
      <c r="D915" s="358"/>
      <c r="E915" s="358"/>
      <c r="F915" s="358"/>
      <c r="G915" s="358"/>
      <c r="H915" s="358"/>
      <c r="J915" s="312"/>
    </row>
    <row r="916" spans="2:10" x14ac:dyDescent="0.2">
      <c r="B916" s="358"/>
      <c r="C916" s="358"/>
      <c r="D916" s="358"/>
      <c r="E916" s="358"/>
      <c r="F916" s="358"/>
      <c r="G916" s="358"/>
      <c r="H916" s="358"/>
      <c r="J916" s="312"/>
    </row>
    <row r="917" spans="2:10" x14ac:dyDescent="0.2">
      <c r="B917" s="358"/>
      <c r="C917" s="358"/>
      <c r="D917" s="358"/>
      <c r="E917" s="358"/>
      <c r="F917" s="358"/>
      <c r="G917" s="358"/>
      <c r="H917" s="358"/>
      <c r="J917" s="312"/>
    </row>
    <row r="918" spans="2:10" x14ac:dyDescent="0.2">
      <c r="B918" s="358"/>
      <c r="C918" s="358"/>
      <c r="D918" s="358"/>
      <c r="E918" s="358"/>
      <c r="F918" s="358"/>
      <c r="G918" s="358"/>
      <c r="H918" s="358"/>
      <c r="J918" s="312"/>
    </row>
    <row r="919" spans="2:10" x14ac:dyDescent="0.2">
      <c r="B919" s="358"/>
      <c r="C919" s="358"/>
      <c r="D919" s="358"/>
      <c r="E919" s="358"/>
      <c r="F919" s="358"/>
      <c r="G919" s="358"/>
      <c r="H919" s="358"/>
      <c r="J919" s="312"/>
    </row>
    <row r="920" spans="2:10" x14ac:dyDescent="0.2">
      <c r="B920" s="358"/>
      <c r="C920" s="358"/>
      <c r="D920" s="358"/>
      <c r="E920" s="358"/>
      <c r="F920" s="358"/>
      <c r="G920" s="358"/>
      <c r="H920" s="358"/>
      <c r="J920" s="312"/>
    </row>
    <row r="921" spans="2:10" x14ac:dyDescent="0.2">
      <c r="B921" s="358"/>
      <c r="C921" s="358"/>
      <c r="D921" s="358"/>
      <c r="E921" s="358"/>
      <c r="F921" s="358"/>
      <c r="G921" s="358"/>
      <c r="H921" s="358"/>
      <c r="J921" s="312"/>
    </row>
    <row r="922" spans="2:10" x14ac:dyDescent="0.2">
      <c r="B922" s="358"/>
      <c r="C922" s="358"/>
      <c r="D922" s="358"/>
      <c r="E922" s="358"/>
      <c r="F922" s="358"/>
      <c r="G922" s="358"/>
      <c r="H922" s="358"/>
      <c r="J922" s="312"/>
    </row>
    <row r="923" spans="2:10" x14ac:dyDescent="0.2">
      <c r="B923" s="358"/>
      <c r="C923" s="358"/>
      <c r="D923" s="358"/>
      <c r="E923" s="358"/>
      <c r="F923" s="358"/>
      <c r="G923" s="358"/>
      <c r="H923" s="358"/>
      <c r="J923" s="312"/>
    </row>
    <row r="924" spans="2:10" x14ac:dyDescent="0.2">
      <c r="B924" s="358"/>
      <c r="C924" s="358"/>
      <c r="D924" s="358"/>
      <c r="E924" s="358"/>
      <c r="F924" s="358"/>
      <c r="G924" s="358"/>
      <c r="H924" s="358"/>
      <c r="J924" s="312"/>
    </row>
    <row r="925" spans="2:10" x14ac:dyDescent="0.2">
      <c r="B925" s="358"/>
      <c r="C925" s="358"/>
      <c r="D925" s="358"/>
      <c r="E925" s="358"/>
      <c r="F925" s="358"/>
      <c r="G925" s="358"/>
      <c r="H925" s="358"/>
      <c r="J925" s="312"/>
    </row>
    <row r="926" spans="2:10" x14ac:dyDescent="0.2">
      <c r="B926" s="358"/>
      <c r="C926" s="358"/>
      <c r="D926" s="358"/>
      <c r="E926" s="358"/>
      <c r="F926" s="358"/>
      <c r="G926" s="358"/>
      <c r="H926" s="358"/>
      <c r="J926" s="312"/>
    </row>
    <row r="927" spans="2:10" x14ac:dyDescent="0.2">
      <c r="B927" s="358"/>
      <c r="C927" s="358"/>
      <c r="D927" s="358"/>
      <c r="E927" s="358"/>
      <c r="F927" s="358"/>
      <c r="G927" s="358"/>
      <c r="H927" s="358"/>
      <c r="J927" s="312"/>
    </row>
    <row r="928" spans="2:10" x14ac:dyDescent="0.2">
      <c r="B928" s="358"/>
      <c r="C928" s="358"/>
      <c r="D928" s="358"/>
      <c r="E928" s="358"/>
      <c r="F928" s="358"/>
      <c r="G928" s="358"/>
      <c r="H928" s="358"/>
      <c r="J928" s="312"/>
    </row>
    <row r="929" spans="2:10" x14ac:dyDescent="0.2">
      <c r="B929" s="358"/>
      <c r="C929" s="358"/>
      <c r="D929" s="358"/>
      <c r="E929" s="358"/>
      <c r="F929" s="358"/>
      <c r="G929" s="358"/>
      <c r="H929" s="358"/>
      <c r="J929" s="312"/>
    </row>
    <row r="930" spans="2:10" x14ac:dyDescent="0.2">
      <c r="B930" s="358"/>
      <c r="C930" s="358"/>
      <c r="D930" s="358"/>
      <c r="E930" s="358"/>
      <c r="F930" s="358"/>
      <c r="G930" s="358"/>
      <c r="H930" s="358"/>
      <c r="J930" s="312"/>
    </row>
    <row r="931" spans="2:10" x14ac:dyDescent="0.2">
      <c r="B931" s="358"/>
      <c r="C931" s="358"/>
      <c r="D931" s="358"/>
      <c r="E931" s="358"/>
      <c r="F931" s="358"/>
      <c r="G931" s="358"/>
      <c r="H931" s="358"/>
      <c r="J931" s="312"/>
    </row>
    <row r="932" spans="2:10" x14ac:dyDescent="0.2">
      <c r="B932" s="358"/>
      <c r="C932" s="358"/>
      <c r="D932" s="358"/>
      <c r="E932" s="358"/>
      <c r="F932" s="358"/>
      <c r="G932" s="358"/>
      <c r="H932" s="358"/>
      <c r="J932" s="312"/>
    </row>
    <row r="933" spans="2:10" x14ac:dyDescent="0.2">
      <c r="B933" s="358"/>
      <c r="C933" s="358"/>
      <c r="D933" s="358"/>
      <c r="E933" s="358"/>
      <c r="F933" s="358"/>
      <c r="G933" s="358"/>
      <c r="H933" s="358"/>
      <c r="J933" s="312"/>
    </row>
    <row r="934" spans="2:10" x14ac:dyDescent="0.2">
      <c r="B934" s="358"/>
      <c r="C934" s="358"/>
      <c r="D934" s="358"/>
      <c r="E934" s="358"/>
      <c r="F934" s="358"/>
      <c r="G934" s="358"/>
      <c r="H934" s="358"/>
      <c r="J934" s="312"/>
    </row>
    <row r="935" spans="2:10" x14ac:dyDescent="0.2">
      <c r="B935" s="358"/>
      <c r="C935" s="358"/>
      <c r="D935" s="358"/>
      <c r="E935" s="358"/>
      <c r="F935" s="358"/>
      <c r="G935" s="358"/>
      <c r="H935" s="358"/>
      <c r="J935" s="312"/>
    </row>
    <row r="936" spans="2:10" x14ac:dyDescent="0.2">
      <c r="B936" s="358"/>
      <c r="C936" s="358"/>
      <c r="D936" s="358"/>
      <c r="E936" s="358"/>
      <c r="F936" s="358"/>
      <c r="G936" s="358"/>
      <c r="H936" s="358"/>
      <c r="J936" s="312"/>
    </row>
    <row r="937" spans="2:10" x14ac:dyDescent="0.2">
      <c r="B937" s="358"/>
      <c r="C937" s="358"/>
      <c r="D937" s="358"/>
      <c r="E937" s="358"/>
      <c r="F937" s="358"/>
      <c r="G937" s="358"/>
      <c r="H937" s="358"/>
      <c r="J937" s="312"/>
    </row>
    <row r="938" spans="2:10" x14ac:dyDescent="0.2">
      <c r="B938" s="358"/>
      <c r="C938" s="358"/>
      <c r="D938" s="358"/>
      <c r="E938" s="358"/>
      <c r="F938" s="358"/>
      <c r="G938" s="358"/>
      <c r="H938" s="358"/>
      <c r="J938" s="312"/>
    </row>
    <row r="939" spans="2:10" x14ac:dyDescent="0.2">
      <c r="B939" s="358"/>
      <c r="C939" s="358"/>
      <c r="D939" s="358"/>
      <c r="E939" s="358"/>
      <c r="F939" s="358"/>
      <c r="G939" s="358"/>
      <c r="H939" s="358"/>
      <c r="J939" s="312"/>
    </row>
    <row r="940" spans="2:10" x14ac:dyDescent="0.2">
      <c r="B940" s="358"/>
      <c r="C940" s="358"/>
      <c r="D940" s="358"/>
      <c r="E940" s="358"/>
      <c r="F940" s="358"/>
      <c r="G940" s="358"/>
      <c r="H940" s="358"/>
      <c r="J940" s="312"/>
    </row>
    <row r="941" spans="2:10" x14ac:dyDescent="0.2">
      <c r="B941" s="358"/>
      <c r="C941" s="358"/>
      <c r="D941" s="358"/>
      <c r="E941" s="358"/>
      <c r="F941" s="358"/>
      <c r="G941" s="358"/>
      <c r="H941" s="358"/>
      <c r="J941" s="312"/>
    </row>
    <row r="942" spans="2:10" x14ac:dyDescent="0.2">
      <c r="B942" s="358"/>
      <c r="C942" s="358"/>
      <c r="D942" s="358"/>
      <c r="E942" s="358"/>
      <c r="F942" s="358"/>
      <c r="G942" s="358"/>
      <c r="H942" s="358"/>
      <c r="J942" s="312"/>
    </row>
    <row r="943" spans="2:10" x14ac:dyDescent="0.2">
      <c r="B943" s="358"/>
      <c r="C943" s="358"/>
      <c r="D943" s="358"/>
      <c r="E943" s="358"/>
      <c r="F943" s="358"/>
      <c r="G943" s="358"/>
      <c r="H943" s="358"/>
      <c r="J943" s="312"/>
    </row>
    <row r="944" spans="2:10" x14ac:dyDescent="0.2">
      <c r="B944" s="358"/>
      <c r="C944" s="358"/>
      <c r="D944" s="358"/>
      <c r="E944" s="358"/>
      <c r="F944" s="358"/>
      <c r="G944" s="358"/>
      <c r="H944" s="358"/>
      <c r="J944" s="312"/>
    </row>
    <row r="945" spans="2:10" x14ac:dyDescent="0.2">
      <c r="B945" s="358"/>
      <c r="C945" s="358"/>
      <c r="D945" s="358"/>
      <c r="E945" s="358"/>
      <c r="F945" s="358"/>
      <c r="G945" s="358"/>
      <c r="H945" s="358"/>
      <c r="J945" s="312"/>
    </row>
    <row r="946" spans="2:10" x14ac:dyDescent="0.2">
      <c r="B946" s="358"/>
      <c r="C946" s="358"/>
      <c r="D946" s="358"/>
      <c r="E946" s="358"/>
      <c r="F946" s="358"/>
      <c r="G946" s="358"/>
      <c r="H946" s="358"/>
      <c r="J946" s="312"/>
    </row>
    <row r="947" spans="2:10" x14ac:dyDescent="0.2">
      <c r="B947" s="358"/>
      <c r="C947" s="358"/>
      <c r="D947" s="358"/>
      <c r="E947" s="358"/>
      <c r="F947" s="358"/>
      <c r="G947" s="358"/>
      <c r="H947" s="358"/>
      <c r="J947" s="312"/>
    </row>
    <row r="948" spans="2:10" x14ac:dyDescent="0.2">
      <c r="B948" s="358"/>
      <c r="C948" s="358"/>
      <c r="D948" s="358"/>
      <c r="E948" s="358"/>
      <c r="F948" s="358"/>
      <c r="G948" s="358"/>
      <c r="H948" s="358"/>
      <c r="J948" s="312"/>
    </row>
    <row r="949" spans="2:10" x14ac:dyDescent="0.2">
      <c r="B949" s="358"/>
      <c r="C949" s="358"/>
      <c r="D949" s="358"/>
      <c r="E949" s="358"/>
      <c r="F949" s="358"/>
      <c r="G949" s="358"/>
      <c r="H949" s="358"/>
      <c r="J949" s="312"/>
    </row>
    <row r="950" spans="2:10" x14ac:dyDescent="0.2">
      <c r="B950" s="358"/>
      <c r="C950" s="358"/>
      <c r="D950" s="358"/>
      <c r="E950" s="358"/>
      <c r="F950" s="358"/>
      <c r="G950" s="358"/>
      <c r="H950" s="358"/>
      <c r="J950" s="312"/>
    </row>
    <row r="951" spans="2:10" x14ac:dyDescent="0.2">
      <c r="B951" s="358"/>
      <c r="C951" s="358"/>
      <c r="D951" s="358"/>
      <c r="E951" s="358"/>
      <c r="F951" s="358"/>
      <c r="G951" s="358"/>
      <c r="H951" s="358"/>
      <c r="J951" s="312"/>
    </row>
    <row r="952" spans="2:10" x14ac:dyDescent="0.2">
      <c r="B952" s="358"/>
      <c r="C952" s="358"/>
      <c r="D952" s="358"/>
      <c r="E952" s="358"/>
      <c r="F952" s="358"/>
      <c r="G952" s="358"/>
      <c r="H952" s="358"/>
      <c r="J952" s="312"/>
    </row>
    <row r="953" spans="2:10" x14ac:dyDescent="0.2">
      <c r="B953" s="358"/>
      <c r="C953" s="358"/>
      <c r="D953" s="358"/>
      <c r="E953" s="358"/>
      <c r="F953" s="358"/>
      <c r="G953" s="358"/>
      <c r="H953" s="358"/>
      <c r="J953" s="312"/>
    </row>
    <row r="954" spans="2:10" x14ac:dyDescent="0.2">
      <c r="B954" s="358"/>
      <c r="C954" s="358"/>
      <c r="D954" s="358"/>
      <c r="E954" s="358"/>
      <c r="F954" s="358"/>
      <c r="G954" s="358"/>
      <c r="H954" s="358"/>
      <c r="J954" s="312"/>
    </row>
    <row r="955" spans="2:10" x14ac:dyDescent="0.2">
      <c r="B955" s="358"/>
      <c r="C955" s="358"/>
      <c r="D955" s="358"/>
      <c r="E955" s="358"/>
      <c r="F955" s="358"/>
      <c r="G955" s="358"/>
      <c r="H955" s="358"/>
      <c r="J955" s="312"/>
    </row>
    <row r="956" spans="2:10" x14ac:dyDescent="0.2">
      <c r="B956" s="358"/>
      <c r="C956" s="358"/>
      <c r="D956" s="358"/>
      <c r="E956" s="358"/>
      <c r="F956" s="358"/>
      <c r="G956" s="358"/>
      <c r="H956" s="358"/>
      <c r="J956" s="312"/>
    </row>
    <row r="957" spans="2:10" x14ac:dyDescent="0.2">
      <c r="B957" s="358"/>
      <c r="C957" s="358"/>
      <c r="D957" s="358"/>
      <c r="E957" s="358"/>
      <c r="F957" s="358"/>
      <c r="G957" s="358"/>
      <c r="H957" s="358"/>
      <c r="J957" s="312"/>
    </row>
    <row r="958" spans="2:10" x14ac:dyDescent="0.2">
      <c r="B958" s="358"/>
      <c r="C958" s="358"/>
      <c r="D958" s="358"/>
      <c r="E958" s="358"/>
      <c r="F958" s="358"/>
      <c r="G958" s="358"/>
      <c r="H958" s="358"/>
      <c r="J958" s="312"/>
    </row>
    <row r="959" spans="2:10" x14ac:dyDescent="0.2">
      <c r="B959" s="358"/>
      <c r="C959" s="358"/>
      <c r="D959" s="358"/>
      <c r="E959" s="358"/>
      <c r="F959" s="358"/>
      <c r="G959" s="358"/>
      <c r="H959" s="358"/>
      <c r="J959" s="312"/>
    </row>
    <row r="960" spans="2:10" x14ac:dyDescent="0.2">
      <c r="B960" s="358"/>
      <c r="C960" s="358"/>
      <c r="D960" s="358"/>
      <c r="E960" s="358"/>
      <c r="F960" s="358"/>
      <c r="G960" s="358"/>
      <c r="H960" s="358"/>
      <c r="J960" s="312"/>
    </row>
    <row r="961" spans="2:10" x14ac:dyDescent="0.2">
      <c r="B961" s="358"/>
      <c r="C961" s="358"/>
      <c r="D961" s="358"/>
      <c r="E961" s="358"/>
      <c r="F961" s="358"/>
      <c r="G961" s="358"/>
      <c r="H961" s="358"/>
      <c r="J961" s="312"/>
    </row>
    <row r="962" spans="2:10" x14ac:dyDescent="0.2">
      <c r="B962" s="358"/>
      <c r="C962" s="358"/>
      <c r="D962" s="358"/>
      <c r="E962" s="358"/>
      <c r="F962" s="358"/>
      <c r="G962" s="358"/>
      <c r="H962" s="358"/>
      <c r="J962" s="312"/>
    </row>
    <row r="963" spans="2:10" x14ac:dyDescent="0.2">
      <c r="B963" s="358"/>
      <c r="C963" s="358"/>
      <c r="D963" s="358"/>
      <c r="E963" s="358"/>
      <c r="F963" s="358"/>
      <c r="G963" s="358"/>
      <c r="H963" s="358"/>
      <c r="J963" s="312"/>
    </row>
    <row r="964" spans="2:10" x14ac:dyDescent="0.2">
      <c r="B964" s="358"/>
      <c r="C964" s="358"/>
      <c r="D964" s="358"/>
      <c r="E964" s="358"/>
      <c r="F964" s="358"/>
      <c r="G964" s="358"/>
      <c r="H964" s="358"/>
      <c r="J964" s="312"/>
    </row>
    <row r="965" spans="2:10" x14ac:dyDescent="0.2">
      <c r="B965" s="358"/>
      <c r="C965" s="358"/>
      <c r="D965" s="358"/>
      <c r="E965" s="358"/>
      <c r="F965" s="358"/>
      <c r="G965" s="358"/>
      <c r="H965" s="358"/>
      <c r="J965" s="312"/>
    </row>
    <row r="966" spans="2:10" x14ac:dyDescent="0.2">
      <c r="B966" s="358"/>
      <c r="C966" s="358"/>
      <c r="D966" s="358"/>
      <c r="E966" s="358"/>
      <c r="F966" s="358"/>
      <c r="G966" s="358"/>
      <c r="H966" s="358"/>
      <c r="J966" s="312"/>
    </row>
    <row r="967" spans="2:10" x14ac:dyDescent="0.2">
      <c r="B967" s="358"/>
      <c r="C967" s="358"/>
      <c r="D967" s="358"/>
      <c r="E967" s="358"/>
      <c r="F967" s="358"/>
      <c r="G967" s="358"/>
      <c r="H967" s="358"/>
      <c r="J967" s="312"/>
    </row>
    <row r="968" spans="2:10" x14ac:dyDescent="0.2">
      <c r="B968" s="358"/>
      <c r="C968" s="358"/>
      <c r="D968" s="358"/>
      <c r="E968" s="358"/>
      <c r="F968" s="358"/>
      <c r="G968" s="358"/>
      <c r="H968" s="358"/>
      <c r="J968" s="312"/>
    </row>
    <row r="969" spans="2:10" x14ac:dyDescent="0.2">
      <c r="B969" s="358"/>
      <c r="C969" s="358"/>
      <c r="D969" s="358"/>
      <c r="E969" s="358"/>
      <c r="F969" s="358"/>
      <c r="G969" s="358"/>
      <c r="H969" s="358"/>
      <c r="J969" s="312"/>
    </row>
    <row r="970" spans="2:10" x14ac:dyDescent="0.2">
      <c r="B970" s="358"/>
      <c r="C970" s="358"/>
      <c r="D970" s="358"/>
      <c r="E970" s="358"/>
      <c r="F970" s="358"/>
      <c r="G970" s="358"/>
      <c r="H970" s="358"/>
      <c r="J970" s="312"/>
    </row>
    <row r="971" spans="2:10" x14ac:dyDescent="0.2">
      <c r="B971" s="358"/>
      <c r="C971" s="358"/>
      <c r="D971" s="358"/>
      <c r="E971" s="358"/>
      <c r="F971" s="358"/>
      <c r="G971" s="358"/>
      <c r="H971" s="358"/>
      <c r="J971" s="312"/>
    </row>
    <row r="972" spans="2:10" x14ac:dyDescent="0.2">
      <c r="B972" s="358"/>
      <c r="C972" s="358"/>
      <c r="D972" s="358"/>
      <c r="E972" s="358"/>
      <c r="F972" s="358"/>
      <c r="G972" s="358"/>
      <c r="H972" s="358"/>
      <c r="J972" s="312"/>
    </row>
    <row r="973" spans="2:10" x14ac:dyDescent="0.2">
      <c r="B973" s="358"/>
      <c r="C973" s="358"/>
      <c r="D973" s="358"/>
      <c r="E973" s="358"/>
      <c r="F973" s="358"/>
      <c r="G973" s="358"/>
      <c r="H973" s="358"/>
      <c r="J973" s="312"/>
    </row>
    <row r="974" spans="2:10" x14ac:dyDescent="0.2">
      <c r="B974" s="358"/>
      <c r="C974" s="358"/>
      <c r="D974" s="358"/>
      <c r="E974" s="358"/>
      <c r="F974" s="358"/>
      <c r="G974" s="358"/>
      <c r="H974" s="358"/>
      <c r="J974" s="312"/>
    </row>
    <row r="975" spans="2:10" x14ac:dyDescent="0.2">
      <c r="B975" s="358"/>
      <c r="C975" s="358"/>
      <c r="D975" s="358"/>
      <c r="E975" s="358"/>
      <c r="F975" s="358"/>
      <c r="G975" s="358"/>
      <c r="H975" s="358"/>
      <c r="J975" s="312"/>
    </row>
    <row r="976" spans="2:10" x14ac:dyDescent="0.2">
      <c r="B976" s="358"/>
      <c r="C976" s="358"/>
      <c r="D976" s="358"/>
      <c r="E976" s="358"/>
      <c r="F976" s="358"/>
      <c r="G976" s="358"/>
      <c r="H976" s="358"/>
      <c r="J976" s="312"/>
    </row>
    <row r="977" spans="2:10" x14ac:dyDescent="0.2">
      <c r="B977" s="358"/>
      <c r="C977" s="358"/>
      <c r="D977" s="358"/>
      <c r="E977" s="358"/>
      <c r="F977" s="358"/>
      <c r="G977" s="358"/>
      <c r="H977" s="358"/>
      <c r="J977" s="312"/>
    </row>
    <row r="978" spans="2:10" x14ac:dyDescent="0.2">
      <c r="B978" s="358"/>
      <c r="C978" s="358"/>
      <c r="D978" s="358"/>
      <c r="E978" s="358"/>
      <c r="F978" s="358"/>
      <c r="G978" s="358"/>
      <c r="H978" s="358"/>
      <c r="J978" s="312"/>
    </row>
    <row r="979" spans="2:10" x14ac:dyDescent="0.2">
      <c r="B979" s="358"/>
      <c r="C979" s="358"/>
      <c r="D979" s="358"/>
      <c r="E979" s="358"/>
      <c r="F979" s="358"/>
      <c r="G979" s="358"/>
      <c r="H979" s="358"/>
      <c r="J979" s="312"/>
    </row>
    <row r="980" spans="2:10" x14ac:dyDescent="0.2">
      <c r="B980" s="358"/>
      <c r="C980" s="358"/>
      <c r="D980" s="358"/>
      <c r="E980" s="358"/>
      <c r="F980" s="358"/>
      <c r="G980" s="358"/>
      <c r="H980" s="358"/>
      <c r="J980" s="312"/>
    </row>
    <row r="981" spans="2:10" x14ac:dyDescent="0.2">
      <c r="B981" s="358"/>
      <c r="C981" s="358"/>
      <c r="D981" s="358"/>
      <c r="E981" s="358"/>
      <c r="F981" s="358"/>
      <c r="G981" s="358"/>
      <c r="H981" s="358"/>
      <c r="J981" s="312"/>
    </row>
    <row r="982" spans="2:10" x14ac:dyDescent="0.2">
      <c r="B982" s="358"/>
      <c r="C982" s="358"/>
      <c r="D982" s="358"/>
      <c r="E982" s="358"/>
      <c r="F982" s="358"/>
      <c r="G982" s="358"/>
      <c r="H982" s="358"/>
      <c r="J982" s="312"/>
    </row>
    <row r="983" spans="2:10" x14ac:dyDescent="0.2">
      <c r="B983" s="358"/>
      <c r="C983" s="358"/>
      <c r="D983" s="358"/>
      <c r="E983" s="358"/>
      <c r="F983" s="358"/>
      <c r="G983" s="358"/>
      <c r="H983" s="358"/>
      <c r="J983" s="312"/>
    </row>
    <row r="984" spans="2:10" x14ac:dyDescent="0.2">
      <c r="B984" s="358"/>
      <c r="C984" s="358"/>
      <c r="D984" s="358"/>
      <c r="E984" s="358"/>
      <c r="F984" s="358"/>
      <c r="G984" s="358"/>
      <c r="H984" s="358"/>
      <c r="J984" s="312"/>
    </row>
    <row r="985" spans="2:10" x14ac:dyDescent="0.2">
      <c r="B985" s="358"/>
      <c r="C985" s="358"/>
      <c r="D985" s="358"/>
      <c r="E985" s="358"/>
      <c r="F985" s="358"/>
      <c r="G985" s="358"/>
      <c r="H985" s="358"/>
      <c r="J985" s="312"/>
    </row>
    <row r="986" spans="2:10" x14ac:dyDescent="0.2">
      <c r="B986" s="358"/>
      <c r="C986" s="358"/>
      <c r="D986" s="358"/>
      <c r="E986" s="358"/>
      <c r="F986" s="358"/>
      <c r="G986" s="358"/>
      <c r="H986" s="358"/>
      <c r="J986" s="312"/>
    </row>
    <row r="987" spans="2:10" x14ac:dyDescent="0.2">
      <c r="B987" s="358"/>
      <c r="C987" s="358"/>
      <c r="D987" s="358"/>
      <c r="E987" s="358"/>
      <c r="F987" s="358"/>
      <c r="G987" s="358"/>
      <c r="H987" s="358"/>
      <c r="J987" s="312"/>
    </row>
    <row r="988" spans="2:10" x14ac:dyDescent="0.2">
      <c r="B988" s="358"/>
      <c r="C988" s="358"/>
      <c r="D988" s="358"/>
      <c r="E988" s="358"/>
      <c r="F988" s="358"/>
      <c r="G988" s="358"/>
      <c r="H988" s="358"/>
      <c r="J988" s="312"/>
    </row>
    <row r="989" spans="2:10" x14ac:dyDescent="0.2">
      <c r="B989" s="358"/>
      <c r="C989" s="358"/>
      <c r="D989" s="358"/>
      <c r="E989" s="358"/>
      <c r="F989" s="358"/>
      <c r="G989" s="358"/>
      <c r="H989" s="358"/>
      <c r="J989" s="312"/>
    </row>
    <row r="990" spans="2:10" x14ac:dyDescent="0.2">
      <c r="B990" s="358"/>
      <c r="C990" s="358"/>
      <c r="D990" s="358"/>
      <c r="E990" s="358"/>
      <c r="F990" s="358"/>
      <c r="G990" s="358"/>
      <c r="H990" s="358"/>
      <c r="J990" s="312"/>
    </row>
    <row r="991" spans="2:10" x14ac:dyDescent="0.2">
      <c r="B991" s="358"/>
      <c r="C991" s="358"/>
      <c r="D991" s="358"/>
      <c r="E991" s="358"/>
      <c r="F991" s="358"/>
      <c r="G991" s="358"/>
      <c r="H991" s="358"/>
      <c r="J991" s="312"/>
    </row>
    <row r="992" spans="2:10" x14ac:dyDescent="0.2">
      <c r="B992" s="358"/>
      <c r="C992" s="358"/>
      <c r="D992" s="358"/>
      <c r="E992" s="358"/>
      <c r="F992" s="358"/>
      <c r="G992" s="358"/>
      <c r="H992" s="358"/>
      <c r="J992" s="312"/>
    </row>
    <row r="993" spans="2:10" x14ac:dyDescent="0.2">
      <c r="B993" s="358"/>
      <c r="C993" s="358"/>
      <c r="D993" s="358"/>
      <c r="E993" s="358"/>
      <c r="F993" s="358"/>
      <c r="G993" s="358"/>
      <c r="H993" s="358"/>
      <c r="J993" s="312"/>
    </row>
    <row r="994" spans="2:10" x14ac:dyDescent="0.2">
      <c r="B994" s="358"/>
      <c r="C994" s="358"/>
      <c r="D994" s="358"/>
      <c r="E994" s="358"/>
      <c r="F994" s="358"/>
      <c r="G994" s="358"/>
      <c r="H994" s="358"/>
      <c r="J994" s="312"/>
    </row>
    <row r="995" spans="2:10" x14ac:dyDescent="0.2">
      <c r="B995" s="358"/>
      <c r="C995" s="358"/>
      <c r="D995" s="358"/>
      <c r="E995" s="358"/>
      <c r="F995" s="358"/>
      <c r="G995" s="358"/>
      <c r="H995" s="358"/>
      <c r="J995" s="312"/>
    </row>
    <row r="996" spans="2:10" x14ac:dyDescent="0.2">
      <c r="B996" s="358"/>
      <c r="C996" s="358"/>
      <c r="D996" s="358"/>
      <c r="E996" s="358"/>
      <c r="F996" s="358"/>
      <c r="G996" s="358"/>
      <c r="H996" s="358"/>
      <c r="J996" s="312"/>
    </row>
    <row r="997" spans="2:10" x14ac:dyDescent="0.2">
      <c r="B997" s="358"/>
      <c r="C997" s="358"/>
      <c r="D997" s="358"/>
      <c r="E997" s="358"/>
      <c r="F997" s="358"/>
      <c r="G997" s="358"/>
      <c r="H997" s="358"/>
      <c r="J997" s="312"/>
    </row>
    <row r="998" spans="2:10" x14ac:dyDescent="0.2">
      <c r="B998" s="358"/>
      <c r="C998" s="358"/>
      <c r="D998" s="358"/>
      <c r="E998" s="358"/>
      <c r="F998" s="358"/>
      <c r="G998" s="358"/>
      <c r="H998" s="358"/>
      <c r="J998" s="312"/>
    </row>
    <row r="999" spans="2:10" x14ac:dyDescent="0.2">
      <c r="B999" s="358"/>
      <c r="C999" s="358"/>
      <c r="D999" s="358"/>
      <c r="E999" s="358"/>
      <c r="F999" s="358"/>
      <c r="G999" s="358"/>
      <c r="H999" s="358"/>
      <c r="J999" s="312"/>
    </row>
    <row r="1000" spans="2:10" x14ac:dyDescent="0.2">
      <c r="B1000" s="358"/>
      <c r="C1000" s="358"/>
      <c r="D1000" s="358"/>
      <c r="E1000" s="358"/>
      <c r="F1000" s="358"/>
      <c r="G1000" s="358"/>
      <c r="H1000" s="358"/>
      <c r="J1000" s="312"/>
    </row>
    <row r="1001" spans="2:10" x14ac:dyDescent="0.2">
      <c r="B1001" s="358"/>
      <c r="C1001" s="358"/>
      <c r="D1001" s="358"/>
      <c r="E1001" s="358"/>
      <c r="F1001" s="358"/>
      <c r="G1001" s="358"/>
      <c r="H1001" s="358"/>
      <c r="J1001" s="312"/>
    </row>
    <row r="1002" spans="2:10" x14ac:dyDescent="0.2">
      <c r="B1002" s="358"/>
      <c r="C1002" s="358"/>
      <c r="D1002" s="358"/>
      <c r="E1002" s="358"/>
      <c r="F1002" s="358"/>
      <c r="G1002" s="358"/>
      <c r="H1002" s="358"/>
      <c r="J1002" s="312"/>
    </row>
    <row r="1003" spans="2:10" x14ac:dyDescent="0.2">
      <c r="B1003" s="358"/>
      <c r="C1003" s="358"/>
      <c r="D1003" s="358"/>
      <c r="E1003" s="358"/>
      <c r="F1003" s="358"/>
      <c r="G1003" s="358"/>
      <c r="H1003" s="358"/>
      <c r="J1003" s="312"/>
    </row>
    <row r="1004" spans="2:10" x14ac:dyDescent="0.2">
      <c r="B1004" s="358"/>
      <c r="C1004" s="358"/>
      <c r="D1004" s="358"/>
      <c r="E1004" s="358"/>
      <c r="F1004" s="358"/>
      <c r="G1004" s="358"/>
      <c r="H1004" s="358"/>
      <c r="J1004" s="312"/>
    </row>
    <row r="1005" spans="2:10" x14ac:dyDescent="0.2">
      <c r="B1005" s="358"/>
      <c r="C1005" s="358"/>
      <c r="D1005" s="358"/>
      <c r="E1005" s="358"/>
      <c r="F1005" s="358"/>
      <c r="G1005" s="358"/>
      <c r="H1005" s="358"/>
      <c r="J1005" s="312"/>
    </row>
    <row r="1006" spans="2:10" x14ac:dyDescent="0.2">
      <c r="B1006" s="358"/>
      <c r="C1006" s="358"/>
      <c r="D1006" s="358"/>
      <c r="E1006" s="358"/>
      <c r="F1006" s="358"/>
      <c r="G1006" s="358"/>
      <c r="H1006" s="358"/>
      <c r="J1006" s="312"/>
    </row>
    <row r="1007" spans="2:10" x14ac:dyDescent="0.2">
      <c r="B1007" s="358"/>
      <c r="C1007" s="358"/>
      <c r="D1007" s="358"/>
      <c r="E1007" s="358"/>
      <c r="F1007" s="358"/>
      <c r="G1007" s="358"/>
      <c r="H1007" s="358"/>
      <c r="J1007" s="312"/>
    </row>
    <row r="1008" spans="2:10" x14ac:dyDescent="0.2">
      <c r="B1008" s="358"/>
      <c r="C1008" s="358"/>
      <c r="D1008" s="358"/>
      <c r="E1008" s="358"/>
      <c r="F1008" s="358"/>
      <c r="G1008" s="358"/>
      <c r="H1008" s="358"/>
      <c r="J1008" s="312"/>
    </row>
    <row r="1009" spans="2:10" x14ac:dyDescent="0.2">
      <c r="B1009" s="358"/>
      <c r="C1009" s="358"/>
      <c r="D1009" s="358"/>
      <c r="E1009" s="358"/>
      <c r="F1009" s="358"/>
      <c r="G1009" s="358"/>
      <c r="H1009" s="358"/>
      <c r="J1009" s="312"/>
    </row>
    <row r="1010" spans="2:10" x14ac:dyDescent="0.2">
      <c r="B1010" s="358"/>
      <c r="C1010" s="358"/>
      <c r="D1010" s="358"/>
      <c r="E1010" s="358"/>
      <c r="F1010" s="358"/>
      <c r="G1010" s="358"/>
      <c r="H1010" s="358"/>
      <c r="J1010" s="312"/>
    </row>
    <row r="1011" spans="2:10" x14ac:dyDescent="0.2">
      <c r="B1011" s="358"/>
      <c r="C1011" s="358"/>
      <c r="D1011" s="358"/>
      <c r="E1011" s="358"/>
      <c r="F1011" s="358"/>
      <c r="G1011" s="358"/>
      <c r="H1011" s="358"/>
      <c r="J1011" s="312"/>
    </row>
    <row r="1012" spans="2:10" x14ac:dyDescent="0.2">
      <c r="B1012" s="358"/>
      <c r="C1012" s="358"/>
      <c r="D1012" s="358"/>
      <c r="E1012" s="358"/>
      <c r="F1012" s="358"/>
      <c r="G1012" s="358"/>
      <c r="H1012" s="358"/>
      <c r="J1012" s="312"/>
    </row>
    <row r="1013" spans="2:10" x14ac:dyDescent="0.2">
      <c r="B1013" s="358"/>
      <c r="C1013" s="358"/>
      <c r="D1013" s="358"/>
      <c r="E1013" s="358"/>
      <c r="F1013" s="358"/>
      <c r="G1013" s="358"/>
      <c r="H1013" s="358"/>
      <c r="J1013" s="312"/>
    </row>
    <row r="1014" spans="2:10" x14ac:dyDescent="0.2">
      <c r="B1014" s="358"/>
      <c r="C1014" s="358"/>
      <c r="D1014" s="358"/>
      <c r="E1014" s="358"/>
      <c r="F1014" s="358"/>
      <c r="G1014" s="358"/>
      <c r="H1014" s="358"/>
      <c r="J1014" s="312"/>
    </row>
    <row r="1015" spans="2:10" x14ac:dyDescent="0.2">
      <c r="B1015" s="358"/>
      <c r="C1015" s="358"/>
      <c r="D1015" s="358"/>
      <c r="E1015" s="358"/>
      <c r="F1015" s="358"/>
      <c r="G1015" s="358"/>
      <c r="H1015" s="358"/>
      <c r="J1015" s="312"/>
    </row>
    <row r="1016" spans="2:10" x14ac:dyDescent="0.2">
      <c r="B1016" s="358"/>
      <c r="C1016" s="358"/>
      <c r="D1016" s="358"/>
      <c r="E1016" s="358"/>
      <c r="F1016" s="358"/>
      <c r="G1016" s="358"/>
      <c r="H1016" s="358"/>
      <c r="J1016" s="312"/>
    </row>
    <row r="1017" spans="2:10" x14ac:dyDescent="0.2">
      <c r="B1017" s="358"/>
      <c r="C1017" s="358"/>
      <c r="D1017" s="358"/>
      <c r="E1017" s="358"/>
      <c r="F1017" s="358"/>
      <c r="G1017" s="358"/>
      <c r="H1017" s="358"/>
      <c r="J1017" s="312"/>
    </row>
    <row r="1018" spans="2:10" x14ac:dyDescent="0.2">
      <c r="B1018" s="358"/>
      <c r="C1018" s="358"/>
      <c r="D1018" s="358"/>
      <c r="E1018" s="358"/>
      <c r="F1018" s="358"/>
      <c r="G1018" s="358"/>
      <c r="H1018" s="358"/>
      <c r="J1018" s="312"/>
    </row>
    <row r="1019" spans="2:10" x14ac:dyDescent="0.2">
      <c r="B1019" s="358"/>
      <c r="C1019" s="358"/>
      <c r="D1019" s="358"/>
      <c r="E1019" s="358"/>
      <c r="F1019" s="358"/>
      <c r="G1019" s="358"/>
      <c r="H1019" s="358"/>
      <c r="J1019" s="312"/>
    </row>
    <row r="1020" spans="2:10" x14ac:dyDescent="0.2">
      <c r="B1020" s="358"/>
      <c r="C1020" s="358"/>
      <c r="D1020" s="358"/>
      <c r="E1020" s="358"/>
      <c r="F1020" s="358"/>
      <c r="G1020" s="358"/>
      <c r="H1020" s="358"/>
      <c r="J1020" s="312"/>
    </row>
    <row r="1021" spans="2:10" x14ac:dyDescent="0.2">
      <c r="B1021" s="358"/>
      <c r="C1021" s="358"/>
      <c r="D1021" s="358"/>
      <c r="E1021" s="358"/>
      <c r="F1021" s="358"/>
      <c r="G1021" s="358"/>
      <c r="H1021" s="358"/>
      <c r="J1021" s="312"/>
    </row>
    <row r="1022" spans="2:10" x14ac:dyDescent="0.2">
      <c r="B1022" s="358"/>
      <c r="C1022" s="358"/>
      <c r="D1022" s="358"/>
      <c r="E1022" s="358"/>
      <c r="F1022" s="358"/>
      <c r="G1022" s="358"/>
      <c r="H1022" s="358"/>
      <c r="J1022" s="312"/>
    </row>
    <row r="1023" spans="2:10" x14ac:dyDescent="0.2">
      <c r="B1023" s="358"/>
      <c r="C1023" s="358"/>
      <c r="D1023" s="358"/>
      <c r="E1023" s="358"/>
      <c r="F1023" s="358"/>
      <c r="G1023" s="358"/>
      <c r="H1023" s="358"/>
      <c r="J1023" s="312"/>
    </row>
    <row r="1024" spans="2:10" x14ac:dyDescent="0.2">
      <c r="B1024" s="358"/>
      <c r="C1024" s="358"/>
      <c r="D1024" s="358"/>
      <c r="E1024" s="358"/>
      <c r="F1024" s="358"/>
      <c r="G1024" s="358"/>
      <c r="H1024" s="358"/>
      <c r="J1024" s="312"/>
    </row>
    <row r="1025" spans="2:10" x14ac:dyDescent="0.2">
      <c r="B1025" s="358"/>
      <c r="C1025" s="358"/>
      <c r="D1025" s="358"/>
      <c r="E1025" s="358"/>
      <c r="F1025" s="358"/>
      <c r="G1025" s="358"/>
      <c r="H1025" s="358"/>
      <c r="J1025" s="312"/>
    </row>
    <row r="1026" spans="2:10" x14ac:dyDescent="0.2">
      <c r="B1026" s="358"/>
      <c r="C1026" s="358"/>
      <c r="D1026" s="358"/>
      <c r="E1026" s="358"/>
      <c r="F1026" s="358"/>
      <c r="G1026" s="358"/>
      <c r="H1026" s="358"/>
      <c r="J1026" s="312"/>
    </row>
    <row r="1027" spans="2:10" x14ac:dyDescent="0.2">
      <c r="B1027" s="358"/>
      <c r="C1027" s="358"/>
      <c r="D1027" s="358"/>
      <c r="E1027" s="358"/>
      <c r="F1027" s="358"/>
      <c r="G1027" s="358"/>
      <c r="H1027" s="358"/>
      <c r="J1027" s="312"/>
    </row>
    <row r="1028" spans="2:10" x14ac:dyDescent="0.2">
      <c r="B1028" s="358"/>
      <c r="C1028" s="358"/>
      <c r="D1028" s="358"/>
      <c r="E1028" s="358"/>
      <c r="F1028" s="358"/>
      <c r="G1028" s="358"/>
      <c r="H1028" s="358"/>
      <c r="J1028" s="312"/>
    </row>
    <row r="1029" spans="2:10" x14ac:dyDescent="0.2">
      <c r="B1029" s="358"/>
      <c r="C1029" s="358"/>
      <c r="D1029" s="358"/>
      <c r="E1029" s="358"/>
      <c r="F1029" s="358"/>
      <c r="G1029" s="358"/>
      <c r="H1029" s="358"/>
      <c r="J1029" s="312"/>
    </row>
    <row r="1030" spans="2:10" x14ac:dyDescent="0.2">
      <c r="B1030" s="358"/>
      <c r="C1030" s="358"/>
      <c r="D1030" s="358"/>
      <c r="E1030" s="358"/>
      <c r="F1030" s="358"/>
      <c r="G1030" s="358"/>
      <c r="H1030" s="358"/>
      <c r="J1030" s="312"/>
    </row>
    <row r="1031" spans="2:10" x14ac:dyDescent="0.2">
      <c r="B1031" s="358"/>
      <c r="C1031" s="358"/>
      <c r="D1031" s="358"/>
      <c r="E1031" s="358"/>
      <c r="F1031" s="358"/>
      <c r="G1031" s="358"/>
      <c r="H1031" s="358"/>
      <c r="J1031" s="312"/>
    </row>
    <row r="1032" spans="2:10" x14ac:dyDescent="0.2">
      <c r="B1032" s="358"/>
      <c r="C1032" s="358"/>
      <c r="D1032" s="358"/>
      <c r="E1032" s="358"/>
      <c r="F1032" s="358"/>
      <c r="G1032" s="358"/>
      <c r="H1032" s="358"/>
      <c r="J1032" s="312"/>
    </row>
    <row r="1033" spans="2:10" x14ac:dyDescent="0.2">
      <c r="B1033" s="358"/>
      <c r="C1033" s="358"/>
      <c r="D1033" s="358"/>
      <c r="E1033" s="358"/>
      <c r="F1033" s="358"/>
      <c r="G1033" s="358"/>
      <c r="H1033" s="358"/>
      <c r="J1033" s="312"/>
    </row>
    <row r="1034" spans="2:10" x14ac:dyDescent="0.2">
      <c r="B1034" s="358"/>
      <c r="C1034" s="358"/>
      <c r="D1034" s="358"/>
      <c r="E1034" s="358"/>
      <c r="F1034" s="358"/>
      <c r="G1034" s="358"/>
      <c r="H1034" s="358"/>
      <c r="J1034" s="312"/>
    </row>
    <row r="1035" spans="2:10" x14ac:dyDescent="0.2">
      <c r="B1035" s="358"/>
      <c r="C1035" s="358"/>
      <c r="D1035" s="358"/>
      <c r="E1035" s="358"/>
      <c r="F1035" s="358"/>
      <c r="G1035" s="358"/>
      <c r="H1035" s="358"/>
      <c r="J1035" s="312"/>
    </row>
    <row r="1036" spans="2:10" x14ac:dyDescent="0.2">
      <c r="B1036" s="358"/>
      <c r="C1036" s="358"/>
      <c r="D1036" s="358"/>
      <c r="E1036" s="358"/>
      <c r="F1036" s="358"/>
      <c r="G1036" s="358"/>
      <c r="H1036" s="358"/>
      <c r="J1036" s="312"/>
    </row>
    <row r="1037" spans="2:10" x14ac:dyDescent="0.2">
      <c r="B1037" s="358"/>
      <c r="C1037" s="358"/>
      <c r="D1037" s="358"/>
      <c r="E1037" s="358"/>
      <c r="F1037" s="358"/>
      <c r="G1037" s="358"/>
      <c r="H1037" s="358"/>
      <c r="J1037" s="312"/>
    </row>
    <row r="1038" spans="2:10" x14ac:dyDescent="0.2">
      <c r="B1038" s="358"/>
      <c r="C1038" s="358"/>
      <c r="D1038" s="358"/>
      <c r="E1038" s="358"/>
      <c r="F1038" s="358"/>
      <c r="G1038" s="358"/>
      <c r="H1038" s="358"/>
      <c r="J1038" s="312"/>
    </row>
    <row r="1039" spans="2:10" x14ac:dyDescent="0.2">
      <c r="B1039" s="358"/>
      <c r="C1039" s="358"/>
      <c r="D1039" s="358"/>
      <c r="E1039" s="358"/>
      <c r="F1039" s="358"/>
      <c r="G1039" s="358"/>
      <c r="H1039" s="358"/>
      <c r="J1039" s="312"/>
    </row>
    <row r="1040" spans="2:10" x14ac:dyDescent="0.2">
      <c r="B1040" s="358"/>
      <c r="C1040" s="358"/>
      <c r="D1040" s="358"/>
      <c r="E1040" s="358"/>
      <c r="F1040" s="358"/>
      <c r="G1040" s="358"/>
      <c r="H1040" s="358"/>
      <c r="J1040" s="312"/>
    </row>
    <row r="1041" spans="2:10" x14ac:dyDescent="0.2">
      <c r="B1041" s="358"/>
      <c r="C1041" s="358"/>
      <c r="D1041" s="358"/>
      <c r="E1041" s="358"/>
      <c r="F1041" s="358"/>
      <c r="G1041" s="358"/>
      <c r="H1041" s="358"/>
      <c r="J1041" s="312"/>
    </row>
    <row r="1042" spans="2:10" x14ac:dyDescent="0.2">
      <c r="B1042" s="358"/>
      <c r="C1042" s="358"/>
      <c r="D1042" s="358"/>
      <c r="E1042" s="358"/>
      <c r="F1042" s="358"/>
      <c r="G1042" s="358"/>
      <c r="H1042" s="358"/>
      <c r="J1042" s="312"/>
    </row>
    <row r="1043" spans="2:10" x14ac:dyDescent="0.2">
      <c r="B1043" s="358"/>
      <c r="C1043" s="358"/>
      <c r="D1043" s="358"/>
      <c r="E1043" s="358"/>
      <c r="F1043" s="358"/>
      <c r="G1043" s="358"/>
      <c r="H1043" s="358"/>
      <c r="J1043" s="312"/>
    </row>
    <row r="1044" spans="2:10" x14ac:dyDescent="0.2">
      <c r="B1044" s="358"/>
      <c r="C1044" s="358"/>
      <c r="D1044" s="358"/>
      <c r="E1044" s="358"/>
      <c r="F1044" s="358"/>
      <c r="G1044" s="358"/>
      <c r="H1044" s="358"/>
      <c r="J1044" s="312"/>
    </row>
    <row r="1045" spans="2:10" x14ac:dyDescent="0.2">
      <c r="B1045" s="358"/>
      <c r="C1045" s="358"/>
      <c r="D1045" s="358"/>
      <c r="E1045" s="358"/>
      <c r="F1045" s="358"/>
      <c r="G1045" s="358"/>
      <c r="H1045" s="358"/>
      <c r="J1045" s="312"/>
    </row>
    <row r="1046" spans="2:10" x14ac:dyDescent="0.2">
      <c r="B1046" s="358"/>
      <c r="C1046" s="358"/>
      <c r="D1046" s="358"/>
      <c r="E1046" s="358"/>
      <c r="F1046" s="358"/>
      <c r="G1046" s="358"/>
      <c r="H1046" s="358"/>
      <c r="J1046" s="312"/>
    </row>
    <row r="1047" spans="2:10" x14ac:dyDescent="0.2">
      <c r="B1047" s="358"/>
      <c r="C1047" s="358"/>
      <c r="D1047" s="358"/>
      <c r="E1047" s="358"/>
      <c r="F1047" s="358"/>
      <c r="G1047" s="358"/>
      <c r="H1047" s="358"/>
      <c r="J1047" s="312"/>
    </row>
    <row r="1048" spans="2:10" x14ac:dyDescent="0.2">
      <c r="B1048" s="358"/>
      <c r="C1048" s="358"/>
      <c r="D1048" s="358"/>
      <c r="E1048" s="358"/>
      <c r="F1048" s="358"/>
      <c r="G1048" s="358"/>
      <c r="H1048" s="358"/>
      <c r="J1048" s="312"/>
    </row>
    <row r="1049" spans="2:10" x14ac:dyDescent="0.2">
      <c r="B1049" s="358"/>
      <c r="C1049" s="358"/>
      <c r="D1049" s="358"/>
      <c r="E1049" s="358"/>
      <c r="F1049" s="358"/>
      <c r="G1049" s="358"/>
      <c r="H1049" s="358"/>
      <c r="J1049" s="312"/>
    </row>
    <row r="1050" spans="2:10" x14ac:dyDescent="0.2">
      <c r="B1050" s="358"/>
      <c r="C1050" s="358"/>
      <c r="D1050" s="358"/>
      <c r="E1050" s="358"/>
      <c r="F1050" s="358"/>
      <c r="G1050" s="358"/>
      <c r="H1050" s="358"/>
      <c r="J1050" s="312"/>
    </row>
    <row r="1051" spans="2:10" x14ac:dyDescent="0.2">
      <c r="B1051" s="358"/>
      <c r="C1051" s="358"/>
      <c r="D1051" s="358"/>
      <c r="E1051" s="358"/>
      <c r="F1051" s="358"/>
      <c r="G1051" s="358"/>
      <c r="H1051" s="358"/>
      <c r="J1051" s="312"/>
    </row>
    <row r="1052" spans="2:10" x14ac:dyDescent="0.2">
      <c r="B1052" s="358"/>
      <c r="C1052" s="358"/>
      <c r="D1052" s="358"/>
      <c r="E1052" s="358"/>
      <c r="F1052" s="358"/>
      <c r="G1052" s="358"/>
      <c r="H1052" s="358"/>
      <c r="J1052" s="312"/>
    </row>
    <row r="1053" spans="2:10" x14ac:dyDescent="0.2">
      <c r="B1053" s="358"/>
      <c r="C1053" s="358"/>
      <c r="D1053" s="358"/>
      <c r="E1053" s="358"/>
      <c r="F1053" s="358"/>
      <c r="G1053" s="358"/>
      <c r="H1053" s="358"/>
      <c r="J1053" s="312"/>
    </row>
    <row r="1054" spans="2:10" x14ac:dyDescent="0.2">
      <c r="B1054" s="358"/>
      <c r="C1054" s="358"/>
      <c r="D1054" s="358"/>
      <c r="E1054" s="358"/>
      <c r="F1054" s="358"/>
      <c r="G1054" s="358"/>
      <c r="H1054" s="358"/>
      <c r="J1054" s="312"/>
    </row>
    <row r="1055" spans="2:10" x14ac:dyDescent="0.2">
      <c r="B1055" s="358"/>
      <c r="C1055" s="358"/>
      <c r="D1055" s="358"/>
      <c r="E1055" s="358"/>
      <c r="F1055" s="358"/>
      <c r="G1055" s="358"/>
      <c r="H1055" s="358"/>
      <c r="J1055" s="312"/>
    </row>
    <row r="1056" spans="2:10" x14ac:dyDescent="0.2">
      <c r="B1056" s="358"/>
      <c r="C1056" s="358"/>
      <c r="D1056" s="358"/>
      <c r="E1056" s="358"/>
      <c r="F1056" s="358"/>
      <c r="G1056" s="358"/>
      <c r="H1056" s="358"/>
      <c r="J1056" s="312"/>
    </row>
    <row r="1057" spans="2:10" x14ac:dyDescent="0.2">
      <c r="B1057" s="358"/>
      <c r="C1057" s="358"/>
      <c r="D1057" s="358"/>
      <c r="E1057" s="358"/>
      <c r="F1057" s="358"/>
      <c r="G1057" s="358"/>
      <c r="H1057" s="358"/>
      <c r="J1057" s="312"/>
    </row>
    <row r="1058" spans="2:10" x14ac:dyDescent="0.2">
      <c r="B1058" s="358"/>
      <c r="C1058" s="358"/>
      <c r="D1058" s="358"/>
      <c r="E1058" s="358"/>
      <c r="F1058" s="358"/>
      <c r="G1058" s="358"/>
      <c r="H1058" s="358"/>
      <c r="J1058" s="312"/>
    </row>
    <row r="1059" spans="2:10" x14ac:dyDescent="0.2">
      <c r="B1059" s="358"/>
      <c r="C1059" s="358"/>
      <c r="D1059" s="358"/>
      <c r="E1059" s="358"/>
      <c r="F1059" s="358"/>
      <c r="G1059" s="358"/>
      <c r="H1059" s="358"/>
      <c r="J1059" s="312"/>
    </row>
    <row r="1060" spans="2:10" x14ac:dyDescent="0.2">
      <c r="B1060" s="358"/>
      <c r="C1060" s="358"/>
      <c r="D1060" s="358"/>
      <c r="E1060" s="358"/>
      <c r="F1060" s="358"/>
      <c r="G1060" s="358"/>
      <c r="H1060" s="358"/>
      <c r="J1060" s="312"/>
    </row>
    <row r="1061" spans="2:10" x14ac:dyDescent="0.2">
      <c r="B1061" s="358"/>
      <c r="C1061" s="358"/>
      <c r="D1061" s="358"/>
      <c r="E1061" s="358"/>
      <c r="F1061" s="358"/>
      <c r="G1061" s="358"/>
      <c r="H1061" s="358"/>
      <c r="J1061" s="312"/>
    </row>
    <row r="1062" spans="2:10" x14ac:dyDescent="0.2">
      <c r="B1062" s="358"/>
      <c r="C1062" s="358"/>
      <c r="D1062" s="358"/>
      <c r="E1062" s="358"/>
      <c r="F1062" s="358"/>
      <c r="G1062" s="358"/>
      <c r="H1062" s="358"/>
      <c r="J1062" s="312"/>
    </row>
    <row r="1063" spans="2:10" x14ac:dyDescent="0.2">
      <c r="B1063" s="358"/>
      <c r="C1063" s="358"/>
      <c r="D1063" s="358"/>
      <c r="E1063" s="358"/>
      <c r="F1063" s="358"/>
      <c r="G1063" s="358"/>
      <c r="H1063" s="358"/>
      <c r="J1063" s="312"/>
    </row>
    <row r="1064" spans="2:10" x14ac:dyDescent="0.2">
      <c r="B1064" s="358"/>
      <c r="C1064" s="358"/>
      <c r="D1064" s="358"/>
      <c r="E1064" s="358"/>
      <c r="F1064" s="358"/>
      <c r="G1064" s="358"/>
      <c r="H1064" s="358"/>
      <c r="J1064" s="312"/>
    </row>
    <row r="1065" spans="2:10" x14ac:dyDescent="0.2">
      <c r="B1065" s="358"/>
      <c r="C1065" s="358"/>
      <c r="D1065" s="358"/>
      <c r="E1065" s="358"/>
      <c r="F1065" s="358"/>
      <c r="G1065" s="358"/>
      <c r="H1065" s="358"/>
      <c r="J1065" s="312"/>
    </row>
    <row r="1066" spans="2:10" x14ac:dyDescent="0.2">
      <c r="B1066" s="358"/>
      <c r="C1066" s="358"/>
      <c r="D1066" s="358"/>
      <c r="E1066" s="358"/>
      <c r="F1066" s="358"/>
      <c r="G1066" s="358"/>
      <c r="H1066" s="358"/>
      <c r="J1066" s="312"/>
    </row>
    <row r="1067" spans="2:10" x14ac:dyDescent="0.2">
      <c r="B1067" s="358"/>
      <c r="C1067" s="358"/>
      <c r="D1067" s="358"/>
      <c r="E1067" s="358"/>
      <c r="F1067" s="358"/>
      <c r="G1067" s="358"/>
      <c r="H1067" s="358"/>
      <c r="J1067" s="312"/>
    </row>
    <row r="1068" spans="2:10" x14ac:dyDescent="0.2">
      <c r="B1068" s="358"/>
      <c r="C1068" s="358"/>
      <c r="D1068" s="358"/>
      <c r="E1068" s="358"/>
      <c r="F1068" s="358"/>
      <c r="G1068" s="358"/>
      <c r="H1068" s="358"/>
      <c r="J1068" s="312"/>
    </row>
    <row r="1069" spans="2:10" x14ac:dyDescent="0.2">
      <c r="B1069" s="358"/>
      <c r="C1069" s="358"/>
      <c r="D1069" s="358"/>
      <c r="E1069" s="358"/>
      <c r="F1069" s="358"/>
      <c r="G1069" s="358"/>
      <c r="H1069" s="358"/>
      <c r="J1069" s="312"/>
    </row>
    <row r="1070" spans="2:10" x14ac:dyDescent="0.2">
      <c r="B1070" s="358"/>
      <c r="C1070" s="358"/>
      <c r="D1070" s="358"/>
      <c r="E1070" s="358"/>
      <c r="F1070" s="358"/>
      <c r="G1070" s="358"/>
      <c r="H1070" s="358"/>
      <c r="J1070" s="312"/>
    </row>
    <row r="1071" spans="2:10" x14ac:dyDescent="0.2">
      <c r="B1071" s="358"/>
      <c r="C1071" s="358"/>
      <c r="D1071" s="358"/>
      <c r="E1071" s="358"/>
      <c r="F1071" s="358"/>
      <c r="G1071" s="358"/>
      <c r="H1071" s="358"/>
      <c r="J1071" s="312"/>
    </row>
    <row r="1072" spans="2:10" x14ac:dyDescent="0.2">
      <c r="B1072" s="358"/>
      <c r="C1072" s="358"/>
      <c r="D1072" s="358"/>
      <c r="E1072" s="358"/>
      <c r="F1072" s="358"/>
      <c r="G1072" s="358"/>
      <c r="H1072" s="358"/>
      <c r="J1072" s="312"/>
    </row>
    <row r="1073" spans="2:10" x14ac:dyDescent="0.2">
      <c r="B1073" s="358"/>
      <c r="C1073" s="358"/>
      <c r="D1073" s="358"/>
      <c r="E1073" s="358"/>
      <c r="F1073" s="358"/>
      <c r="G1073" s="358"/>
      <c r="H1073" s="358"/>
      <c r="J1073" s="312"/>
    </row>
    <row r="1074" spans="2:10" x14ac:dyDescent="0.2">
      <c r="B1074" s="358"/>
      <c r="C1074" s="358"/>
      <c r="D1074" s="358"/>
      <c r="E1074" s="358"/>
      <c r="F1074" s="358"/>
      <c r="G1074" s="358"/>
      <c r="H1074" s="358"/>
      <c r="J1074" s="312"/>
    </row>
    <row r="1075" spans="2:10" x14ac:dyDescent="0.2">
      <c r="B1075" s="358"/>
      <c r="C1075" s="358"/>
      <c r="D1075" s="358"/>
      <c r="E1075" s="358"/>
      <c r="F1075" s="358"/>
      <c r="G1075" s="358"/>
      <c r="H1075" s="358"/>
      <c r="J1075" s="312"/>
    </row>
    <row r="1076" spans="2:10" x14ac:dyDescent="0.2">
      <c r="B1076" s="358"/>
      <c r="C1076" s="358"/>
      <c r="D1076" s="358"/>
      <c r="E1076" s="358"/>
      <c r="F1076" s="358"/>
      <c r="G1076" s="358"/>
      <c r="H1076" s="358"/>
      <c r="J1076" s="312"/>
    </row>
    <row r="1077" spans="2:10" x14ac:dyDescent="0.2">
      <c r="B1077" s="358"/>
      <c r="C1077" s="358"/>
      <c r="D1077" s="358"/>
      <c r="E1077" s="358"/>
      <c r="F1077" s="358"/>
      <c r="G1077" s="358"/>
      <c r="H1077" s="358"/>
      <c r="J1077" s="312"/>
    </row>
    <row r="1078" spans="2:10" x14ac:dyDescent="0.2">
      <c r="B1078" s="358"/>
      <c r="C1078" s="358"/>
      <c r="D1078" s="358"/>
      <c r="E1078" s="358"/>
      <c r="F1078" s="358"/>
      <c r="G1078" s="358"/>
      <c r="H1078" s="358"/>
      <c r="J1078" s="312"/>
    </row>
    <row r="1079" spans="2:10" x14ac:dyDescent="0.2">
      <c r="B1079" s="358"/>
      <c r="C1079" s="358"/>
      <c r="D1079" s="358"/>
      <c r="E1079" s="358"/>
      <c r="F1079" s="358"/>
      <c r="G1079" s="358"/>
      <c r="H1079" s="358"/>
      <c r="J1079" s="312"/>
    </row>
    <row r="1080" spans="2:10" x14ac:dyDescent="0.2">
      <c r="B1080" s="358"/>
      <c r="C1080" s="358"/>
      <c r="D1080" s="358"/>
      <c r="E1080" s="358"/>
      <c r="F1080" s="358"/>
      <c r="G1080" s="358"/>
      <c r="H1080" s="358"/>
      <c r="J1080" s="312"/>
    </row>
    <row r="1081" spans="2:10" x14ac:dyDescent="0.2">
      <c r="B1081" s="358"/>
      <c r="C1081" s="358"/>
      <c r="D1081" s="358"/>
      <c r="E1081" s="358"/>
      <c r="F1081" s="358"/>
      <c r="G1081" s="358"/>
      <c r="H1081" s="358"/>
      <c r="J1081" s="312"/>
    </row>
    <row r="1082" spans="2:10" x14ac:dyDescent="0.2">
      <c r="B1082" s="358"/>
      <c r="C1082" s="358"/>
      <c r="D1082" s="358"/>
      <c r="E1082" s="358"/>
      <c r="F1082" s="358"/>
      <c r="G1082" s="358"/>
      <c r="H1082" s="358"/>
      <c r="J1082" s="312"/>
    </row>
    <row r="1083" spans="2:10" x14ac:dyDescent="0.2">
      <c r="B1083" s="358"/>
      <c r="C1083" s="358"/>
      <c r="D1083" s="358"/>
      <c r="E1083" s="358"/>
      <c r="F1083" s="358"/>
      <c r="G1083" s="358"/>
      <c r="H1083" s="358"/>
      <c r="J1083" s="312"/>
    </row>
    <row r="1084" spans="2:10" x14ac:dyDescent="0.2">
      <c r="B1084" s="358"/>
      <c r="C1084" s="358"/>
      <c r="D1084" s="358"/>
      <c r="E1084" s="358"/>
      <c r="F1084" s="358"/>
      <c r="G1084" s="358"/>
      <c r="H1084" s="358"/>
      <c r="J1084" s="312"/>
    </row>
    <row r="1085" spans="2:10" x14ac:dyDescent="0.2">
      <c r="B1085" s="358"/>
      <c r="C1085" s="358"/>
      <c r="D1085" s="358"/>
      <c r="E1085" s="358"/>
      <c r="F1085" s="358"/>
      <c r="G1085" s="358"/>
      <c r="H1085" s="358"/>
      <c r="J1085" s="312"/>
    </row>
    <row r="1086" spans="2:10" x14ac:dyDescent="0.2">
      <c r="B1086" s="358"/>
      <c r="C1086" s="358"/>
      <c r="D1086" s="358"/>
      <c r="E1086" s="358"/>
      <c r="F1086" s="358"/>
      <c r="G1086" s="358"/>
      <c r="H1086" s="358"/>
      <c r="J1086" s="312"/>
    </row>
    <row r="1087" spans="2:10" x14ac:dyDescent="0.2">
      <c r="B1087" s="358"/>
      <c r="C1087" s="358"/>
      <c r="D1087" s="358"/>
      <c r="E1087" s="358"/>
      <c r="F1087" s="358"/>
      <c r="G1087" s="358"/>
      <c r="H1087" s="358"/>
      <c r="J1087" s="312"/>
    </row>
    <row r="1088" spans="2:10" x14ac:dyDescent="0.2">
      <c r="B1088" s="358"/>
      <c r="C1088" s="358"/>
      <c r="D1088" s="358"/>
      <c r="E1088" s="358"/>
      <c r="F1088" s="358"/>
      <c r="G1088" s="358"/>
      <c r="H1088" s="358"/>
      <c r="J1088" s="312"/>
    </row>
    <row r="1089" spans="2:10" x14ac:dyDescent="0.2">
      <c r="B1089" s="358"/>
      <c r="C1089" s="358"/>
      <c r="D1089" s="358"/>
      <c r="E1089" s="358"/>
      <c r="F1089" s="358"/>
      <c r="G1089" s="358"/>
      <c r="H1089" s="358"/>
      <c r="J1089" s="312"/>
    </row>
    <row r="1090" spans="2:10" x14ac:dyDescent="0.2">
      <c r="B1090" s="358"/>
      <c r="C1090" s="358"/>
      <c r="D1090" s="358"/>
      <c r="E1090" s="358"/>
      <c r="F1090" s="358"/>
      <c r="G1090" s="358"/>
      <c r="H1090" s="358"/>
      <c r="J1090" s="312"/>
    </row>
    <row r="1091" spans="2:10" x14ac:dyDescent="0.2">
      <c r="B1091" s="358"/>
      <c r="C1091" s="358"/>
      <c r="D1091" s="358"/>
      <c r="E1091" s="358"/>
      <c r="F1091" s="358"/>
      <c r="G1091" s="358"/>
      <c r="H1091" s="358"/>
      <c r="J1091" s="312"/>
    </row>
    <row r="1092" spans="2:10" x14ac:dyDescent="0.2">
      <c r="B1092" s="358"/>
      <c r="C1092" s="358"/>
      <c r="D1092" s="358"/>
      <c r="E1092" s="358"/>
      <c r="F1092" s="358"/>
      <c r="G1092" s="358"/>
      <c r="H1092" s="358"/>
      <c r="J1092" s="312"/>
    </row>
    <row r="1093" spans="2:10" x14ac:dyDescent="0.2">
      <c r="B1093" s="358"/>
      <c r="C1093" s="358"/>
      <c r="D1093" s="358"/>
      <c r="E1093" s="358"/>
      <c r="F1093" s="358"/>
      <c r="G1093" s="358"/>
      <c r="H1093" s="358"/>
      <c r="J1093" s="312"/>
    </row>
    <row r="1094" spans="2:10" x14ac:dyDescent="0.2">
      <c r="B1094" s="358"/>
      <c r="C1094" s="358"/>
      <c r="D1094" s="358"/>
      <c r="E1094" s="358"/>
      <c r="F1094" s="358"/>
      <c r="G1094" s="358"/>
      <c r="H1094" s="358"/>
      <c r="J1094" s="312"/>
    </row>
    <row r="1095" spans="2:10" x14ac:dyDescent="0.2">
      <c r="B1095" s="358"/>
      <c r="C1095" s="358"/>
      <c r="D1095" s="358"/>
      <c r="E1095" s="358"/>
      <c r="F1095" s="358"/>
      <c r="G1095" s="358"/>
      <c r="H1095" s="358"/>
      <c r="J1095" s="312"/>
    </row>
    <row r="1096" spans="2:10" x14ac:dyDescent="0.2">
      <c r="B1096" s="358"/>
      <c r="C1096" s="358"/>
      <c r="D1096" s="358"/>
      <c r="E1096" s="358"/>
      <c r="F1096" s="358"/>
      <c r="G1096" s="358"/>
      <c r="H1096" s="358"/>
      <c r="J1096" s="312"/>
    </row>
    <row r="1097" spans="2:10" x14ac:dyDescent="0.2">
      <c r="B1097" s="358"/>
      <c r="C1097" s="358"/>
      <c r="D1097" s="358"/>
      <c r="E1097" s="358"/>
      <c r="F1097" s="358"/>
      <c r="G1097" s="358"/>
      <c r="H1097" s="358"/>
      <c r="J1097" s="312"/>
    </row>
    <row r="1098" spans="2:10" x14ac:dyDescent="0.2">
      <c r="B1098" s="358"/>
      <c r="C1098" s="358"/>
      <c r="D1098" s="358"/>
      <c r="E1098" s="358"/>
      <c r="F1098" s="358"/>
      <c r="G1098" s="358"/>
      <c r="H1098" s="358"/>
      <c r="J1098" s="312"/>
    </row>
    <row r="1099" spans="2:10" x14ac:dyDescent="0.2">
      <c r="B1099" s="358"/>
      <c r="C1099" s="358"/>
      <c r="D1099" s="358"/>
      <c r="E1099" s="358"/>
      <c r="F1099" s="358"/>
      <c r="G1099" s="358"/>
      <c r="H1099" s="358"/>
      <c r="J1099" s="312"/>
    </row>
    <row r="1100" spans="2:10" x14ac:dyDescent="0.2">
      <c r="B1100" s="358"/>
      <c r="C1100" s="358"/>
      <c r="D1100" s="358"/>
      <c r="E1100" s="358"/>
      <c r="F1100" s="358"/>
      <c r="G1100" s="358"/>
      <c r="H1100" s="358"/>
      <c r="J1100" s="312"/>
    </row>
    <row r="1101" spans="2:10" x14ac:dyDescent="0.2">
      <c r="B1101" s="358"/>
      <c r="C1101" s="358"/>
      <c r="D1101" s="358"/>
      <c r="E1101" s="358"/>
      <c r="F1101" s="358"/>
      <c r="G1101" s="358"/>
      <c r="H1101" s="358"/>
      <c r="J1101" s="312"/>
    </row>
    <row r="1102" spans="2:10" x14ac:dyDescent="0.2">
      <c r="B1102" s="358"/>
      <c r="C1102" s="358"/>
      <c r="D1102" s="358"/>
      <c r="E1102" s="358"/>
      <c r="F1102" s="358"/>
      <c r="G1102" s="358"/>
      <c r="H1102" s="358"/>
      <c r="J1102" s="312"/>
    </row>
    <row r="1103" spans="2:10" x14ac:dyDescent="0.2">
      <c r="B1103" s="358"/>
      <c r="C1103" s="358"/>
      <c r="D1103" s="358"/>
      <c r="E1103" s="358"/>
      <c r="F1103" s="358"/>
      <c r="G1103" s="358"/>
      <c r="H1103" s="358"/>
      <c r="J1103" s="312"/>
    </row>
    <row r="1104" spans="2:10" x14ac:dyDescent="0.2">
      <c r="B1104" s="358"/>
      <c r="C1104" s="358"/>
      <c r="D1104" s="358"/>
      <c r="E1104" s="358"/>
      <c r="F1104" s="358"/>
      <c r="G1104" s="358"/>
      <c r="H1104" s="358"/>
      <c r="J1104" s="312"/>
    </row>
    <row r="1105" spans="2:10" x14ac:dyDescent="0.2">
      <c r="B1105" s="358"/>
      <c r="C1105" s="358"/>
      <c r="D1105" s="358"/>
      <c r="E1105" s="358"/>
      <c r="F1105" s="358"/>
      <c r="G1105" s="358"/>
      <c r="H1105" s="358"/>
      <c r="J1105" s="312"/>
    </row>
    <row r="1106" spans="2:10" x14ac:dyDescent="0.2">
      <c r="B1106" s="358"/>
      <c r="C1106" s="358"/>
      <c r="D1106" s="358"/>
      <c r="E1106" s="358"/>
      <c r="F1106" s="358"/>
      <c r="G1106" s="358"/>
      <c r="H1106" s="358"/>
      <c r="J1106" s="312"/>
    </row>
    <row r="1107" spans="2:10" x14ac:dyDescent="0.2">
      <c r="B1107" s="358"/>
      <c r="C1107" s="358"/>
      <c r="D1107" s="358"/>
      <c r="E1107" s="358"/>
      <c r="F1107" s="358"/>
      <c r="G1107" s="358"/>
      <c r="H1107" s="358"/>
      <c r="J1107" s="312"/>
    </row>
    <row r="1108" spans="2:10" x14ac:dyDescent="0.2">
      <c r="B1108" s="358"/>
      <c r="C1108" s="358"/>
      <c r="D1108" s="358"/>
      <c r="E1108" s="358"/>
      <c r="F1108" s="358"/>
      <c r="G1108" s="358"/>
      <c r="H1108" s="358"/>
      <c r="J1108" s="312"/>
    </row>
    <row r="1109" spans="2:10" x14ac:dyDescent="0.2">
      <c r="B1109" s="358"/>
      <c r="C1109" s="358"/>
      <c r="D1109" s="358"/>
      <c r="E1109" s="358"/>
      <c r="F1109" s="358"/>
      <c r="G1109" s="358"/>
      <c r="H1109" s="358"/>
      <c r="J1109" s="312"/>
    </row>
    <row r="1110" spans="2:10" x14ac:dyDescent="0.2">
      <c r="B1110" s="358"/>
      <c r="C1110" s="358"/>
      <c r="D1110" s="358"/>
      <c r="E1110" s="358"/>
      <c r="F1110" s="358"/>
      <c r="G1110" s="358"/>
      <c r="H1110" s="358"/>
      <c r="J1110" s="312"/>
    </row>
    <row r="1111" spans="2:10" x14ac:dyDescent="0.2">
      <c r="B1111" s="358"/>
      <c r="C1111" s="358"/>
      <c r="D1111" s="358"/>
      <c r="E1111" s="358"/>
      <c r="F1111" s="358"/>
      <c r="G1111" s="358"/>
      <c r="H1111" s="358"/>
      <c r="J1111" s="312"/>
    </row>
    <row r="1112" spans="2:10" x14ac:dyDescent="0.2">
      <c r="B1112" s="358"/>
      <c r="C1112" s="358"/>
      <c r="D1112" s="358"/>
      <c r="E1112" s="358"/>
      <c r="F1112" s="358"/>
      <c r="G1112" s="358"/>
      <c r="H1112" s="358"/>
      <c r="J1112" s="312"/>
    </row>
    <row r="1113" spans="2:10" x14ac:dyDescent="0.2">
      <c r="B1113" s="358"/>
      <c r="C1113" s="358"/>
      <c r="D1113" s="358"/>
      <c r="E1113" s="358"/>
      <c r="F1113" s="358"/>
      <c r="G1113" s="358"/>
      <c r="H1113" s="358"/>
      <c r="J1113" s="312"/>
    </row>
    <row r="1114" spans="2:10" x14ac:dyDescent="0.2">
      <c r="B1114" s="358"/>
      <c r="C1114" s="358"/>
      <c r="D1114" s="358"/>
      <c r="E1114" s="358"/>
      <c r="F1114" s="358"/>
      <c r="G1114" s="358"/>
      <c r="H1114" s="358"/>
      <c r="J1114" s="312"/>
    </row>
    <row r="1115" spans="2:10" x14ac:dyDescent="0.2">
      <c r="B1115" s="358"/>
      <c r="C1115" s="358"/>
      <c r="D1115" s="358"/>
      <c r="E1115" s="358"/>
      <c r="F1115" s="358"/>
      <c r="G1115" s="358"/>
      <c r="H1115" s="358"/>
      <c r="J1115" s="312"/>
    </row>
    <row r="1116" spans="2:10" x14ac:dyDescent="0.2">
      <c r="B1116" s="358"/>
      <c r="C1116" s="358"/>
      <c r="D1116" s="358"/>
      <c r="E1116" s="358"/>
      <c r="F1116" s="358"/>
      <c r="G1116" s="358"/>
      <c r="H1116" s="358"/>
      <c r="J1116" s="312"/>
    </row>
    <row r="1117" spans="2:10" x14ac:dyDescent="0.2">
      <c r="B1117" s="358"/>
      <c r="C1117" s="358"/>
      <c r="D1117" s="358"/>
      <c r="E1117" s="358"/>
      <c r="F1117" s="358"/>
      <c r="G1117" s="358"/>
      <c r="H1117" s="358"/>
      <c r="J1117" s="312"/>
    </row>
    <row r="1118" spans="2:10" x14ac:dyDescent="0.2">
      <c r="B1118" s="358"/>
      <c r="C1118" s="358"/>
      <c r="D1118" s="358"/>
      <c r="E1118" s="358"/>
      <c r="F1118" s="358"/>
      <c r="G1118" s="358"/>
      <c r="H1118" s="358"/>
      <c r="J1118" s="312"/>
    </row>
    <row r="1119" spans="2:10" x14ac:dyDescent="0.2">
      <c r="B1119" s="358"/>
      <c r="C1119" s="358"/>
      <c r="D1119" s="358"/>
      <c r="E1119" s="358"/>
      <c r="F1119" s="358"/>
      <c r="G1119" s="358"/>
      <c r="H1119" s="358"/>
      <c r="J1119" s="312"/>
    </row>
    <row r="1120" spans="2:10" x14ac:dyDescent="0.2">
      <c r="B1120" s="358"/>
      <c r="C1120" s="358"/>
      <c r="D1120" s="358"/>
      <c r="E1120" s="358"/>
      <c r="F1120" s="358"/>
      <c r="G1120" s="358"/>
      <c r="H1120" s="358"/>
      <c r="J1120" s="312"/>
    </row>
    <row r="1121" spans="2:10" x14ac:dyDescent="0.2">
      <c r="B1121" s="358"/>
      <c r="C1121" s="358"/>
      <c r="D1121" s="358"/>
      <c r="E1121" s="358"/>
      <c r="F1121" s="358"/>
      <c r="G1121" s="358"/>
      <c r="H1121" s="358"/>
      <c r="J1121" s="312"/>
    </row>
    <row r="1122" spans="2:10" x14ac:dyDescent="0.2">
      <c r="B1122" s="358"/>
      <c r="C1122" s="358"/>
      <c r="D1122" s="358"/>
      <c r="E1122" s="358"/>
      <c r="F1122" s="358"/>
      <c r="G1122" s="358"/>
      <c r="H1122" s="358"/>
      <c r="J1122" s="312"/>
    </row>
    <row r="1123" spans="2:10" x14ac:dyDescent="0.2">
      <c r="B1123" s="358"/>
      <c r="C1123" s="358"/>
      <c r="D1123" s="358"/>
      <c r="E1123" s="358"/>
      <c r="F1123" s="358"/>
      <c r="G1123" s="358"/>
      <c r="H1123" s="358"/>
      <c r="J1123" s="312"/>
    </row>
    <row r="1124" spans="2:10" x14ac:dyDescent="0.2">
      <c r="B1124" s="358"/>
      <c r="C1124" s="358"/>
      <c r="D1124" s="358"/>
      <c r="E1124" s="358"/>
      <c r="F1124" s="358"/>
      <c r="G1124" s="358"/>
      <c r="H1124" s="358"/>
      <c r="J1124" s="312"/>
    </row>
    <row r="1125" spans="2:10" x14ac:dyDescent="0.2">
      <c r="B1125" s="358"/>
      <c r="C1125" s="358"/>
      <c r="D1125" s="358"/>
      <c r="E1125" s="358"/>
      <c r="F1125" s="358"/>
      <c r="G1125" s="358"/>
      <c r="H1125" s="358"/>
      <c r="J1125" s="312"/>
    </row>
    <row r="1126" spans="2:10" x14ac:dyDescent="0.2">
      <c r="B1126" s="358"/>
      <c r="C1126" s="358"/>
      <c r="D1126" s="358"/>
      <c r="E1126" s="358"/>
      <c r="F1126" s="358"/>
      <c r="G1126" s="358"/>
      <c r="H1126" s="358"/>
      <c r="J1126" s="312"/>
    </row>
    <row r="1127" spans="2:10" x14ac:dyDescent="0.2">
      <c r="B1127" s="358"/>
      <c r="C1127" s="358"/>
      <c r="D1127" s="358"/>
      <c r="E1127" s="358"/>
      <c r="F1127" s="358"/>
      <c r="G1127" s="358"/>
      <c r="H1127" s="358"/>
      <c r="J1127" s="312"/>
    </row>
    <row r="1128" spans="2:10" x14ac:dyDescent="0.2">
      <c r="B1128" s="358"/>
      <c r="C1128" s="358"/>
      <c r="D1128" s="358"/>
      <c r="E1128" s="358"/>
      <c r="F1128" s="358"/>
      <c r="G1128" s="358"/>
      <c r="H1128" s="358"/>
      <c r="J1128" s="312"/>
    </row>
    <row r="1129" spans="2:10" x14ac:dyDescent="0.2">
      <c r="B1129" s="358"/>
      <c r="C1129" s="358"/>
      <c r="D1129" s="358"/>
      <c r="E1129" s="358"/>
      <c r="F1129" s="358"/>
      <c r="G1129" s="358"/>
      <c r="H1129" s="358"/>
      <c r="J1129" s="312"/>
    </row>
    <row r="1130" spans="2:10" x14ac:dyDescent="0.2">
      <c r="B1130" s="358"/>
      <c r="C1130" s="358"/>
      <c r="D1130" s="358"/>
      <c r="E1130" s="358"/>
      <c r="F1130" s="358"/>
      <c r="G1130" s="358"/>
      <c r="H1130" s="358"/>
      <c r="J1130" s="312"/>
    </row>
    <row r="1131" spans="2:10" x14ac:dyDescent="0.2">
      <c r="B1131" s="358"/>
      <c r="C1131" s="358"/>
      <c r="D1131" s="358"/>
      <c r="E1131" s="358"/>
      <c r="F1131" s="358"/>
      <c r="G1131" s="358"/>
      <c r="H1131" s="358"/>
      <c r="J1131" s="312"/>
    </row>
    <row r="1132" spans="2:10" x14ac:dyDescent="0.2">
      <c r="B1132" s="358"/>
      <c r="C1132" s="358"/>
      <c r="D1132" s="358"/>
      <c r="E1132" s="358"/>
      <c r="F1132" s="358"/>
      <c r="G1132" s="358"/>
      <c r="H1132" s="358"/>
      <c r="J1132" s="312"/>
    </row>
    <row r="1133" spans="2:10" x14ac:dyDescent="0.2">
      <c r="B1133" s="358"/>
      <c r="C1133" s="358"/>
      <c r="D1133" s="358"/>
      <c r="E1133" s="358"/>
      <c r="F1133" s="358"/>
      <c r="G1133" s="358"/>
      <c r="H1133" s="358"/>
      <c r="J1133" s="312"/>
    </row>
    <row r="1134" spans="2:10" x14ac:dyDescent="0.2">
      <c r="B1134" s="358"/>
      <c r="C1134" s="358"/>
      <c r="D1134" s="358"/>
      <c r="E1134" s="358"/>
      <c r="F1134" s="358"/>
      <c r="G1134" s="358"/>
      <c r="H1134" s="358"/>
      <c r="J1134" s="312"/>
    </row>
    <row r="1135" spans="2:10" x14ac:dyDescent="0.2">
      <c r="B1135" s="358"/>
      <c r="C1135" s="358"/>
      <c r="D1135" s="358"/>
      <c r="E1135" s="358"/>
      <c r="F1135" s="358"/>
      <c r="G1135" s="358"/>
      <c r="H1135" s="358"/>
      <c r="J1135" s="312"/>
    </row>
    <row r="1136" spans="2:10" x14ac:dyDescent="0.2">
      <c r="B1136" s="358"/>
      <c r="C1136" s="358"/>
      <c r="D1136" s="358"/>
      <c r="E1136" s="358"/>
      <c r="F1136" s="358"/>
      <c r="G1136" s="358"/>
      <c r="H1136" s="358"/>
      <c r="J1136" s="312"/>
    </row>
    <row r="1137" spans="2:10" x14ac:dyDescent="0.2">
      <c r="B1137" s="358"/>
      <c r="C1137" s="358"/>
      <c r="D1137" s="358"/>
      <c r="E1137" s="358"/>
      <c r="F1137" s="358"/>
      <c r="G1137" s="358"/>
      <c r="H1137" s="358"/>
      <c r="J1137" s="312"/>
    </row>
    <row r="1138" spans="2:10" x14ac:dyDescent="0.2">
      <c r="B1138" s="358"/>
      <c r="C1138" s="358"/>
      <c r="D1138" s="358"/>
      <c r="E1138" s="358"/>
      <c r="F1138" s="358"/>
      <c r="G1138" s="358"/>
      <c r="H1138" s="358"/>
      <c r="J1138" s="312"/>
    </row>
    <row r="1139" spans="2:10" x14ac:dyDescent="0.2">
      <c r="B1139" s="358"/>
      <c r="C1139" s="358"/>
      <c r="D1139" s="358"/>
      <c r="E1139" s="358"/>
      <c r="F1139" s="358"/>
      <c r="G1139" s="358"/>
      <c r="H1139" s="358"/>
      <c r="J1139" s="312"/>
    </row>
    <row r="1140" spans="2:10" x14ac:dyDescent="0.2">
      <c r="B1140" s="358"/>
      <c r="C1140" s="358"/>
      <c r="D1140" s="358"/>
      <c r="E1140" s="358"/>
      <c r="F1140" s="358"/>
      <c r="G1140" s="358"/>
      <c r="H1140" s="358"/>
      <c r="J1140" s="312"/>
    </row>
    <row r="1141" spans="2:10" x14ac:dyDescent="0.2">
      <c r="B1141" s="358"/>
      <c r="C1141" s="358"/>
      <c r="D1141" s="358"/>
      <c r="E1141" s="358"/>
      <c r="F1141" s="358"/>
      <c r="G1141" s="358"/>
      <c r="H1141" s="358"/>
      <c r="J1141" s="312"/>
    </row>
    <row r="1142" spans="2:10" x14ac:dyDescent="0.2">
      <c r="B1142" s="358"/>
      <c r="C1142" s="358"/>
      <c r="D1142" s="358"/>
      <c r="E1142" s="358"/>
      <c r="F1142" s="358"/>
      <c r="G1142" s="358"/>
      <c r="H1142" s="358"/>
      <c r="J1142" s="312"/>
    </row>
    <row r="1143" spans="2:10" x14ac:dyDescent="0.2">
      <c r="B1143" s="358"/>
      <c r="C1143" s="358"/>
      <c r="D1143" s="358"/>
      <c r="E1143" s="358"/>
      <c r="F1143" s="358"/>
      <c r="G1143" s="358"/>
      <c r="H1143" s="358"/>
      <c r="J1143" s="312"/>
    </row>
    <row r="1144" spans="2:10" x14ac:dyDescent="0.2">
      <c r="B1144" s="358"/>
      <c r="C1144" s="358"/>
      <c r="D1144" s="358"/>
      <c r="E1144" s="358"/>
      <c r="F1144" s="358"/>
      <c r="G1144" s="358"/>
      <c r="H1144" s="358"/>
      <c r="J1144" s="312"/>
    </row>
    <row r="1145" spans="2:10" x14ac:dyDescent="0.2">
      <c r="B1145" s="358"/>
      <c r="C1145" s="358"/>
      <c r="D1145" s="358"/>
      <c r="E1145" s="358"/>
      <c r="F1145" s="358"/>
      <c r="G1145" s="358"/>
      <c r="H1145" s="358"/>
      <c r="J1145" s="312"/>
    </row>
    <row r="1146" spans="2:10" x14ac:dyDescent="0.2">
      <c r="B1146" s="358"/>
      <c r="C1146" s="358"/>
      <c r="D1146" s="358"/>
      <c r="E1146" s="358"/>
      <c r="F1146" s="358"/>
      <c r="G1146" s="358"/>
      <c r="H1146" s="358"/>
      <c r="J1146" s="312"/>
    </row>
    <row r="1147" spans="2:10" x14ac:dyDescent="0.2">
      <c r="B1147" s="358"/>
      <c r="C1147" s="358"/>
      <c r="D1147" s="358"/>
      <c r="E1147" s="358"/>
      <c r="F1147" s="358"/>
      <c r="G1147" s="358"/>
      <c r="H1147" s="358"/>
      <c r="J1147" s="312"/>
    </row>
    <row r="1148" spans="2:10" x14ac:dyDescent="0.2">
      <c r="B1148" s="358"/>
      <c r="C1148" s="358"/>
      <c r="D1148" s="358"/>
      <c r="E1148" s="358"/>
      <c r="F1148" s="358"/>
      <c r="G1148" s="358"/>
      <c r="H1148" s="358"/>
      <c r="J1148" s="312"/>
    </row>
    <row r="1149" spans="2:10" x14ac:dyDescent="0.2">
      <c r="B1149" s="358"/>
      <c r="C1149" s="358"/>
      <c r="D1149" s="358"/>
      <c r="E1149" s="358"/>
      <c r="F1149" s="358"/>
      <c r="G1149" s="358"/>
      <c r="H1149" s="358"/>
      <c r="J1149" s="312"/>
    </row>
    <row r="1150" spans="2:10" x14ac:dyDescent="0.2">
      <c r="B1150" s="358"/>
      <c r="C1150" s="358"/>
      <c r="D1150" s="358"/>
      <c r="E1150" s="358"/>
      <c r="F1150" s="358"/>
      <c r="G1150" s="358"/>
      <c r="H1150" s="358"/>
      <c r="J1150" s="312"/>
    </row>
    <row r="1151" spans="2:10" x14ac:dyDescent="0.2">
      <c r="B1151" s="358"/>
      <c r="C1151" s="358"/>
      <c r="D1151" s="358"/>
      <c r="E1151" s="358"/>
      <c r="F1151" s="358"/>
      <c r="G1151" s="358"/>
      <c r="H1151" s="358"/>
      <c r="J1151" s="312"/>
    </row>
    <row r="1152" spans="2:10" x14ac:dyDescent="0.2">
      <c r="B1152" s="358"/>
      <c r="C1152" s="358"/>
      <c r="D1152" s="358"/>
      <c r="E1152" s="358"/>
      <c r="F1152" s="358"/>
      <c r="G1152" s="358"/>
      <c r="H1152" s="358"/>
      <c r="J1152" s="312"/>
    </row>
    <row r="1153" spans="2:10" x14ac:dyDescent="0.2">
      <c r="B1153" s="358"/>
      <c r="C1153" s="358"/>
      <c r="D1153" s="358"/>
      <c r="E1153" s="358"/>
      <c r="F1153" s="358"/>
      <c r="G1153" s="358"/>
      <c r="H1153" s="358"/>
      <c r="J1153" s="312"/>
    </row>
    <row r="1154" spans="2:10" x14ac:dyDescent="0.2">
      <c r="B1154" s="358"/>
      <c r="C1154" s="358"/>
      <c r="D1154" s="358"/>
      <c r="E1154" s="358"/>
      <c r="F1154" s="358"/>
      <c r="G1154" s="358"/>
      <c r="H1154" s="358"/>
      <c r="J1154" s="312"/>
    </row>
    <row r="1155" spans="2:10" x14ac:dyDescent="0.2">
      <c r="B1155" s="358"/>
      <c r="C1155" s="358"/>
      <c r="D1155" s="358"/>
      <c r="E1155" s="358"/>
      <c r="F1155" s="358"/>
      <c r="G1155" s="358"/>
      <c r="H1155" s="358"/>
      <c r="J1155" s="312"/>
    </row>
    <row r="1156" spans="2:10" x14ac:dyDescent="0.2">
      <c r="B1156" s="358"/>
      <c r="C1156" s="358"/>
      <c r="D1156" s="358"/>
      <c r="E1156" s="358"/>
      <c r="F1156" s="358"/>
      <c r="G1156" s="358"/>
      <c r="H1156" s="358"/>
      <c r="J1156" s="312"/>
    </row>
    <row r="1157" spans="2:10" x14ac:dyDescent="0.2">
      <c r="B1157" s="358"/>
      <c r="C1157" s="358"/>
      <c r="D1157" s="358"/>
      <c r="E1157" s="358"/>
      <c r="F1157" s="358"/>
      <c r="G1157" s="358"/>
      <c r="H1157" s="358"/>
      <c r="J1157" s="312"/>
    </row>
    <row r="1158" spans="2:10" x14ac:dyDescent="0.2">
      <c r="B1158" s="358"/>
      <c r="C1158" s="358"/>
      <c r="D1158" s="358"/>
      <c r="E1158" s="358"/>
      <c r="F1158" s="358"/>
      <c r="G1158" s="358"/>
      <c r="H1158" s="358"/>
      <c r="J1158" s="312"/>
    </row>
    <row r="1159" spans="2:10" x14ac:dyDescent="0.2">
      <c r="B1159" s="358"/>
      <c r="C1159" s="358"/>
      <c r="D1159" s="358"/>
      <c r="E1159" s="358"/>
      <c r="F1159" s="358"/>
      <c r="G1159" s="358"/>
      <c r="H1159" s="358"/>
      <c r="J1159" s="312"/>
    </row>
    <row r="1160" spans="2:10" x14ac:dyDescent="0.2">
      <c r="B1160" s="358"/>
      <c r="C1160" s="358"/>
      <c r="D1160" s="358"/>
      <c r="E1160" s="358"/>
      <c r="F1160" s="358"/>
      <c r="G1160" s="358"/>
      <c r="H1160" s="358"/>
      <c r="J1160" s="312"/>
    </row>
    <row r="1161" spans="2:10" x14ac:dyDescent="0.2">
      <c r="B1161" s="358"/>
      <c r="C1161" s="358"/>
      <c r="D1161" s="358"/>
      <c r="E1161" s="358"/>
      <c r="F1161" s="358"/>
      <c r="G1161" s="358"/>
      <c r="H1161" s="358"/>
      <c r="J1161" s="312"/>
    </row>
    <row r="1162" spans="2:10" x14ac:dyDescent="0.2">
      <c r="B1162" s="358"/>
      <c r="C1162" s="358"/>
      <c r="D1162" s="358"/>
      <c r="E1162" s="358"/>
      <c r="F1162" s="358"/>
      <c r="G1162" s="358"/>
      <c r="H1162" s="358"/>
      <c r="J1162" s="312"/>
    </row>
    <row r="1163" spans="2:10" x14ac:dyDescent="0.2">
      <c r="B1163" s="358"/>
      <c r="C1163" s="358"/>
      <c r="D1163" s="358"/>
      <c r="E1163" s="358"/>
      <c r="F1163" s="358"/>
      <c r="G1163" s="358"/>
      <c r="H1163" s="358"/>
      <c r="J1163" s="312"/>
    </row>
    <row r="1164" spans="2:10" x14ac:dyDescent="0.2">
      <c r="B1164" s="358"/>
      <c r="C1164" s="358"/>
      <c r="D1164" s="358"/>
      <c r="E1164" s="358"/>
      <c r="F1164" s="358"/>
      <c r="G1164" s="358"/>
      <c r="H1164" s="358"/>
      <c r="J1164" s="312"/>
    </row>
    <row r="1165" spans="2:10" x14ac:dyDescent="0.2">
      <c r="B1165" s="358"/>
      <c r="C1165" s="358"/>
      <c r="D1165" s="358"/>
      <c r="E1165" s="358"/>
      <c r="F1165" s="358"/>
      <c r="G1165" s="358"/>
      <c r="H1165" s="358"/>
      <c r="J1165" s="312"/>
    </row>
    <row r="1166" spans="2:10" x14ac:dyDescent="0.2">
      <c r="B1166" s="358"/>
      <c r="C1166" s="358"/>
      <c r="D1166" s="358"/>
      <c r="E1166" s="358"/>
      <c r="F1166" s="358"/>
      <c r="G1166" s="358"/>
      <c r="H1166" s="358"/>
      <c r="J1166" s="312"/>
    </row>
    <row r="1167" spans="2:10" x14ac:dyDescent="0.2">
      <c r="B1167" s="358"/>
      <c r="C1167" s="358"/>
      <c r="D1167" s="358"/>
      <c r="E1167" s="358"/>
      <c r="F1167" s="358"/>
      <c r="G1167" s="358"/>
      <c r="H1167" s="358"/>
      <c r="J1167" s="312"/>
    </row>
    <row r="1168" spans="2:10" x14ac:dyDescent="0.2">
      <c r="B1168" s="358"/>
      <c r="C1168" s="358"/>
      <c r="D1168" s="358"/>
      <c r="E1168" s="358"/>
      <c r="F1168" s="358"/>
      <c r="G1168" s="358"/>
      <c r="H1168" s="358"/>
      <c r="J1168" s="312"/>
    </row>
    <row r="1169" spans="2:10" x14ac:dyDescent="0.2">
      <c r="B1169" s="358"/>
      <c r="C1169" s="358"/>
      <c r="D1169" s="358"/>
      <c r="E1169" s="358"/>
      <c r="F1169" s="358"/>
      <c r="G1169" s="358"/>
      <c r="H1169" s="358"/>
      <c r="J1169" s="312"/>
    </row>
    <row r="1170" spans="2:10" x14ac:dyDescent="0.2">
      <c r="B1170" s="358"/>
      <c r="C1170" s="358"/>
      <c r="D1170" s="358"/>
      <c r="E1170" s="358"/>
      <c r="F1170" s="358"/>
      <c r="G1170" s="358"/>
      <c r="H1170" s="358"/>
      <c r="J1170" s="312"/>
    </row>
    <row r="1171" spans="2:10" x14ac:dyDescent="0.2">
      <c r="B1171" s="358"/>
      <c r="C1171" s="358"/>
      <c r="D1171" s="358"/>
      <c r="E1171" s="358"/>
      <c r="F1171" s="358"/>
      <c r="G1171" s="358"/>
      <c r="H1171" s="358"/>
      <c r="J1171" s="312"/>
    </row>
    <row r="1172" spans="2:10" x14ac:dyDescent="0.2">
      <c r="B1172" s="358"/>
      <c r="C1172" s="358"/>
      <c r="D1172" s="358"/>
      <c r="E1172" s="358"/>
      <c r="F1172" s="358"/>
      <c r="G1172" s="358"/>
      <c r="H1172" s="358"/>
      <c r="J1172" s="312"/>
    </row>
    <row r="1173" spans="2:10" x14ac:dyDescent="0.2">
      <c r="B1173" s="358"/>
      <c r="C1173" s="358"/>
      <c r="D1173" s="358"/>
      <c r="E1173" s="358"/>
      <c r="F1173" s="358"/>
      <c r="G1173" s="358"/>
      <c r="H1173" s="358"/>
      <c r="J1173" s="312"/>
    </row>
    <row r="1174" spans="2:10" x14ac:dyDescent="0.2">
      <c r="B1174" s="358"/>
      <c r="C1174" s="358"/>
      <c r="D1174" s="358"/>
      <c r="E1174" s="358"/>
      <c r="F1174" s="358"/>
      <c r="G1174" s="358"/>
      <c r="H1174" s="358"/>
      <c r="J1174" s="312"/>
    </row>
    <row r="1175" spans="2:10" x14ac:dyDescent="0.2">
      <c r="B1175" s="358"/>
      <c r="C1175" s="358"/>
      <c r="D1175" s="358"/>
      <c r="E1175" s="358"/>
      <c r="F1175" s="358"/>
      <c r="G1175" s="358"/>
      <c r="H1175" s="358"/>
      <c r="J1175" s="312"/>
    </row>
    <row r="1176" spans="2:10" x14ac:dyDescent="0.2">
      <c r="B1176" s="358"/>
      <c r="C1176" s="358"/>
      <c r="D1176" s="358"/>
      <c r="E1176" s="358"/>
      <c r="F1176" s="358"/>
      <c r="G1176" s="358"/>
      <c r="H1176" s="358"/>
      <c r="J1176" s="312"/>
    </row>
    <row r="1177" spans="2:10" x14ac:dyDescent="0.2">
      <c r="B1177" s="358"/>
      <c r="C1177" s="358"/>
      <c r="D1177" s="358"/>
      <c r="E1177" s="358"/>
      <c r="F1177" s="358"/>
      <c r="G1177" s="358"/>
      <c r="H1177" s="358"/>
      <c r="J1177" s="312"/>
    </row>
    <row r="1178" spans="2:10" x14ac:dyDescent="0.2">
      <c r="B1178" s="358"/>
      <c r="C1178" s="358"/>
      <c r="D1178" s="358"/>
      <c r="E1178" s="358"/>
      <c r="F1178" s="358"/>
      <c r="G1178" s="358"/>
      <c r="H1178" s="358"/>
      <c r="J1178" s="312"/>
    </row>
    <row r="1179" spans="2:10" x14ac:dyDescent="0.2">
      <c r="B1179" s="358"/>
      <c r="C1179" s="358"/>
      <c r="D1179" s="358"/>
      <c r="E1179" s="358"/>
      <c r="F1179" s="358"/>
      <c r="G1179" s="358"/>
      <c r="H1179" s="358"/>
      <c r="J1179" s="312"/>
    </row>
    <row r="1180" spans="2:10" x14ac:dyDescent="0.2">
      <c r="B1180" s="358"/>
      <c r="C1180" s="358"/>
      <c r="D1180" s="358"/>
      <c r="E1180" s="358"/>
      <c r="F1180" s="358"/>
      <c r="G1180" s="358"/>
      <c r="H1180" s="358"/>
      <c r="J1180" s="312"/>
    </row>
    <row r="1181" spans="2:10" x14ac:dyDescent="0.2">
      <c r="B1181" s="358"/>
      <c r="C1181" s="358"/>
      <c r="D1181" s="358"/>
      <c r="E1181" s="358"/>
      <c r="F1181" s="358"/>
      <c r="G1181" s="358"/>
      <c r="H1181" s="358"/>
      <c r="J1181" s="312"/>
    </row>
    <row r="1182" spans="2:10" x14ac:dyDescent="0.2">
      <c r="B1182" s="358"/>
      <c r="C1182" s="358"/>
      <c r="D1182" s="358"/>
      <c r="E1182" s="358"/>
      <c r="F1182" s="358"/>
      <c r="G1182" s="358"/>
      <c r="H1182" s="358"/>
      <c r="J1182" s="312"/>
    </row>
    <row r="1183" spans="2:10" x14ac:dyDescent="0.2">
      <c r="B1183" s="358"/>
      <c r="C1183" s="358"/>
      <c r="D1183" s="358"/>
      <c r="E1183" s="358"/>
      <c r="F1183" s="358"/>
      <c r="G1183" s="358"/>
      <c r="H1183" s="358"/>
      <c r="J1183" s="312"/>
    </row>
    <row r="1184" spans="2:10" x14ac:dyDescent="0.2">
      <c r="B1184" s="358"/>
      <c r="C1184" s="358"/>
      <c r="D1184" s="358"/>
      <c r="E1184" s="358"/>
      <c r="F1184" s="358"/>
      <c r="G1184" s="358"/>
      <c r="H1184" s="358"/>
      <c r="J1184" s="312"/>
    </row>
    <row r="1185" spans="2:10" x14ac:dyDescent="0.2">
      <c r="B1185" s="358"/>
      <c r="C1185" s="358"/>
      <c r="D1185" s="358"/>
      <c r="E1185" s="358"/>
      <c r="F1185" s="358"/>
      <c r="G1185" s="358"/>
      <c r="H1185" s="358"/>
      <c r="J1185" s="312"/>
    </row>
    <row r="1186" spans="2:10" x14ac:dyDescent="0.2">
      <c r="B1186" s="358"/>
      <c r="C1186" s="358"/>
      <c r="D1186" s="358"/>
      <c r="E1186" s="358"/>
      <c r="F1186" s="358"/>
      <c r="G1186" s="358"/>
      <c r="H1186" s="358"/>
      <c r="J1186" s="312"/>
    </row>
    <row r="1187" spans="2:10" x14ac:dyDescent="0.2">
      <c r="B1187" s="358"/>
      <c r="C1187" s="358"/>
      <c r="D1187" s="358"/>
      <c r="E1187" s="358"/>
      <c r="F1187" s="358"/>
      <c r="G1187" s="358"/>
      <c r="H1187" s="358"/>
      <c r="J1187" s="312"/>
    </row>
    <row r="1188" spans="2:10" x14ac:dyDescent="0.2">
      <c r="B1188" s="358"/>
      <c r="C1188" s="358"/>
      <c r="D1188" s="358"/>
      <c r="E1188" s="358"/>
      <c r="F1188" s="358"/>
      <c r="G1188" s="358"/>
      <c r="H1188" s="358"/>
      <c r="J1188" s="312"/>
    </row>
    <row r="1189" spans="2:10" x14ac:dyDescent="0.2">
      <c r="B1189" s="358"/>
      <c r="C1189" s="358"/>
      <c r="D1189" s="358"/>
      <c r="E1189" s="358"/>
      <c r="F1189" s="358"/>
      <c r="G1189" s="358"/>
      <c r="H1189" s="358"/>
      <c r="J1189" s="312"/>
    </row>
    <row r="1190" spans="2:10" x14ac:dyDescent="0.2">
      <c r="B1190" s="358"/>
      <c r="C1190" s="358"/>
      <c r="D1190" s="358"/>
      <c r="E1190" s="358"/>
      <c r="F1190" s="358"/>
      <c r="G1190" s="358"/>
      <c r="H1190" s="358"/>
      <c r="J1190" s="312"/>
    </row>
    <row r="1191" spans="2:10" x14ac:dyDescent="0.2">
      <c r="B1191" s="358"/>
      <c r="C1191" s="358"/>
      <c r="D1191" s="358"/>
      <c r="E1191" s="358"/>
      <c r="F1191" s="358"/>
      <c r="G1191" s="358"/>
      <c r="H1191" s="358"/>
      <c r="J1191" s="312"/>
    </row>
    <row r="1192" spans="2:10" x14ac:dyDescent="0.2">
      <c r="B1192" s="358"/>
      <c r="C1192" s="358"/>
      <c r="D1192" s="358"/>
      <c r="E1192" s="358"/>
      <c r="F1192" s="358"/>
      <c r="G1192" s="358"/>
      <c r="H1192" s="358"/>
      <c r="J1192" s="312"/>
    </row>
    <row r="1193" spans="2:10" x14ac:dyDescent="0.2">
      <c r="B1193" s="358"/>
      <c r="C1193" s="358"/>
      <c r="D1193" s="358"/>
      <c r="E1193" s="358"/>
      <c r="F1193" s="358"/>
      <c r="G1193" s="358"/>
      <c r="H1193" s="358"/>
      <c r="J1193" s="312"/>
    </row>
    <row r="1194" spans="2:10" x14ac:dyDescent="0.2">
      <c r="B1194" s="358"/>
      <c r="C1194" s="358"/>
      <c r="D1194" s="358"/>
      <c r="E1194" s="358"/>
      <c r="F1194" s="358"/>
      <c r="G1194" s="358"/>
      <c r="H1194" s="358"/>
      <c r="J1194" s="312"/>
    </row>
    <row r="1195" spans="2:10" x14ac:dyDescent="0.2">
      <c r="B1195" s="358"/>
      <c r="C1195" s="358"/>
      <c r="D1195" s="358"/>
      <c r="E1195" s="358"/>
      <c r="F1195" s="358"/>
      <c r="G1195" s="358"/>
      <c r="H1195" s="358"/>
      <c r="J1195" s="312"/>
    </row>
    <row r="1196" spans="2:10" x14ac:dyDescent="0.2">
      <c r="B1196" s="358"/>
      <c r="C1196" s="358"/>
      <c r="D1196" s="358"/>
      <c r="E1196" s="358"/>
      <c r="F1196" s="358"/>
      <c r="G1196" s="358"/>
      <c r="H1196" s="358"/>
      <c r="J1196" s="312"/>
    </row>
    <row r="1197" spans="2:10" x14ac:dyDescent="0.2">
      <c r="B1197" s="358"/>
      <c r="C1197" s="358"/>
      <c r="D1197" s="358"/>
      <c r="E1197" s="358"/>
      <c r="F1197" s="358"/>
      <c r="G1197" s="358"/>
      <c r="H1197" s="358"/>
      <c r="J1197" s="312"/>
    </row>
    <row r="1198" spans="2:10" x14ac:dyDescent="0.2">
      <c r="B1198" s="358"/>
      <c r="C1198" s="358"/>
      <c r="D1198" s="358"/>
      <c r="E1198" s="358"/>
      <c r="F1198" s="358"/>
      <c r="G1198" s="358"/>
      <c r="H1198" s="358"/>
      <c r="J1198" s="312"/>
    </row>
    <row r="1199" spans="2:10" x14ac:dyDescent="0.2">
      <c r="B1199" s="358"/>
      <c r="C1199" s="358"/>
      <c r="D1199" s="358"/>
      <c r="E1199" s="358"/>
      <c r="F1199" s="358"/>
      <c r="G1199" s="358"/>
      <c r="H1199" s="358"/>
      <c r="J1199" s="312"/>
    </row>
    <row r="1200" spans="2:10" x14ac:dyDescent="0.2">
      <c r="B1200" s="358"/>
      <c r="C1200" s="358"/>
      <c r="D1200" s="358"/>
      <c r="E1200" s="358"/>
      <c r="F1200" s="358"/>
      <c r="G1200" s="358"/>
      <c r="H1200" s="358"/>
      <c r="J1200" s="312"/>
    </row>
    <row r="1201" spans="2:10" x14ac:dyDescent="0.2">
      <c r="B1201" s="358"/>
      <c r="C1201" s="358"/>
      <c r="D1201" s="358"/>
      <c r="E1201" s="358"/>
      <c r="F1201" s="358"/>
      <c r="G1201" s="358"/>
      <c r="H1201" s="358"/>
      <c r="J1201" s="312"/>
    </row>
    <row r="1202" spans="2:10" x14ac:dyDescent="0.2">
      <c r="B1202" s="358"/>
      <c r="C1202" s="358"/>
      <c r="D1202" s="358"/>
      <c r="E1202" s="358"/>
      <c r="F1202" s="358"/>
      <c r="G1202" s="358"/>
      <c r="H1202" s="358"/>
      <c r="J1202" s="312"/>
    </row>
    <row r="1203" spans="2:10" x14ac:dyDescent="0.2">
      <c r="B1203" s="358"/>
      <c r="C1203" s="358"/>
      <c r="D1203" s="358"/>
      <c r="E1203" s="358"/>
      <c r="F1203" s="358"/>
      <c r="G1203" s="358"/>
      <c r="H1203" s="358"/>
      <c r="J1203" s="312"/>
    </row>
    <row r="1204" spans="2:10" x14ac:dyDescent="0.2">
      <c r="B1204" s="358"/>
      <c r="C1204" s="358"/>
      <c r="D1204" s="358"/>
      <c r="E1204" s="358"/>
      <c r="F1204" s="358"/>
      <c r="G1204" s="358"/>
      <c r="H1204" s="358"/>
      <c r="J1204" s="312"/>
    </row>
    <row r="1205" spans="2:10" x14ac:dyDescent="0.2">
      <c r="B1205" s="358"/>
      <c r="C1205" s="358"/>
      <c r="D1205" s="358"/>
      <c r="E1205" s="358"/>
      <c r="F1205" s="358"/>
      <c r="G1205" s="358"/>
      <c r="H1205" s="358"/>
      <c r="J1205" s="312"/>
    </row>
    <row r="1206" spans="2:10" x14ac:dyDescent="0.2">
      <c r="B1206" s="358"/>
      <c r="C1206" s="358"/>
      <c r="D1206" s="358"/>
      <c r="E1206" s="358"/>
      <c r="F1206" s="358"/>
      <c r="G1206" s="358"/>
      <c r="H1206" s="358"/>
      <c r="J1206" s="312"/>
    </row>
    <row r="1207" spans="2:10" x14ac:dyDescent="0.2">
      <c r="B1207" s="358"/>
      <c r="C1207" s="358"/>
      <c r="D1207" s="358"/>
      <c r="E1207" s="358"/>
      <c r="F1207" s="358"/>
      <c r="G1207" s="358"/>
      <c r="H1207" s="358"/>
      <c r="J1207" s="312"/>
    </row>
    <row r="1208" spans="2:10" x14ac:dyDescent="0.2">
      <c r="B1208" s="358"/>
      <c r="C1208" s="358"/>
      <c r="D1208" s="358"/>
      <c r="E1208" s="358"/>
      <c r="F1208" s="358"/>
      <c r="G1208" s="358"/>
      <c r="H1208" s="358"/>
      <c r="J1208" s="312"/>
    </row>
    <row r="1209" spans="2:10" x14ac:dyDescent="0.2">
      <c r="B1209" s="358"/>
      <c r="C1209" s="358"/>
      <c r="D1209" s="358"/>
      <c r="E1209" s="358"/>
      <c r="F1209" s="358"/>
      <c r="G1209" s="358"/>
      <c r="H1209" s="358"/>
      <c r="J1209" s="312"/>
    </row>
    <row r="1210" spans="2:10" x14ac:dyDescent="0.2">
      <c r="B1210" s="358"/>
      <c r="C1210" s="358"/>
      <c r="D1210" s="358"/>
      <c r="E1210" s="358"/>
      <c r="F1210" s="358"/>
      <c r="G1210" s="358"/>
      <c r="H1210" s="358"/>
      <c r="J1210" s="312"/>
    </row>
    <row r="1211" spans="2:10" x14ac:dyDescent="0.2">
      <c r="B1211" s="358"/>
      <c r="C1211" s="358"/>
      <c r="D1211" s="358"/>
      <c r="E1211" s="358"/>
      <c r="F1211" s="358"/>
      <c r="G1211" s="358"/>
      <c r="H1211" s="358"/>
      <c r="J1211" s="312"/>
    </row>
    <row r="1212" spans="2:10" x14ac:dyDescent="0.2">
      <c r="B1212" s="358"/>
      <c r="C1212" s="358"/>
      <c r="D1212" s="358"/>
      <c r="E1212" s="358"/>
      <c r="F1212" s="358"/>
      <c r="G1212" s="358"/>
      <c r="H1212" s="358"/>
      <c r="J1212" s="312"/>
    </row>
    <row r="1213" spans="2:10" x14ac:dyDescent="0.2">
      <c r="B1213" s="358"/>
      <c r="C1213" s="358"/>
      <c r="D1213" s="358"/>
      <c r="E1213" s="358"/>
      <c r="F1213" s="358"/>
      <c r="G1213" s="358"/>
      <c r="H1213" s="358"/>
      <c r="J1213" s="312"/>
    </row>
    <row r="1214" spans="2:10" x14ac:dyDescent="0.2">
      <c r="B1214" s="358"/>
      <c r="C1214" s="358"/>
      <c r="D1214" s="358"/>
      <c r="E1214" s="358"/>
      <c r="F1214" s="358"/>
      <c r="G1214" s="358"/>
      <c r="H1214" s="358"/>
      <c r="J1214" s="312"/>
    </row>
    <row r="1215" spans="2:10" x14ac:dyDescent="0.2">
      <c r="B1215" s="358"/>
      <c r="C1215" s="358"/>
      <c r="D1215" s="358"/>
      <c r="E1215" s="358"/>
      <c r="F1215" s="358"/>
      <c r="G1215" s="358"/>
      <c r="H1215" s="358"/>
      <c r="J1215" s="312"/>
    </row>
    <row r="1216" spans="2:10" x14ac:dyDescent="0.2">
      <c r="B1216" s="358"/>
      <c r="C1216" s="358"/>
      <c r="D1216" s="358"/>
      <c r="E1216" s="358"/>
      <c r="F1216" s="358"/>
      <c r="G1216" s="358"/>
      <c r="H1216" s="358"/>
      <c r="J1216" s="312"/>
    </row>
    <row r="1217" spans="2:10" x14ac:dyDescent="0.2">
      <c r="B1217" s="358"/>
      <c r="C1217" s="358"/>
      <c r="D1217" s="358"/>
      <c r="E1217" s="358"/>
      <c r="F1217" s="358"/>
      <c r="G1217" s="358"/>
      <c r="H1217" s="358"/>
      <c r="J1217" s="312"/>
    </row>
    <row r="1218" spans="2:10" x14ac:dyDescent="0.2">
      <c r="B1218" s="358"/>
      <c r="C1218" s="358"/>
      <c r="D1218" s="358"/>
      <c r="E1218" s="358"/>
      <c r="F1218" s="358"/>
      <c r="G1218" s="358"/>
      <c r="H1218" s="358"/>
      <c r="J1218" s="312"/>
    </row>
    <row r="1219" spans="2:10" x14ac:dyDescent="0.2">
      <c r="B1219" s="358"/>
      <c r="C1219" s="358"/>
      <c r="D1219" s="358"/>
      <c r="E1219" s="358"/>
      <c r="F1219" s="358"/>
      <c r="G1219" s="358"/>
      <c r="H1219" s="358"/>
      <c r="J1219" s="312"/>
    </row>
    <row r="1220" spans="2:10" x14ac:dyDescent="0.2">
      <c r="B1220" s="358"/>
      <c r="C1220" s="358"/>
      <c r="D1220" s="358"/>
      <c r="E1220" s="358"/>
      <c r="F1220" s="358"/>
      <c r="G1220" s="358"/>
      <c r="H1220" s="358"/>
      <c r="J1220" s="312"/>
    </row>
    <row r="1221" spans="2:10" x14ac:dyDescent="0.2">
      <c r="B1221" s="358"/>
      <c r="C1221" s="358"/>
      <c r="D1221" s="358"/>
      <c r="E1221" s="358"/>
      <c r="F1221" s="358"/>
      <c r="G1221" s="358"/>
      <c r="H1221" s="358"/>
      <c r="J1221" s="312"/>
    </row>
    <row r="1222" spans="2:10" x14ac:dyDescent="0.2">
      <c r="B1222" s="358"/>
      <c r="C1222" s="358"/>
      <c r="D1222" s="358"/>
      <c r="E1222" s="358"/>
      <c r="F1222" s="358"/>
      <c r="G1222" s="358"/>
      <c r="H1222" s="358"/>
      <c r="J1222" s="312"/>
    </row>
    <row r="1223" spans="2:10" x14ac:dyDescent="0.2">
      <c r="B1223" s="358"/>
      <c r="C1223" s="358"/>
      <c r="D1223" s="358"/>
      <c r="E1223" s="358"/>
      <c r="F1223" s="358"/>
      <c r="G1223" s="358"/>
      <c r="H1223" s="358"/>
      <c r="J1223" s="312"/>
    </row>
    <row r="1224" spans="2:10" x14ac:dyDescent="0.2">
      <c r="B1224" s="358"/>
      <c r="C1224" s="358"/>
      <c r="D1224" s="358"/>
      <c r="E1224" s="358"/>
      <c r="F1224" s="358"/>
      <c r="G1224" s="358"/>
      <c r="H1224" s="358"/>
      <c r="J1224" s="312"/>
    </row>
    <row r="1225" spans="2:10" x14ac:dyDescent="0.2">
      <c r="B1225" s="358"/>
      <c r="C1225" s="358"/>
      <c r="D1225" s="358"/>
      <c r="E1225" s="358"/>
      <c r="F1225" s="358"/>
      <c r="G1225" s="358"/>
      <c r="H1225" s="358"/>
      <c r="J1225" s="312"/>
    </row>
    <row r="1226" spans="2:10" x14ac:dyDescent="0.2">
      <c r="B1226" s="358"/>
      <c r="C1226" s="358"/>
      <c r="D1226" s="358"/>
      <c r="E1226" s="358"/>
      <c r="F1226" s="358"/>
      <c r="G1226" s="358"/>
      <c r="H1226" s="358"/>
      <c r="J1226" s="312"/>
    </row>
    <row r="1227" spans="2:10" x14ac:dyDescent="0.2">
      <c r="B1227" s="358"/>
      <c r="C1227" s="358"/>
      <c r="D1227" s="358"/>
      <c r="E1227" s="358"/>
      <c r="F1227" s="358"/>
      <c r="G1227" s="358"/>
      <c r="H1227" s="358"/>
      <c r="J1227" s="312"/>
    </row>
    <row r="1228" spans="2:10" x14ac:dyDescent="0.2">
      <c r="B1228" s="358"/>
      <c r="C1228" s="358"/>
      <c r="D1228" s="358"/>
      <c r="E1228" s="358"/>
      <c r="F1228" s="358"/>
      <c r="G1228" s="358"/>
      <c r="H1228" s="358"/>
      <c r="J1228" s="312"/>
    </row>
    <row r="1229" spans="2:10" x14ac:dyDescent="0.2">
      <c r="B1229" s="358"/>
      <c r="C1229" s="358"/>
      <c r="D1229" s="358"/>
      <c r="E1229" s="358"/>
      <c r="F1229" s="358"/>
      <c r="G1229" s="358"/>
      <c r="H1229" s="358"/>
      <c r="J1229" s="312"/>
    </row>
    <row r="1230" spans="2:10" x14ac:dyDescent="0.2">
      <c r="B1230" s="358"/>
      <c r="C1230" s="358"/>
      <c r="D1230" s="358"/>
      <c r="E1230" s="358"/>
      <c r="F1230" s="358"/>
      <c r="G1230" s="358"/>
      <c r="H1230" s="358"/>
      <c r="J1230" s="312"/>
    </row>
    <row r="1231" spans="2:10" x14ac:dyDescent="0.2">
      <c r="B1231" s="358"/>
      <c r="C1231" s="358"/>
      <c r="D1231" s="358"/>
      <c r="E1231" s="358"/>
      <c r="F1231" s="358"/>
      <c r="G1231" s="358"/>
      <c r="H1231" s="358"/>
      <c r="J1231" s="312"/>
    </row>
    <row r="1232" spans="2:10" x14ac:dyDescent="0.2">
      <c r="B1232" s="358"/>
      <c r="C1232" s="358"/>
      <c r="D1232" s="358"/>
      <c r="E1232" s="358"/>
      <c r="F1232" s="358"/>
      <c r="G1232" s="358"/>
      <c r="H1232" s="358"/>
      <c r="J1232" s="312"/>
    </row>
    <row r="1233" spans="2:10" x14ac:dyDescent="0.2">
      <c r="B1233" s="358"/>
      <c r="C1233" s="358"/>
      <c r="D1233" s="358"/>
      <c r="E1233" s="358"/>
      <c r="F1233" s="358"/>
      <c r="G1233" s="358"/>
      <c r="H1233" s="358"/>
      <c r="J1233" s="312"/>
    </row>
    <row r="1234" spans="2:10" x14ac:dyDescent="0.2">
      <c r="B1234" s="358"/>
      <c r="C1234" s="358"/>
      <c r="D1234" s="358"/>
      <c r="E1234" s="358"/>
      <c r="F1234" s="358"/>
      <c r="G1234" s="358"/>
      <c r="H1234" s="358"/>
      <c r="J1234" s="312"/>
    </row>
    <row r="1235" spans="2:10" x14ac:dyDescent="0.2">
      <c r="B1235" s="358"/>
      <c r="C1235" s="358"/>
      <c r="D1235" s="358"/>
      <c r="E1235" s="358"/>
      <c r="F1235" s="358"/>
      <c r="G1235" s="358"/>
      <c r="H1235" s="358"/>
      <c r="J1235" s="312"/>
    </row>
    <row r="1236" spans="2:10" x14ac:dyDescent="0.2">
      <c r="B1236" s="358"/>
      <c r="C1236" s="358"/>
      <c r="D1236" s="358"/>
      <c r="E1236" s="358"/>
      <c r="F1236" s="358"/>
      <c r="G1236" s="358"/>
      <c r="H1236" s="358"/>
      <c r="J1236" s="312"/>
    </row>
    <row r="1237" spans="2:10" x14ac:dyDescent="0.2">
      <c r="B1237" s="358"/>
      <c r="C1237" s="358"/>
      <c r="D1237" s="358"/>
      <c r="E1237" s="358"/>
      <c r="F1237" s="358"/>
      <c r="G1237" s="358"/>
      <c r="H1237" s="358"/>
      <c r="J1237" s="312"/>
    </row>
    <row r="1238" spans="2:10" x14ac:dyDescent="0.2">
      <c r="B1238" s="358"/>
      <c r="C1238" s="358"/>
      <c r="D1238" s="358"/>
      <c r="E1238" s="358"/>
      <c r="F1238" s="358"/>
      <c r="G1238" s="358"/>
      <c r="H1238" s="358"/>
      <c r="J1238" s="312"/>
    </row>
    <row r="1239" spans="2:10" x14ac:dyDescent="0.2">
      <c r="B1239" s="358"/>
      <c r="C1239" s="358"/>
      <c r="D1239" s="358"/>
      <c r="E1239" s="358"/>
      <c r="F1239" s="358"/>
      <c r="G1239" s="358"/>
      <c r="H1239" s="358"/>
      <c r="J1239" s="312"/>
    </row>
    <row r="1240" spans="2:10" x14ac:dyDescent="0.2">
      <c r="B1240" s="358"/>
      <c r="C1240" s="358"/>
      <c r="D1240" s="358"/>
      <c r="E1240" s="358"/>
      <c r="F1240" s="358"/>
      <c r="G1240" s="358"/>
      <c r="H1240" s="358"/>
      <c r="J1240" s="312"/>
    </row>
    <row r="1241" spans="2:10" x14ac:dyDescent="0.2">
      <c r="B1241" s="358"/>
      <c r="C1241" s="358"/>
      <c r="D1241" s="358"/>
      <c r="E1241" s="358"/>
      <c r="F1241" s="358"/>
      <c r="G1241" s="358"/>
      <c r="H1241" s="358"/>
      <c r="J1241" s="312"/>
    </row>
    <row r="1242" spans="2:10" x14ac:dyDescent="0.2">
      <c r="B1242" s="358"/>
      <c r="C1242" s="358"/>
      <c r="D1242" s="358"/>
      <c r="E1242" s="358"/>
      <c r="F1242" s="358"/>
      <c r="G1242" s="358"/>
      <c r="H1242" s="358"/>
      <c r="J1242" s="312"/>
    </row>
    <row r="1243" spans="2:10" x14ac:dyDescent="0.2">
      <c r="B1243" s="358"/>
      <c r="C1243" s="358"/>
      <c r="D1243" s="358"/>
      <c r="E1243" s="358"/>
      <c r="F1243" s="358"/>
      <c r="G1243" s="358"/>
      <c r="H1243" s="358"/>
      <c r="J1243" s="312"/>
    </row>
    <row r="1244" spans="2:10" x14ac:dyDescent="0.2">
      <c r="B1244" s="358"/>
      <c r="C1244" s="358"/>
      <c r="D1244" s="358"/>
      <c r="E1244" s="358"/>
      <c r="F1244" s="358"/>
      <c r="G1244" s="358"/>
      <c r="H1244" s="358"/>
      <c r="J1244" s="312"/>
    </row>
    <row r="1245" spans="2:10" x14ac:dyDescent="0.2">
      <c r="B1245" s="358"/>
      <c r="C1245" s="358"/>
      <c r="D1245" s="358"/>
      <c r="E1245" s="358"/>
      <c r="F1245" s="358"/>
      <c r="G1245" s="358"/>
      <c r="H1245" s="358"/>
      <c r="J1245" s="312"/>
    </row>
    <row r="1246" spans="2:10" x14ac:dyDescent="0.2">
      <c r="B1246" s="358"/>
      <c r="C1246" s="358"/>
      <c r="D1246" s="358"/>
      <c r="E1246" s="358"/>
      <c r="F1246" s="358"/>
      <c r="G1246" s="358"/>
      <c r="H1246" s="358"/>
      <c r="J1246" s="312"/>
    </row>
    <row r="1247" spans="2:10" x14ac:dyDescent="0.2">
      <c r="B1247" s="358"/>
      <c r="C1247" s="358"/>
      <c r="D1247" s="358"/>
      <c r="E1247" s="358"/>
      <c r="F1247" s="358"/>
      <c r="G1247" s="358"/>
      <c r="H1247" s="358"/>
      <c r="J1247" s="312"/>
    </row>
    <row r="1248" spans="2:10" x14ac:dyDescent="0.2">
      <c r="B1248" s="358"/>
      <c r="C1248" s="358"/>
      <c r="D1248" s="358"/>
      <c r="E1248" s="358"/>
      <c r="F1248" s="358"/>
      <c r="G1248" s="358"/>
      <c r="H1248" s="358"/>
      <c r="J1248" s="312"/>
    </row>
    <row r="1249" spans="2:10" x14ac:dyDescent="0.2">
      <c r="B1249" s="358"/>
      <c r="C1249" s="358"/>
      <c r="D1249" s="358"/>
      <c r="E1249" s="358"/>
      <c r="F1249" s="358"/>
      <c r="G1249" s="358"/>
      <c r="H1249" s="358"/>
      <c r="J1249" s="312"/>
    </row>
    <row r="1250" spans="2:10" x14ac:dyDescent="0.2">
      <c r="B1250" s="358"/>
      <c r="C1250" s="358"/>
      <c r="D1250" s="358"/>
      <c r="E1250" s="358"/>
      <c r="F1250" s="358"/>
      <c r="G1250" s="358"/>
      <c r="H1250" s="358"/>
      <c r="J1250" s="312"/>
    </row>
    <row r="1251" spans="2:10" x14ac:dyDescent="0.2">
      <c r="B1251" s="358"/>
      <c r="C1251" s="358"/>
      <c r="D1251" s="358"/>
      <c r="E1251" s="358"/>
      <c r="F1251" s="358"/>
      <c r="G1251" s="358"/>
      <c r="H1251" s="358"/>
      <c r="J1251" s="312"/>
    </row>
    <row r="1252" spans="2:10" x14ac:dyDescent="0.2">
      <c r="B1252" s="358"/>
      <c r="C1252" s="358"/>
      <c r="D1252" s="358"/>
      <c r="E1252" s="358"/>
      <c r="F1252" s="358"/>
      <c r="G1252" s="358"/>
      <c r="H1252" s="358"/>
      <c r="J1252" s="312"/>
    </row>
    <row r="1253" spans="2:10" x14ac:dyDescent="0.2">
      <c r="B1253" s="358"/>
      <c r="C1253" s="358"/>
      <c r="D1253" s="358"/>
      <c r="E1253" s="358"/>
      <c r="F1253" s="358"/>
      <c r="G1253" s="358"/>
      <c r="H1253" s="358"/>
      <c r="J1253" s="312"/>
    </row>
    <row r="1254" spans="2:10" x14ac:dyDescent="0.2">
      <c r="B1254" s="358"/>
      <c r="C1254" s="358"/>
      <c r="D1254" s="358"/>
      <c r="E1254" s="358"/>
      <c r="F1254" s="358"/>
      <c r="G1254" s="358"/>
      <c r="H1254" s="358"/>
      <c r="J1254" s="312"/>
    </row>
    <row r="1255" spans="2:10" x14ac:dyDescent="0.2">
      <c r="B1255" s="358"/>
      <c r="C1255" s="358"/>
      <c r="D1255" s="358"/>
      <c r="E1255" s="358"/>
      <c r="F1255" s="358"/>
      <c r="G1255" s="358"/>
      <c r="H1255" s="358"/>
      <c r="J1255" s="312"/>
    </row>
    <row r="1256" spans="2:10" x14ac:dyDescent="0.2">
      <c r="B1256" s="358"/>
      <c r="C1256" s="358"/>
      <c r="D1256" s="358"/>
      <c r="E1256" s="358"/>
      <c r="F1256" s="358"/>
      <c r="G1256" s="358"/>
      <c r="H1256" s="358"/>
      <c r="J1256" s="312"/>
    </row>
    <row r="1257" spans="2:10" x14ac:dyDescent="0.2">
      <c r="B1257" s="358"/>
      <c r="C1257" s="358"/>
      <c r="D1257" s="358"/>
      <c r="E1257" s="358"/>
      <c r="F1257" s="358"/>
      <c r="G1257" s="358"/>
      <c r="H1257" s="358"/>
      <c r="J1257" s="312"/>
    </row>
    <row r="1258" spans="2:10" x14ac:dyDescent="0.2">
      <c r="B1258" s="358"/>
      <c r="C1258" s="358"/>
      <c r="D1258" s="358"/>
      <c r="E1258" s="358"/>
      <c r="F1258" s="358"/>
      <c r="G1258" s="358"/>
      <c r="H1258" s="358"/>
      <c r="J1258" s="312"/>
    </row>
    <row r="1259" spans="2:10" x14ac:dyDescent="0.2">
      <c r="B1259" s="358"/>
      <c r="C1259" s="358"/>
      <c r="D1259" s="358"/>
      <c r="E1259" s="358"/>
      <c r="F1259" s="358"/>
      <c r="G1259" s="358"/>
      <c r="H1259" s="358"/>
      <c r="J1259" s="312"/>
    </row>
    <row r="1260" spans="2:10" x14ac:dyDescent="0.2">
      <c r="B1260" s="358"/>
      <c r="C1260" s="358"/>
      <c r="D1260" s="358"/>
      <c r="E1260" s="358"/>
      <c r="F1260" s="358"/>
      <c r="G1260" s="358"/>
      <c r="H1260" s="358"/>
      <c r="J1260" s="312"/>
    </row>
    <row r="1261" spans="2:10" x14ac:dyDescent="0.2">
      <c r="B1261" s="358"/>
      <c r="C1261" s="358"/>
      <c r="D1261" s="358"/>
      <c r="E1261" s="358"/>
      <c r="F1261" s="358"/>
      <c r="G1261" s="358"/>
      <c r="H1261" s="358"/>
      <c r="J1261" s="312"/>
    </row>
    <row r="1262" spans="2:10" x14ac:dyDescent="0.2">
      <c r="B1262" s="358"/>
      <c r="C1262" s="358"/>
      <c r="D1262" s="358"/>
      <c r="E1262" s="358"/>
      <c r="F1262" s="358"/>
      <c r="G1262" s="358"/>
      <c r="H1262" s="358"/>
      <c r="J1262" s="312"/>
    </row>
    <row r="1263" spans="2:10" x14ac:dyDescent="0.2">
      <c r="B1263" s="358"/>
      <c r="C1263" s="358"/>
      <c r="D1263" s="358"/>
      <c r="E1263" s="358"/>
      <c r="F1263" s="358"/>
      <c r="G1263" s="358"/>
      <c r="H1263" s="358"/>
      <c r="J1263" s="312"/>
    </row>
    <row r="1264" spans="2:10" x14ac:dyDescent="0.2">
      <c r="B1264" s="358"/>
      <c r="C1264" s="358"/>
      <c r="D1264" s="358"/>
      <c r="E1264" s="358"/>
      <c r="F1264" s="358"/>
      <c r="G1264" s="358"/>
      <c r="H1264" s="358"/>
      <c r="J1264" s="312"/>
    </row>
    <row r="1265" spans="2:10" x14ac:dyDescent="0.2">
      <c r="B1265" s="358"/>
      <c r="C1265" s="358"/>
      <c r="D1265" s="358"/>
      <c r="E1265" s="358"/>
      <c r="F1265" s="358"/>
      <c r="G1265" s="358"/>
      <c r="H1265" s="358"/>
      <c r="J1265" s="312"/>
    </row>
    <row r="1266" spans="2:10" x14ac:dyDescent="0.2">
      <c r="B1266" s="358"/>
      <c r="C1266" s="358"/>
      <c r="D1266" s="358"/>
      <c r="E1266" s="358"/>
      <c r="F1266" s="358"/>
      <c r="G1266" s="358"/>
      <c r="H1266" s="358"/>
      <c r="J1266" s="312"/>
    </row>
    <row r="1267" spans="2:10" x14ac:dyDescent="0.2">
      <c r="B1267" s="358"/>
      <c r="C1267" s="358"/>
      <c r="D1267" s="358"/>
      <c r="E1267" s="358"/>
      <c r="F1267" s="358"/>
      <c r="G1267" s="358"/>
      <c r="H1267" s="358"/>
      <c r="J1267" s="312"/>
    </row>
    <row r="1268" spans="2:10" x14ac:dyDescent="0.2">
      <c r="B1268" s="358"/>
      <c r="C1268" s="358"/>
      <c r="D1268" s="358"/>
      <c r="E1268" s="358"/>
      <c r="F1268" s="358"/>
      <c r="G1268" s="358"/>
      <c r="H1268" s="358"/>
      <c r="J1268" s="312"/>
    </row>
    <row r="1269" spans="2:10" x14ac:dyDescent="0.2">
      <c r="B1269" s="358"/>
      <c r="C1269" s="358"/>
      <c r="D1269" s="358"/>
      <c r="E1269" s="358"/>
      <c r="F1269" s="358"/>
      <c r="G1269" s="358"/>
      <c r="H1269" s="358"/>
      <c r="J1269" s="312"/>
    </row>
    <row r="1270" spans="2:10" x14ac:dyDescent="0.2">
      <c r="B1270" s="358"/>
      <c r="C1270" s="358"/>
      <c r="D1270" s="358"/>
      <c r="E1270" s="358"/>
      <c r="F1270" s="358"/>
      <c r="G1270" s="358"/>
      <c r="H1270" s="358"/>
      <c r="J1270" s="312"/>
    </row>
    <row r="1271" spans="2:10" x14ac:dyDescent="0.2">
      <c r="B1271" s="358"/>
      <c r="C1271" s="358"/>
      <c r="D1271" s="358"/>
      <c r="E1271" s="358"/>
      <c r="F1271" s="358"/>
      <c r="G1271" s="358"/>
      <c r="H1271" s="358"/>
      <c r="J1271" s="312"/>
    </row>
    <row r="1272" spans="2:10" x14ac:dyDescent="0.2">
      <c r="B1272" s="358"/>
      <c r="C1272" s="358"/>
      <c r="D1272" s="358"/>
      <c r="E1272" s="358"/>
      <c r="F1272" s="358"/>
      <c r="G1272" s="358"/>
      <c r="H1272" s="358"/>
      <c r="J1272" s="312"/>
    </row>
    <row r="1273" spans="2:10" x14ac:dyDescent="0.2">
      <c r="B1273" s="358"/>
      <c r="C1273" s="358"/>
      <c r="D1273" s="358"/>
      <c r="E1273" s="358"/>
      <c r="F1273" s="358"/>
      <c r="G1273" s="358"/>
      <c r="H1273" s="358"/>
      <c r="J1273" s="312"/>
    </row>
    <row r="1274" spans="2:10" x14ac:dyDescent="0.2">
      <c r="B1274" s="358"/>
      <c r="C1274" s="358"/>
      <c r="D1274" s="358"/>
      <c r="E1274" s="358"/>
      <c r="F1274" s="358"/>
      <c r="G1274" s="358"/>
      <c r="H1274" s="358"/>
      <c r="J1274" s="312"/>
    </row>
    <row r="1275" spans="2:10" x14ac:dyDescent="0.2">
      <c r="B1275" s="358"/>
      <c r="C1275" s="358"/>
      <c r="D1275" s="358"/>
      <c r="E1275" s="358"/>
      <c r="F1275" s="358"/>
      <c r="G1275" s="358"/>
      <c r="H1275" s="358"/>
      <c r="J1275" s="312"/>
    </row>
    <row r="1276" spans="2:10" x14ac:dyDescent="0.2">
      <c r="B1276" s="358"/>
      <c r="C1276" s="358"/>
      <c r="D1276" s="358"/>
      <c r="E1276" s="358"/>
      <c r="F1276" s="358"/>
      <c r="G1276" s="358"/>
      <c r="H1276" s="358"/>
      <c r="J1276" s="312"/>
    </row>
    <row r="1277" spans="2:10" x14ac:dyDescent="0.2">
      <c r="B1277" s="358"/>
      <c r="C1277" s="358"/>
      <c r="D1277" s="358"/>
      <c r="E1277" s="358"/>
      <c r="F1277" s="358"/>
      <c r="G1277" s="358"/>
      <c r="H1277" s="358"/>
      <c r="J1277" s="312"/>
    </row>
    <row r="1278" spans="2:10" x14ac:dyDescent="0.2">
      <c r="B1278" s="358"/>
      <c r="C1278" s="358"/>
      <c r="D1278" s="358"/>
      <c r="E1278" s="358"/>
      <c r="F1278" s="358"/>
      <c r="G1278" s="358"/>
      <c r="H1278" s="358"/>
      <c r="J1278" s="312"/>
    </row>
    <row r="1279" spans="2:10" x14ac:dyDescent="0.2">
      <c r="B1279" s="358"/>
      <c r="C1279" s="358"/>
      <c r="D1279" s="358"/>
      <c r="E1279" s="358"/>
      <c r="F1279" s="358"/>
      <c r="G1279" s="358"/>
      <c r="H1279" s="358"/>
      <c r="J1279" s="312"/>
    </row>
    <row r="1280" spans="2:10" x14ac:dyDescent="0.2">
      <c r="B1280" s="358"/>
      <c r="C1280" s="358"/>
      <c r="D1280" s="358"/>
      <c r="E1280" s="358"/>
      <c r="F1280" s="358"/>
      <c r="G1280" s="358"/>
      <c r="H1280" s="358"/>
      <c r="J1280" s="312"/>
    </row>
    <row r="1281" spans="2:10" x14ac:dyDescent="0.2">
      <c r="B1281" s="358"/>
      <c r="C1281" s="358"/>
      <c r="D1281" s="358"/>
      <c r="E1281" s="358"/>
      <c r="F1281" s="358"/>
      <c r="G1281" s="358"/>
      <c r="H1281" s="358"/>
      <c r="J1281" s="312"/>
    </row>
    <row r="1282" spans="2:10" x14ac:dyDescent="0.2">
      <c r="B1282" s="358"/>
      <c r="C1282" s="358"/>
      <c r="D1282" s="358"/>
      <c r="E1282" s="358"/>
      <c r="F1282" s="358"/>
      <c r="G1282" s="358"/>
      <c r="H1282" s="358"/>
      <c r="J1282" s="312"/>
    </row>
    <row r="1283" spans="2:10" x14ac:dyDescent="0.2">
      <c r="B1283" s="358"/>
      <c r="C1283" s="358"/>
      <c r="D1283" s="358"/>
      <c r="E1283" s="358"/>
      <c r="F1283" s="358"/>
      <c r="G1283" s="358"/>
      <c r="H1283" s="358"/>
      <c r="J1283" s="312"/>
    </row>
    <row r="1284" spans="2:10" x14ac:dyDescent="0.2">
      <c r="B1284" s="358"/>
      <c r="C1284" s="358"/>
      <c r="D1284" s="358"/>
      <c r="E1284" s="358"/>
      <c r="F1284" s="358"/>
      <c r="G1284" s="358"/>
      <c r="H1284" s="358"/>
      <c r="J1284" s="312"/>
    </row>
    <row r="1285" spans="2:10" x14ac:dyDescent="0.2">
      <c r="B1285" s="358"/>
      <c r="C1285" s="358"/>
      <c r="D1285" s="358"/>
      <c r="E1285" s="358"/>
      <c r="F1285" s="358"/>
      <c r="G1285" s="358"/>
      <c r="H1285" s="358"/>
      <c r="J1285" s="312"/>
    </row>
    <row r="1286" spans="2:10" x14ac:dyDescent="0.2">
      <c r="B1286" s="358"/>
      <c r="C1286" s="358"/>
      <c r="D1286" s="358"/>
      <c r="E1286" s="358"/>
      <c r="F1286" s="358"/>
      <c r="G1286" s="358"/>
      <c r="H1286" s="358"/>
      <c r="J1286" s="312"/>
    </row>
    <row r="1287" spans="2:10" x14ac:dyDescent="0.2">
      <c r="B1287" s="358"/>
      <c r="C1287" s="358"/>
      <c r="D1287" s="358"/>
      <c r="E1287" s="358"/>
      <c r="F1287" s="358"/>
      <c r="G1287" s="358"/>
      <c r="H1287" s="358"/>
      <c r="J1287" s="312"/>
    </row>
    <row r="1288" spans="2:10" x14ac:dyDescent="0.2">
      <c r="B1288" s="358"/>
      <c r="C1288" s="358"/>
      <c r="D1288" s="358"/>
      <c r="E1288" s="358"/>
      <c r="F1288" s="358"/>
      <c r="G1288" s="358"/>
      <c r="H1288" s="358"/>
      <c r="J1288" s="312"/>
    </row>
    <row r="1289" spans="2:10" x14ac:dyDescent="0.2">
      <c r="B1289" s="358"/>
      <c r="C1289" s="358"/>
      <c r="D1289" s="358"/>
      <c r="E1289" s="358"/>
      <c r="F1289" s="358"/>
      <c r="G1289" s="358"/>
      <c r="H1289" s="358"/>
      <c r="J1289" s="312"/>
    </row>
    <row r="1290" spans="2:10" x14ac:dyDescent="0.2">
      <c r="B1290" s="358"/>
      <c r="C1290" s="358"/>
      <c r="D1290" s="358"/>
      <c r="E1290" s="358"/>
      <c r="F1290" s="358"/>
      <c r="G1290" s="358"/>
      <c r="H1290" s="358"/>
      <c r="J1290" s="312"/>
    </row>
    <row r="1291" spans="2:10" x14ac:dyDescent="0.2">
      <c r="B1291" s="358"/>
      <c r="C1291" s="358"/>
      <c r="D1291" s="358"/>
      <c r="E1291" s="358"/>
      <c r="F1291" s="358"/>
      <c r="G1291" s="358"/>
      <c r="H1291" s="358"/>
      <c r="J1291" s="312"/>
    </row>
    <row r="1292" spans="2:10" x14ac:dyDescent="0.2">
      <c r="B1292" s="358"/>
      <c r="C1292" s="358"/>
      <c r="D1292" s="358"/>
      <c r="E1292" s="358"/>
      <c r="F1292" s="358"/>
      <c r="G1292" s="358"/>
      <c r="H1292" s="358"/>
      <c r="J1292" s="312"/>
    </row>
    <row r="1293" spans="2:10" x14ac:dyDescent="0.2">
      <c r="B1293" s="358"/>
      <c r="C1293" s="358"/>
      <c r="D1293" s="358"/>
      <c r="E1293" s="358"/>
      <c r="F1293" s="358"/>
      <c r="G1293" s="358"/>
      <c r="H1293" s="358"/>
      <c r="J1293" s="312"/>
    </row>
    <row r="1294" spans="2:10" x14ac:dyDescent="0.2">
      <c r="B1294" s="358"/>
      <c r="C1294" s="358"/>
      <c r="D1294" s="358"/>
      <c r="E1294" s="358"/>
      <c r="F1294" s="358"/>
      <c r="G1294" s="358"/>
      <c r="H1294" s="358"/>
      <c r="J1294" s="312"/>
    </row>
    <row r="1295" spans="2:10" x14ac:dyDescent="0.2">
      <c r="B1295" s="358"/>
      <c r="C1295" s="358"/>
      <c r="D1295" s="358"/>
      <c r="E1295" s="358"/>
      <c r="F1295" s="358"/>
      <c r="G1295" s="358"/>
      <c r="H1295" s="358"/>
      <c r="J1295" s="312"/>
    </row>
    <row r="1296" spans="2:10" x14ac:dyDescent="0.2">
      <c r="B1296" s="358"/>
      <c r="C1296" s="358"/>
      <c r="D1296" s="358"/>
      <c r="E1296" s="358"/>
      <c r="F1296" s="358"/>
      <c r="G1296" s="358"/>
      <c r="H1296" s="358"/>
      <c r="J1296" s="312"/>
    </row>
    <row r="1297" spans="2:10" x14ac:dyDescent="0.2">
      <c r="B1297" s="358"/>
      <c r="C1297" s="358"/>
      <c r="D1297" s="358"/>
      <c r="E1297" s="358"/>
      <c r="F1297" s="358"/>
      <c r="G1297" s="358"/>
      <c r="H1297" s="358"/>
      <c r="J1297" s="312"/>
    </row>
    <row r="1298" spans="2:10" x14ac:dyDescent="0.2">
      <c r="B1298" s="358"/>
      <c r="C1298" s="358"/>
      <c r="D1298" s="358"/>
      <c r="E1298" s="358"/>
      <c r="F1298" s="358"/>
      <c r="G1298" s="358"/>
      <c r="H1298" s="358"/>
      <c r="J1298" s="312"/>
    </row>
    <row r="1299" spans="2:10" x14ac:dyDescent="0.2">
      <c r="B1299" s="358"/>
      <c r="C1299" s="358"/>
      <c r="D1299" s="358"/>
      <c r="E1299" s="358"/>
      <c r="F1299" s="358"/>
      <c r="G1299" s="358"/>
      <c r="H1299" s="358"/>
      <c r="J1299" s="312"/>
    </row>
    <row r="1300" spans="2:10" x14ac:dyDescent="0.2">
      <c r="B1300" s="358"/>
      <c r="C1300" s="358"/>
      <c r="D1300" s="358"/>
      <c r="E1300" s="358"/>
      <c r="F1300" s="358"/>
      <c r="G1300" s="358"/>
      <c r="H1300" s="358"/>
      <c r="J1300" s="312"/>
    </row>
    <row r="1301" spans="2:10" x14ac:dyDescent="0.2">
      <c r="B1301" s="358"/>
      <c r="C1301" s="358"/>
      <c r="D1301" s="358"/>
      <c r="E1301" s="358"/>
      <c r="F1301" s="358"/>
      <c r="G1301" s="358"/>
      <c r="H1301" s="358"/>
      <c r="J1301" s="312"/>
    </row>
    <row r="1302" spans="2:10" x14ac:dyDescent="0.2">
      <c r="B1302" s="358"/>
      <c r="C1302" s="358"/>
      <c r="D1302" s="358"/>
      <c r="E1302" s="358"/>
      <c r="F1302" s="358"/>
      <c r="G1302" s="358"/>
      <c r="H1302" s="358"/>
      <c r="J1302" s="312"/>
    </row>
    <row r="1303" spans="2:10" x14ac:dyDescent="0.2">
      <c r="B1303" s="358"/>
      <c r="C1303" s="358"/>
      <c r="D1303" s="358"/>
      <c r="E1303" s="358"/>
      <c r="F1303" s="358"/>
      <c r="G1303" s="358"/>
      <c r="H1303" s="358"/>
      <c r="J1303" s="312"/>
    </row>
    <row r="1304" spans="2:10" x14ac:dyDescent="0.2">
      <c r="B1304" s="358"/>
      <c r="C1304" s="358"/>
      <c r="D1304" s="358"/>
      <c r="E1304" s="358"/>
      <c r="F1304" s="358"/>
      <c r="G1304" s="358"/>
      <c r="H1304" s="358"/>
      <c r="J1304" s="312"/>
    </row>
    <row r="1305" spans="2:10" x14ac:dyDescent="0.2">
      <c r="B1305" s="358"/>
      <c r="C1305" s="358"/>
      <c r="D1305" s="358"/>
      <c r="E1305" s="358"/>
      <c r="F1305" s="358"/>
      <c r="G1305" s="358"/>
      <c r="H1305" s="358"/>
      <c r="J1305" s="312"/>
    </row>
    <row r="1306" spans="2:10" x14ac:dyDescent="0.2">
      <c r="B1306" s="358"/>
      <c r="C1306" s="358"/>
      <c r="D1306" s="358"/>
      <c r="E1306" s="358"/>
      <c r="F1306" s="358"/>
      <c r="G1306" s="358"/>
      <c r="H1306" s="358"/>
      <c r="J1306" s="312"/>
    </row>
    <row r="1307" spans="2:10" x14ac:dyDescent="0.2">
      <c r="B1307" s="358"/>
      <c r="C1307" s="358"/>
      <c r="D1307" s="358"/>
      <c r="E1307" s="358"/>
      <c r="F1307" s="358"/>
      <c r="G1307" s="358"/>
      <c r="H1307" s="358"/>
      <c r="J1307" s="312"/>
    </row>
    <row r="1308" spans="2:10" x14ac:dyDescent="0.2">
      <c r="B1308" s="358"/>
      <c r="C1308" s="358"/>
      <c r="D1308" s="358"/>
      <c r="E1308" s="358"/>
      <c r="F1308" s="358"/>
      <c r="G1308" s="358"/>
      <c r="H1308" s="358"/>
      <c r="J1308" s="312"/>
    </row>
    <row r="1309" spans="2:10" x14ac:dyDescent="0.2">
      <c r="B1309" s="358"/>
      <c r="C1309" s="358"/>
      <c r="D1309" s="358"/>
      <c r="E1309" s="358"/>
      <c r="F1309" s="358"/>
      <c r="G1309" s="358"/>
      <c r="H1309" s="358"/>
      <c r="J1309" s="312"/>
    </row>
    <row r="1310" spans="2:10" x14ac:dyDescent="0.2">
      <c r="B1310" s="358"/>
      <c r="C1310" s="358"/>
      <c r="D1310" s="358"/>
      <c r="E1310" s="358"/>
      <c r="F1310" s="358"/>
      <c r="G1310" s="358"/>
      <c r="H1310" s="358"/>
      <c r="J1310" s="312"/>
    </row>
    <row r="1311" spans="2:10" x14ac:dyDescent="0.2">
      <c r="B1311" s="358"/>
      <c r="C1311" s="358"/>
      <c r="D1311" s="358"/>
      <c r="E1311" s="358"/>
      <c r="F1311" s="358"/>
      <c r="G1311" s="358"/>
      <c r="H1311" s="358"/>
      <c r="J1311" s="312"/>
    </row>
    <row r="1312" spans="2:10" x14ac:dyDescent="0.2">
      <c r="B1312" s="358"/>
      <c r="C1312" s="358"/>
      <c r="D1312" s="358"/>
      <c r="E1312" s="358"/>
      <c r="F1312" s="358"/>
      <c r="G1312" s="358"/>
      <c r="H1312" s="358"/>
      <c r="J1312" s="312"/>
    </row>
    <row r="1313" spans="2:10" x14ac:dyDescent="0.2">
      <c r="B1313" s="358"/>
      <c r="C1313" s="358"/>
      <c r="D1313" s="358"/>
      <c r="E1313" s="358"/>
      <c r="F1313" s="358"/>
      <c r="G1313" s="358"/>
      <c r="H1313" s="358"/>
      <c r="J1313" s="312"/>
    </row>
    <row r="1314" spans="2:10" x14ac:dyDescent="0.2">
      <c r="B1314" s="358"/>
      <c r="C1314" s="358"/>
      <c r="D1314" s="358"/>
      <c r="E1314" s="358"/>
      <c r="F1314" s="358"/>
      <c r="G1314" s="358"/>
      <c r="H1314" s="358"/>
      <c r="J1314" s="312"/>
    </row>
    <row r="1315" spans="2:10" x14ac:dyDescent="0.2">
      <c r="B1315" s="358"/>
      <c r="C1315" s="358"/>
      <c r="D1315" s="358"/>
      <c r="E1315" s="358"/>
      <c r="F1315" s="358"/>
      <c r="G1315" s="358"/>
      <c r="H1315" s="358"/>
      <c r="J1315" s="312"/>
    </row>
    <row r="1316" spans="2:10" x14ac:dyDescent="0.2">
      <c r="B1316" s="358"/>
      <c r="C1316" s="358"/>
      <c r="D1316" s="358"/>
      <c r="E1316" s="358"/>
      <c r="F1316" s="358"/>
      <c r="G1316" s="358"/>
      <c r="H1316" s="358"/>
      <c r="J1316" s="312"/>
    </row>
    <row r="1317" spans="2:10" x14ac:dyDescent="0.2">
      <c r="B1317" s="358"/>
      <c r="C1317" s="358"/>
      <c r="D1317" s="358"/>
      <c r="E1317" s="358"/>
      <c r="F1317" s="358"/>
      <c r="G1317" s="358"/>
      <c r="H1317" s="358"/>
      <c r="J1317" s="312"/>
    </row>
    <row r="1318" spans="2:10" x14ac:dyDescent="0.2">
      <c r="B1318" s="358"/>
      <c r="C1318" s="358"/>
      <c r="D1318" s="358"/>
      <c r="E1318" s="358"/>
      <c r="F1318" s="358"/>
      <c r="G1318" s="358"/>
      <c r="H1318" s="358"/>
      <c r="J1318" s="312"/>
    </row>
    <row r="1319" spans="2:10" x14ac:dyDescent="0.2">
      <c r="B1319" s="358"/>
      <c r="C1319" s="358"/>
      <c r="D1319" s="358"/>
      <c r="E1319" s="358"/>
      <c r="F1319" s="358"/>
      <c r="G1319" s="358"/>
      <c r="H1319" s="358"/>
      <c r="J1319" s="312"/>
    </row>
    <row r="1320" spans="2:10" x14ac:dyDescent="0.2">
      <c r="B1320" s="358"/>
      <c r="C1320" s="358"/>
      <c r="D1320" s="358"/>
      <c r="E1320" s="358"/>
      <c r="F1320" s="358"/>
      <c r="G1320" s="358"/>
      <c r="H1320" s="358"/>
      <c r="J1320" s="312"/>
    </row>
    <row r="1321" spans="2:10" x14ac:dyDescent="0.2">
      <c r="B1321" s="358"/>
      <c r="C1321" s="358"/>
      <c r="D1321" s="358"/>
      <c r="E1321" s="358"/>
      <c r="F1321" s="358"/>
      <c r="G1321" s="358"/>
      <c r="H1321" s="358"/>
      <c r="J1321" s="312"/>
    </row>
    <row r="1322" spans="2:10" x14ac:dyDescent="0.2">
      <c r="B1322" s="358"/>
      <c r="C1322" s="358"/>
      <c r="D1322" s="358"/>
      <c r="E1322" s="358"/>
      <c r="F1322" s="358"/>
      <c r="G1322" s="358"/>
      <c r="H1322" s="358"/>
      <c r="J1322" s="312"/>
    </row>
    <row r="1323" spans="2:10" x14ac:dyDescent="0.2">
      <c r="B1323" s="358"/>
      <c r="C1323" s="358"/>
      <c r="D1323" s="358"/>
      <c r="E1323" s="358"/>
      <c r="F1323" s="358"/>
      <c r="G1323" s="358"/>
      <c r="H1323" s="358"/>
      <c r="J1323" s="312"/>
    </row>
    <row r="1324" spans="2:10" x14ac:dyDescent="0.2">
      <c r="B1324" s="358"/>
      <c r="C1324" s="358"/>
      <c r="D1324" s="358"/>
      <c r="E1324" s="358"/>
      <c r="F1324" s="358"/>
      <c r="G1324" s="358"/>
      <c r="H1324" s="358"/>
      <c r="J1324" s="312"/>
    </row>
    <row r="1325" spans="2:10" x14ac:dyDescent="0.2">
      <c r="B1325" s="358"/>
      <c r="C1325" s="358"/>
      <c r="D1325" s="358"/>
      <c r="E1325" s="358"/>
      <c r="F1325" s="358"/>
      <c r="G1325" s="358"/>
      <c r="H1325" s="358"/>
      <c r="J1325" s="312"/>
    </row>
    <row r="1326" spans="2:10" x14ac:dyDescent="0.2">
      <c r="B1326" s="358"/>
      <c r="C1326" s="358"/>
      <c r="D1326" s="358"/>
      <c r="E1326" s="358"/>
      <c r="F1326" s="358"/>
      <c r="G1326" s="358"/>
      <c r="H1326" s="358"/>
      <c r="J1326" s="312"/>
    </row>
    <row r="1327" spans="2:10" x14ac:dyDescent="0.2">
      <c r="B1327" s="358"/>
      <c r="C1327" s="358"/>
      <c r="D1327" s="358"/>
      <c r="E1327" s="358"/>
      <c r="F1327" s="358"/>
      <c r="G1327" s="358"/>
      <c r="H1327" s="358"/>
      <c r="J1327" s="312"/>
    </row>
    <row r="1328" spans="2:10" x14ac:dyDescent="0.2">
      <c r="B1328" s="358"/>
      <c r="C1328" s="358"/>
      <c r="D1328" s="358"/>
      <c r="E1328" s="358"/>
      <c r="F1328" s="358"/>
      <c r="G1328" s="358"/>
      <c r="H1328" s="358"/>
      <c r="J1328" s="312"/>
    </row>
    <row r="1329" spans="2:10" x14ac:dyDescent="0.2">
      <c r="B1329" s="358"/>
      <c r="C1329" s="358"/>
      <c r="D1329" s="358"/>
      <c r="E1329" s="358"/>
      <c r="F1329" s="358"/>
      <c r="G1329" s="358"/>
      <c r="H1329" s="358"/>
      <c r="J1329" s="312"/>
    </row>
    <row r="1330" spans="2:10" x14ac:dyDescent="0.2">
      <c r="B1330" s="358"/>
      <c r="C1330" s="358"/>
      <c r="D1330" s="358"/>
      <c r="E1330" s="358"/>
      <c r="F1330" s="358"/>
      <c r="G1330" s="358"/>
      <c r="H1330" s="358"/>
      <c r="J1330" s="312"/>
    </row>
    <row r="1331" spans="2:10" x14ac:dyDescent="0.2">
      <c r="B1331" s="358"/>
      <c r="C1331" s="358"/>
      <c r="D1331" s="358"/>
      <c r="E1331" s="358"/>
      <c r="F1331" s="358"/>
      <c r="G1331" s="358"/>
      <c r="H1331" s="358"/>
      <c r="J1331" s="312"/>
    </row>
    <row r="1332" spans="2:10" x14ac:dyDescent="0.2">
      <c r="B1332" s="358"/>
      <c r="C1332" s="358"/>
      <c r="D1332" s="358"/>
      <c r="E1332" s="358"/>
      <c r="F1332" s="358"/>
      <c r="G1332" s="358"/>
      <c r="H1332" s="358"/>
      <c r="J1332" s="312"/>
    </row>
    <row r="1333" spans="2:10" x14ac:dyDescent="0.2">
      <c r="B1333" s="358"/>
      <c r="C1333" s="358"/>
      <c r="D1333" s="358"/>
      <c r="E1333" s="358"/>
      <c r="F1333" s="358"/>
      <c r="G1333" s="358"/>
      <c r="H1333" s="358"/>
      <c r="J1333" s="312"/>
    </row>
    <row r="1334" spans="2:10" x14ac:dyDescent="0.2">
      <c r="B1334" s="358"/>
      <c r="C1334" s="358"/>
      <c r="D1334" s="358"/>
      <c r="E1334" s="358"/>
      <c r="F1334" s="358"/>
      <c r="G1334" s="358"/>
      <c r="H1334" s="358"/>
      <c r="J1334" s="312"/>
    </row>
    <row r="1335" spans="2:10" x14ac:dyDescent="0.2">
      <c r="B1335" s="358"/>
      <c r="C1335" s="358"/>
      <c r="D1335" s="358"/>
      <c r="E1335" s="358"/>
      <c r="F1335" s="358"/>
      <c r="G1335" s="358"/>
      <c r="H1335" s="358"/>
      <c r="J1335" s="312"/>
    </row>
    <row r="1336" spans="2:10" x14ac:dyDescent="0.2">
      <c r="B1336" s="358"/>
      <c r="C1336" s="358"/>
      <c r="D1336" s="358"/>
      <c r="E1336" s="358"/>
      <c r="F1336" s="358"/>
      <c r="G1336" s="358"/>
      <c r="H1336" s="358"/>
      <c r="J1336" s="312"/>
    </row>
    <row r="1337" spans="2:10" x14ac:dyDescent="0.2">
      <c r="B1337" s="358"/>
      <c r="C1337" s="358"/>
      <c r="D1337" s="358"/>
      <c r="E1337" s="358"/>
      <c r="F1337" s="358"/>
      <c r="G1337" s="358"/>
      <c r="H1337" s="358"/>
      <c r="J1337" s="312"/>
    </row>
    <row r="1338" spans="2:10" x14ac:dyDescent="0.2">
      <c r="B1338" s="358"/>
      <c r="C1338" s="358"/>
      <c r="D1338" s="358"/>
      <c r="E1338" s="358"/>
      <c r="F1338" s="358"/>
      <c r="G1338" s="358"/>
      <c r="H1338" s="358"/>
      <c r="J1338" s="312"/>
    </row>
    <row r="1339" spans="2:10" x14ac:dyDescent="0.2">
      <c r="B1339" s="358"/>
      <c r="C1339" s="358"/>
      <c r="D1339" s="358"/>
      <c r="E1339" s="358"/>
      <c r="F1339" s="358"/>
      <c r="G1339" s="358"/>
      <c r="H1339" s="358"/>
      <c r="J1339" s="312"/>
    </row>
    <row r="1340" spans="2:10" x14ac:dyDescent="0.2">
      <c r="B1340" s="358"/>
      <c r="C1340" s="358"/>
      <c r="D1340" s="358"/>
      <c r="E1340" s="358"/>
      <c r="F1340" s="358"/>
      <c r="G1340" s="358"/>
      <c r="H1340" s="358"/>
      <c r="J1340" s="312"/>
    </row>
    <row r="1341" spans="2:10" x14ac:dyDescent="0.2">
      <c r="B1341" s="358"/>
      <c r="C1341" s="358"/>
      <c r="D1341" s="358"/>
      <c r="E1341" s="358"/>
      <c r="F1341" s="358"/>
      <c r="G1341" s="358"/>
      <c r="H1341" s="358"/>
      <c r="J1341" s="312"/>
    </row>
    <row r="1342" spans="2:10" x14ac:dyDescent="0.2">
      <c r="B1342" s="358"/>
      <c r="C1342" s="358"/>
      <c r="D1342" s="358"/>
      <c r="E1342" s="358"/>
      <c r="F1342" s="358"/>
      <c r="G1342" s="358"/>
      <c r="H1342" s="358"/>
      <c r="J1342" s="312"/>
    </row>
    <row r="1343" spans="2:10" x14ac:dyDescent="0.2">
      <c r="B1343" s="358"/>
      <c r="C1343" s="358"/>
      <c r="D1343" s="358"/>
      <c r="E1343" s="358"/>
      <c r="F1343" s="358"/>
      <c r="G1343" s="358"/>
      <c r="H1343" s="358"/>
      <c r="J1343" s="312"/>
    </row>
    <row r="1344" spans="2:10" x14ac:dyDescent="0.2">
      <c r="B1344" s="358"/>
      <c r="C1344" s="358"/>
      <c r="D1344" s="358"/>
      <c r="E1344" s="358"/>
      <c r="F1344" s="358"/>
      <c r="G1344" s="358"/>
      <c r="H1344" s="358"/>
      <c r="J1344" s="312"/>
    </row>
    <row r="1345" spans="2:10" x14ac:dyDescent="0.2">
      <c r="B1345" s="358"/>
      <c r="C1345" s="358"/>
      <c r="D1345" s="358"/>
      <c r="E1345" s="358"/>
      <c r="F1345" s="358"/>
      <c r="G1345" s="358"/>
      <c r="H1345" s="358"/>
      <c r="J1345" s="312"/>
    </row>
    <row r="1346" spans="2:10" x14ac:dyDescent="0.2">
      <c r="B1346" s="358"/>
      <c r="C1346" s="358"/>
      <c r="D1346" s="358"/>
      <c r="E1346" s="358"/>
      <c r="F1346" s="358"/>
      <c r="G1346" s="358"/>
      <c r="H1346" s="358"/>
      <c r="J1346" s="312"/>
    </row>
    <row r="1347" spans="2:10" x14ac:dyDescent="0.2">
      <c r="B1347" s="358"/>
      <c r="C1347" s="358"/>
      <c r="D1347" s="358"/>
      <c r="E1347" s="358"/>
      <c r="F1347" s="358"/>
      <c r="G1347" s="358"/>
      <c r="H1347" s="358"/>
      <c r="J1347" s="312"/>
    </row>
    <row r="1348" spans="2:10" x14ac:dyDescent="0.2">
      <c r="B1348" s="358"/>
      <c r="C1348" s="358"/>
      <c r="D1348" s="358"/>
      <c r="E1348" s="358"/>
      <c r="F1348" s="358"/>
      <c r="G1348" s="358"/>
      <c r="H1348" s="358"/>
      <c r="J1348" s="312"/>
    </row>
    <row r="1349" spans="2:10" x14ac:dyDescent="0.2">
      <c r="B1349" s="358"/>
      <c r="C1349" s="358"/>
      <c r="D1349" s="358"/>
      <c r="E1349" s="358"/>
      <c r="F1349" s="358"/>
      <c r="G1349" s="358"/>
      <c r="H1349" s="358"/>
      <c r="J1349" s="312"/>
    </row>
    <row r="1350" spans="2:10" x14ac:dyDescent="0.2">
      <c r="B1350" s="358"/>
      <c r="C1350" s="358"/>
      <c r="D1350" s="358"/>
      <c r="E1350" s="358"/>
      <c r="F1350" s="358"/>
      <c r="G1350" s="358"/>
      <c r="H1350" s="358"/>
      <c r="J1350" s="312"/>
    </row>
    <row r="1351" spans="2:10" x14ac:dyDescent="0.2">
      <c r="B1351" s="358"/>
      <c r="C1351" s="358"/>
      <c r="D1351" s="358"/>
      <c r="E1351" s="358"/>
      <c r="F1351" s="358"/>
      <c r="G1351" s="358"/>
      <c r="H1351" s="358"/>
      <c r="J1351" s="312"/>
    </row>
    <row r="1352" spans="2:10" x14ac:dyDescent="0.2">
      <c r="B1352" s="358"/>
      <c r="C1352" s="358"/>
      <c r="D1352" s="358"/>
      <c r="E1352" s="358"/>
      <c r="F1352" s="358"/>
      <c r="G1352" s="358"/>
      <c r="H1352" s="358"/>
      <c r="J1352" s="312"/>
    </row>
    <row r="1353" spans="2:10" x14ac:dyDescent="0.2">
      <c r="B1353" s="358"/>
      <c r="C1353" s="358"/>
      <c r="D1353" s="358"/>
      <c r="E1353" s="358"/>
      <c r="F1353" s="358"/>
      <c r="G1353" s="358"/>
      <c r="H1353" s="358"/>
      <c r="J1353" s="312"/>
    </row>
    <row r="1354" spans="2:10" x14ac:dyDescent="0.2">
      <c r="B1354" s="358"/>
      <c r="C1354" s="358"/>
      <c r="D1354" s="358"/>
      <c r="E1354" s="358"/>
      <c r="F1354" s="358"/>
      <c r="G1354" s="358"/>
      <c r="H1354" s="358"/>
      <c r="J1354" s="312"/>
    </row>
    <row r="1355" spans="2:10" x14ac:dyDescent="0.2">
      <c r="B1355" s="358"/>
      <c r="C1355" s="358"/>
      <c r="D1355" s="358"/>
      <c r="E1355" s="358"/>
      <c r="F1355" s="358"/>
      <c r="G1355" s="358"/>
      <c r="H1355" s="358"/>
      <c r="J1355" s="312"/>
    </row>
    <row r="1356" spans="2:10" x14ac:dyDescent="0.2">
      <c r="B1356" s="358"/>
      <c r="C1356" s="358"/>
      <c r="D1356" s="358"/>
      <c r="E1356" s="358"/>
      <c r="F1356" s="358"/>
      <c r="G1356" s="358"/>
      <c r="H1356" s="358"/>
      <c r="J1356" s="312"/>
    </row>
    <row r="1357" spans="2:10" x14ac:dyDescent="0.2">
      <c r="B1357" s="358"/>
      <c r="C1357" s="358"/>
      <c r="D1357" s="358"/>
      <c r="E1357" s="358"/>
      <c r="F1357" s="358"/>
      <c r="G1357" s="358"/>
      <c r="H1357" s="358"/>
      <c r="J1357" s="312"/>
    </row>
    <row r="1358" spans="2:10" x14ac:dyDescent="0.2">
      <c r="B1358" s="358"/>
      <c r="C1358" s="358"/>
      <c r="D1358" s="358"/>
      <c r="E1358" s="358"/>
      <c r="F1358" s="358"/>
      <c r="G1358" s="358"/>
      <c r="H1358" s="358"/>
      <c r="J1358" s="312"/>
    </row>
    <row r="1359" spans="2:10" x14ac:dyDescent="0.2">
      <c r="B1359" s="358"/>
      <c r="C1359" s="358"/>
      <c r="D1359" s="358"/>
      <c r="E1359" s="358"/>
      <c r="F1359" s="358"/>
      <c r="G1359" s="358"/>
      <c r="H1359" s="358"/>
      <c r="J1359" s="312"/>
    </row>
    <row r="1360" spans="2:10" x14ac:dyDescent="0.2">
      <c r="B1360" s="358"/>
      <c r="C1360" s="358"/>
      <c r="D1360" s="358"/>
      <c r="E1360" s="358"/>
      <c r="F1360" s="358"/>
      <c r="G1360" s="358"/>
      <c r="H1360" s="358"/>
      <c r="J1360" s="312"/>
    </row>
    <row r="1361" spans="2:10" x14ac:dyDescent="0.2">
      <c r="B1361" s="358"/>
      <c r="C1361" s="358"/>
      <c r="D1361" s="358"/>
      <c r="E1361" s="358"/>
      <c r="F1361" s="358"/>
      <c r="G1361" s="358"/>
      <c r="H1361" s="358"/>
      <c r="J1361" s="312"/>
    </row>
    <row r="1362" spans="2:10" x14ac:dyDescent="0.2">
      <c r="B1362" s="358"/>
      <c r="C1362" s="358"/>
      <c r="D1362" s="358"/>
      <c r="E1362" s="358"/>
      <c r="F1362" s="358"/>
      <c r="G1362" s="358"/>
      <c r="H1362" s="358"/>
      <c r="J1362" s="312"/>
    </row>
    <row r="1363" spans="2:10" x14ac:dyDescent="0.2">
      <c r="B1363" s="358"/>
      <c r="C1363" s="358"/>
      <c r="D1363" s="358"/>
      <c r="E1363" s="358"/>
      <c r="F1363" s="358"/>
      <c r="G1363" s="358"/>
      <c r="H1363" s="358"/>
      <c r="J1363" s="312"/>
    </row>
    <row r="1364" spans="2:10" x14ac:dyDescent="0.2">
      <c r="B1364" s="358"/>
      <c r="C1364" s="358"/>
      <c r="D1364" s="358"/>
      <c r="E1364" s="358"/>
      <c r="F1364" s="358"/>
      <c r="G1364" s="358"/>
      <c r="H1364" s="358"/>
      <c r="J1364" s="312"/>
    </row>
    <row r="1365" spans="2:10" x14ac:dyDescent="0.2">
      <c r="B1365" s="358"/>
      <c r="C1365" s="358"/>
      <c r="D1365" s="358"/>
      <c r="E1365" s="358"/>
      <c r="F1365" s="358"/>
      <c r="G1365" s="358"/>
      <c r="H1365" s="358"/>
      <c r="J1365" s="312"/>
    </row>
    <row r="1366" spans="2:10" x14ac:dyDescent="0.2">
      <c r="B1366" s="358"/>
      <c r="C1366" s="358"/>
      <c r="D1366" s="358"/>
      <c r="E1366" s="358"/>
      <c r="F1366" s="358"/>
      <c r="G1366" s="358"/>
      <c r="H1366" s="358"/>
      <c r="J1366" s="312"/>
    </row>
    <row r="1367" spans="2:10" x14ac:dyDescent="0.2">
      <c r="B1367" s="358"/>
      <c r="C1367" s="358"/>
      <c r="D1367" s="358"/>
      <c r="E1367" s="358"/>
      <c r="F1367" s="358"/>
      <c r="G1367" s="358"/>
      <c r="H1367" s="358"/>
      <c r="J1367" s="312"/>
    </row>
    <row r="1368" spans="2:10" x14ac:dyDescent="0.2">
      <c r="B1368" s="358"/>
      <c r="C1368" s="358"/>
      <c r="D1368" s="358"/>
      <c r="E1368" s="358"/>
      <c r="F1368" s="358"/>
      <c r="G1368" s="358"/>
      <c r="H1368" s="358"/>
      <c r="J1368" s="312"/>
    </row>
    <row r="1369" spans="2:10" x14ac:dyDescent="0.2">
      <c r="B1369" s="358"/>
      <c r="C1369" s="358"/>
      <c r="D1369" s="358"/>
      <c r="E1369" s="358"/>
      <c r="F1369" s="358"/>
      <c r="G1369" s="358"/>
      <c r="H1369" s="358"/>
      <c r="J1369" s="312"/>
    </row>
    <row r="1370" spans="2:10" x14ac:dyDescent="0.2">
      <c r="B1370" s="358"/>
      <c r="C1370" s="358"/>
      <c r="D1370" s="358"/>
      <c r="E1370" s="358"/>
      <c r="F1370" s="358"/>
      <c r="G1370" s="358"/>
      <c r="H1370" s="358"/>
      <c r="J1370" s="312"/>
    </row>
    <row r="1371" spans="2:10" x14ac:dyDescent="0.2">
      <c r="B1371" s="358"/>
      <c r="C1371" s="358"/>
      <c r="D1371" s="358"/>
      <c r="E1371" s="358"/>
      <c r="F1371" s="358"/>
      <c r="G1371" s="358"/>
      <c r="H1371" s="358"/>
      <c r="J1371" s="312"/>
    </row>
    <row r="1372" spans="2:10" x14ac:dyDescent="0.2">
      <c r="B1372" s="358"/>
      <c r="C1372" s="358"/>
      <c r="D1372" s="358"/>
      <c r="E1372" s="358"/>
      <c r="F1372" s="358"/>
      <c r="G1372" s="358"/>
      <c r="H1372" s="358"/>
      <c r="J1372" s="312"/>
    </row>
    <row r="1373" spans="2:10" x14ac:dyDescent="0.2">
      <c r="B1373" s="358"/>
      <c r="C1373" s="358"/>
      <c r="D1373" s="358"/>
      <c r="E1373" s="358"/>
      <c r="F1373" s="358"/>
      <c r="G1373" s="358"/>
      <c r="H1373" s="358"/>
      <c r="J1373" s="312"/>
    </row>
    <row r="1374" spans="2:10" x14ac:dyDescent="0.2">
      <c r="B1374" s="358"/>
      <c r="C1374" s="358"/>
      <c r="D1374" s="358"/>
      <c r="E1374" s="358"/>
      <c r="F1374" s="358"/>
      <c r="G1374" s="358"/>
      <c r="H1374" s="358"/>
      <c r="J1374" s="312"/>
    </row>
    <row r="1375" spans="2:10" x14ac:dyDescent="0.2">
      <c r="B1375" s="358"/>
      <c r="C1375" s="358"/>
      <c r="D1375" s="358"/>
      <c r="E1375" s="358"/>
      <c r="F1375" s="358"/>
      <c r="G1375" s="358"/>
      <c r="H1375" s="358"/>
      <c r="J1375" s="312"/>
    </row>
    <row r="1376" spans="2:10" x14ac:dyDescent="0.2">
      <c r="B1376" s="358"/>
      <c r="C1376" s="358"/>
      <c r="D1376" s="358"/>
      <c r="E1376" s="358"/>
      <c r="F1376" s="358"/>
      <c r="G1376" s="358"/>
      <c r="H1376" s="358"/>
      <c r="J1376" s="312"/>
    </row>
    <row r="1377" spans="2:10" x14ac:dyDescent="0.2">
      <c r="B1377" s="358"/>
      <c r="C1377" s="358"/>
      <c r="D1377" s="358"/>
      <c r="E1377" s="358"/>
      <c r="F1377" s="358"/>
      <c r="G1377" s="358"/>
      <c r="H1377" s="358"/>
      <c r="J1377" s="312"/>
    </row>
    <row r="1378" spans="2:10" x14ac:dyDescent="0.2">
      <c r="B1378" s="358"/>
      <c r="C1378" s="358"/>
      <c r="D1378" s="358"/>
      <c r="E1378" s="358"/>
      <c r="F1378" s="358"/>
      <c r="G1378" s="358"/>
      <c r="H1378" s="358"/>
      <c r="J1378" s="312"/>
    </row>
    <row r="1379" spans="2:10" x14ac:dyDescent="0.2">
      <c r="B1379" s="358"/>
      <c r="C1379" s="358"/>
      <c r="D1379" s="358"/>
      <c r="E1379" s="358"/>
      <c r="F1379" s="358"/>
      <c r="G1379" s="358"/>
      <c r="H1379" s="358"/>
      <c r="J1379" s="312"/>
    </row>
    <row r="1380" spans="2:10" x14ac:dyDescent="0.2">
      <c r="B1380" s="358"/>
      <c r="C1380" s="358"/>
      <c r="D1380" s="358"/>
      <c r="E1380" s="358"/>
      <c r="F1380" s="358"/>
      <c r="G1380" s="358"/>
      <c r="H1380" s="358"/>
      <c r="J1380" s="312"/>
    </row>
    <row r="1381" spans="2:10" x14ac:dyDescent="0.2">
      <c r="B1381" s="358"/>
      <c r="C1381" s="358"/>
      <c r="D1381" s="358"/>
      <c r="E1381" s="358"/>
      <c r="F1381" s="358"/>
      <c r="G1381" s="358"/>
      <c r="H1381" s="358"/>
      <c r="J1381" s="312"/>
    </row>
    <row r="1382" spans="2:10" x14ac:dyDescent="0.2">
      <c r="B1382" s="358"/>
      <c r="C1382" s="358"/>
      <c r="D1382" s="358"/>
      <c r="E1382" s="358"/>
      <c r="F1382" s="358"/>
      <c r="G1382" s="358"/>
      <c r="H1382" s="358"/>
      <c r="J1382" s="312"/>
    </row>
    <row r="1383" spans="2:10" x14ac:dyDescent="0.2">
      <c r="B1383" s="358"/>
      <c r="C1383" s="358"/>
      <c r="D1383" s="358"/>
      <c r="E1383" s="358"/>
      <c r="F1383" s="358"/>
      <c r="G1383" s="358"/>
      <c r="H1383" s="358"/>
      <c r="J1383" s="312"/>
    </row>
    <row r="1384" spans="2:10" x14ac:dyDescent="0.2">
      <c r="B1384" s="358"/>
      <c r="C1384" s="358"/>
      <c r="D1384" s="358"/>
      <c r="E1384" s="358"/>
      <c r="F1384" s="358"/>
      <c r="G1384" s="358"/>
      <c r="H1384" s="358"/>
      <c r="J1384" s="312"/>
    </row>
    <row r="1385" spans="2:10" x14ac:dyDescent="0.2">
      <c r="B1385" s="358"/>
      <c r="C1385" s="358"/>
      <c r="D1385" s="358"/>
      <c r="E1385" s="358"/>
      <c r="F1385" s="358"/>
      <c r="G1385" s="358"/>
      <c r="H1385" s="358"/>
      <c r="J1385" s="312"/>
    </row>
    <row r="1386" spans="2:10" x14ac:dyDescent="0.2">
      <c r="B1386" s="358"/>
      <c r="C1386" s="358"/>
      <c r="D1386" s="358"/>
      <c r="E1386" s="358"/>
      <c r="F1386" s="358"/>
      <c r="G1386" s="358"/>
      <c r="H1386" s="358"/>
      <c r="J1386" s="312"/>
    </row>
    <row r="1387" spans="2:10" x14ac:dyDescent="0.2">
      <c r="B1387" s="358"/>
      <c r="C1387" s="358"/>
      <c r="D1387" s="358"/>
      <c r="E1387" s="358"/>
      <c r="F1387" s="358"/>
      <c r="G1387" s="358"/>
      <c r="H1387" s="358"/>
      <c r="J1387" s="312"/>
    </row>
    <row r="1388" spans="2:10" x14ac:dyDescent="0.2">
      <c r="B1388" s="358"/>
      <c r="C1388" s="358"/>
      <c r="D1388" s="358"/>
      <c r="E1388" s="358"/>
      <c r="F1388" s="358"/>
      <c r="G1388" s="358"/>
      <c r="H1388" s="358"/>
      <c r="J1388" s="312"/>
    </row>
    <row r="1389" spans="2:10" x14ac:dyDescent="0.2">
      <c r="B1389" s="358"/>
      <c r="C1389" s="358"/>
      <c r="D1389" s="358"/>
      <c r="E1389" s="358"/>
      <c r="F1389" s="358"/>
      <c r="G1389" s="358"/>
      <c r="H1389" s="358"/>
      <c r="J1389" s="312"/>
    </row>
    <row r="1390" spans="2:10" x14ac:dyDescent="0.2">
      <c r="B1390" s="358"/>
      <c r="C1390" s="358"/>
      <c r="D1390" s="358"/>
      <c r="E1390" s="358"/>
      <c r="F1390" s="358"/>
      <c r="G1390" s="358"/>
      <c r="H1390" s="358"/>
      <c r="J1390" s="312"/>
    </row>
    <row r="1391" spans="2:10" x14ac:dyDescent="0.2">
      <c r="B1391" s="358"/>
      <c r="C1391" s="358"/>
      <c r="D1391" s="358"/>
      <c r="E1391" s="358"/>
      <c r="F1391" s="358"/>
      <c r="G1391" s="358"/>
      <c r="H1391" s="358"/>
      <c r="J1391" s="312"/>
    </row>
    <row r="1392" spans="2:10" x14ac:dyDescent="0.2">
      <c r="B1392" s="358"/>
      <c r="C1392" s="358"/>
      <c r="D1392" s="358"/>
      <c r="E1392" s="358"/>
      <c r="F1392" s="358"/>
      <c r="G1392" s="358"/>
      <c r="H1392" s="358"/>
      <c r="J1392" s="312"/>
    </row>
    <row r="1393" spans="2:10" x14ac:dyDescent="0.2">
      <c r="B1393" s="358"/>
      <c r="C1393" s="358"/>
      <c r="D1393" s="358"/>
      <c r="E1393" s="358"/>
      <c r="F1393" s="358"/>
      <c r="G1393" s="358"/>
      <c r="H1393" s="358"/>
      <c r="J1393" s="312"/>
    </row>
    <row r="1394" spans="2:10" x14ac:dyDescent="0.2">
      <c r="B1394" s="358"/>
      <c r="C1394" s="358"/>
      <c r="D1394" s="358"/>
      <c r="E1394" s="358"/>
      <c r="F1394" s="358"/>
      <c r="G1394" s="358"/>
      <c r="H1394" s="358"/>
      <c r="J1394" s="312"/>
    </row>
    <row r="1395" spans="2:10" x14ac:dyDescent="0.2">
      <c r="B1395" s="358"/>
      <c r="C1395" s="358"/>
      <c r="D1395" s="358"/>
      <c r="E1395" s="358"/>
      <c r="F1395" s="358"/>
      <c r="G1395" s="358"/>
      <c r="H1395" s="358"/>
      <c r="J1395" s="312"/>
    </row>
    <row r="1396" spans="2:10" x14ac:dyDescent="0.2">
      <c r="B1396" s="358"/>
      <c r="C1396" s="358"/>
      <c r="D1396" s="358"/>
      <c r="E1396" s="358"/>
      <c r="F1396" s="358"/>
      <c r="G1396" s="358"/>
      <c r="H1396" s="358"/>
      <c r="J1396" s="312"/>
    </row>
    <row r="1397" spans="2:10" x14ac:dyDescent="0.2">
      <c r="B1397" s="358"/>
      <c r="C1397" s="358"/>
      <c r="D1397" s="358"/>
      <c r="E1397" s="358"/>
      <c r="F1397" s="358"/>
      <c r="G1397" s="358"/>
      <c r="H1397" s="358"/>
      <c r="J1397" s="312"/>
    </row>
    <row r="1398" spans="2:10" x14ac:dyDescent="0.2">
      <c r="B1398" s="358"/>
      <c r="C1398" s="358"/>
      <c r="D1398" s="358"/>
      <c r="E1398" s="358"/>
      <c r="F1398" s="358"/>
      <c r="G1398" s="358"/>
      <c r="H1398" s="358"/>
      <c r="J1398" s="312"/>
    </row>
    <row r="1399" spans="2:10" x14ac:dyDescent="0.2">
      <c r="B1399" s="358"/>
      <c r="C1399" s="358"/>
      <c r="D1399" s="358"/>
      <c r="E1399" s="358"/>
      <c r="F1399" s="358"/>
      <c r="G1399" s="358"/>
      <c r="H1399" s="358"/>
      <c r="J1399" s="312"/>
    </row>
    <row r="1400" spans="2:10" x14ac:dyDescent="0.2">
      <c r="B1400" s="358"/>
      <c r="C1400" s="358"/>
      <c r="D1400" s="358"/>
      <c r="E1400" s="358"/>
      <c r="F1400" s="358"/>
      <c r="G1400" s="358"/>
      <c r="H1400" s="358"/>
      <c r="J1400" s="312"/>
    </row>
    <row r="1401" spans="2:10" x14ac:dyDescent="0.2">
      <c r="B1401" s="358"/>
      <c r="C1401" s="358"/>
      <c r="D1401" s="358"/>
      <c r="E1401" s="358"/>
      <c r="F1401" s="358"/>
      <c r="G1401" s="358"/>
      <c r="H1401" s="358"/>
      <c r="J1401" s="312"/>
    </row>
    <row r="1402" spans="2:10" x14ac:dyDescent="0.2">
      <c r="B1402" s="358"/>
      <c r="C1402" s="358"/>
      <c r="D1402" s="358"/>
      <c r="E1402" s="358"/>
      <c r="F1402" s="358"/>
      <c r="G1402" s="358"/>
      <c r="H1402" s="358"/>
      <c r="J1402" s="312"/>
    </row>
    <row r="1403" spans="2:10" x14ac:dyDescent="0.2">
      <c r="B1403" s="358"/>
      <c r="C1403" s="358"/>
      <c r="D1403" s="358"/>
      <c r="E1403" s="358"/>
      <c r="F1403" s="358"/>
      <c r="G1403" s="358"/>
      <c r="H1403" s="358"/>
      <c r="J1403" s="312"/>
    </row>
    <row r="1404" spans="2:10" x14ac:dyDescent="0.2">
      <c r="B1404" s="358"/>
      <c r="C1404" s="358"/>
      <c r="D1404" s="358"/>
      <c r="E1404" s="358"/>
      <c r="F1404" s="358"/>
      <c r="G1404" s="358"/>
      <c r="H1404" s="358"/>
      <c r="J1404" s="312"/>
    </row>
    <row r="1405" spans="2:10" x14ac:dyDescent="0.2">
      <c r="B1405" s="358"/>
      <c r="C1405" s="358"/>
      <c r="D1405" s="358"/>
      <c r="E1405" s="358"/>
      <c r="F1405" s="358"/>
      <c r="G1405" s="358"/>
      <c r="H1405" s="358"/>
      <c r="J1405" s="312"/>
    </row>
    <row r="1406" spans="2:10" x14ac:dyDescent="0.2">
      <c r="B1406" s="358"/>
      <c r="C1406" s="358"/>
      <c r="D1406" s="358"/>
      <c r="E1406" s="358"/>
      <c r="F1406" s="358"/>
      <c r="G1406" s="358"/>
      <c r="H1406" s="358"/>
      <c r="J1406" s="312"/>
    </row>
    <row r="1407" spans="2:10" x14ac:dyDescent="0.2">
      <c r="B1407" s="358"/>
      <c r="C1407" s="358"/>
      <c r="D1407" s="358"/>
      <c r="E1407" s="358"/>
      <c r="F1407" s="358"/>
      <c r="G1407" s="358"/>
      <c r="H1407" s="358"/>
      <c r="J1407" s="312"/>
    </row>
    <row r="1408" spans="2:10" x14ac:dyDescent="0.2">
      <c r="B1408" s="358"/>
      <c r="C1408" s="358"/>
      <c r="D1408" s="358"/>
      <c r="E1408" s="358"/>
      <c r="F1408" s="358"/>
      <c r="G1408" s="358"/>
      <c r="H1408" s="358"/>
      <c r="J1408" s="312"/>
    </row>
    <row r="1409" spans="2:10" x14ac:dyDescent="0.2">
      <c r="B1409" s="358"/>
      <c r="C1409" s="358"/>
      <c r="D1409" s="358"/>
      <c r="E1409" s="358"/>
      <c r="F1409" s="358"/>
      <c r="G1409" s="358"/>
      <c r="H1409" s="358"/>
      <c r="J1409" s="312"/>
    </row>
    <row r="1410" spans="2:10" x14ac:dyDescent="0.2">
      <c r="B1410" s="358"/>
      <c r="C1410" s="358"/>
      <c r="D1410" s="358"/>
      <c r="E1410" s="358"/>
      <c r="F1410" s="358"/>
      <c r="G1410" s="358"/>
      <c r="H1410" s="358"/>
      <c r="J1410" s="312"/>
    </row>
    <row r="1411" spans="2:10" x14ac:dyDescent="0.2">
      <c r="B1411" s="358"/>
      <c r="C1411" s="358"/>
      <c r="D1411" s="358"/>
      <c r="E1411" s="358"/>
      <c r="F1411" s="358"/>
      <c r="G1411" s="358"/>
      <c r="H1411" s="358"/>
      <c r="J1411" s="312"/>
    </row>
    <row r="1412" spans="2:10" x14ac:dyDescent="0.2">
      <c r="B1412" s="358"/>
      <c r="C1412" s="358"/>
      <c r="D1412" s="358"/>
      <c r="E1412" s="358"/>
      <c r="F1412" s="358"/>
      <c r="G1412" s="358"/>
      <c r="H1412" s="358"/>
      <c r="J1412" s="312"/>
    </row>
    <row r="1413" spans="2:10" x14ac:dyDescent="0.2">
      <c r="B1413" s="358"/>
      <c r="C1413" s="358"/>
      <c r="D1413" s="358"/>
      <c r="E1413" s="358"/>
      <c r="F1413" s="358"/>
      <c r="G1413" s="358"/>
      <c r="H1413" s="358"/>
      <c r="J1413" s="312"/>
    </row>
    <row r="1414" spans="2:10" x14ac:dyDescent="0.2">
      <c r="B1414" s="358"/>
      <c r="C1414" s="358"/>
      <c r="D1414" s="358"/>
      <c r="E1414" s="358"/>
      <c r="F1414" s="358"/>
      <c r="G1414" s="358"/>
      <c r="H1414" s="358"/>
      <c r="J1414" s="312"/>
    </row>
    <row r="1415" spans="2:10" x14ac:dyDescent="0.2">
      <c r="B1415" s="358"/>
      <c r="C1415" s="358"/>
      <c r="D1415" s="358"/>
      <c r="E1415" s="358"/>
      <c r="F1415" s="358"/>
      <c r="G1415" s="358"/>
      <c r="H1415" s="358"/>
      <c r="J1415" s="312"/>
    </row>
    <row r="1416" spans="2:10" x14ac:dyDescent="0.2">
      <c r="B1416" s="358"/>
      <c r="C1416" s="358"/>
      <c r="D1416" s="358"/>
      <c r="E1416" s="358"/>
      <c r="F1416" s="358"/>
      <c r="G1416" s="358"/>
      <c r="H1416" s="358"/>
      <c r="J1416" s="312"/>
    </row>
    <row r="1417" spans="2:10" x14ac:dyDescent="0.2">
      <c r="B1417" s="358"/>
      <c r="C1417" s="358"/>
      <c r="D1417" s="358"/>
      <c r="E1417" s="358"/>
      <c r="F1417" s="358"/>
      <c r="G1417" s="358"/>
      <c r="H1417" s="358"/>
      <c r="J1417" s="312"/>
    </row>
    <row r="1418" spans="2:10" x14ac:dyDescent="0.2">
      <c r="B1418" s="358"/>
      <c r="C1418" s="358"/>
      <c r="D1418" s="358"/>
      <c r="E1418" s="358"/>
      <c r="F1418" s="358"/>
      <c r="G1418" s="358"/>
      <c r="H1418" s="358"/>
      <c r="J1418" s="312"/>
    </row>
    <row r="1419" spans="2:10" x14ac:dyDescent="0.2">
      <c r="B1419" s="358"/>
      <c r="C1419" s="358"/>
      <c r="D1419" s="358"/>
      <c r="E1419" s="358"/>
      <c r="F1419" s="358"/>
      <c r="G1419" s="358"/>
      <c r="H1419" s="358"/>
      <c r="J1419" s="312"/>
    </row>
    <row r="1420" spans="2:10" x14ac:dyDescent="0.2">
      <c r="B1420" s="358"/>
      <c r="C1420" s="358"/>
      <c r="D1420" s="358"/>
      <c r="E1420" s="358"/>
      <c r="F1420" s="358"/>
      <c r="G1420" s="358"/>
      <c r="H1420" s="358"/>
      <c r="J1420" s="312"/>
    </row>
    <row r="1421" spans="2:10" x14ac:dyDescent="0.2">
      <c r="B1421" s="358"/>
      <c r="C1421" s="358"/>
      <c r="D1421" s="358"/>
      <c r="E1421" s="358"/>
      <c r="F1421" s="358"/>
      <c r="G1421" s="358"/>
      <c r="H1421" s="358"/>
      <c r="J1421" s="312"/>
    </row>
    <row r="1422" spans="2:10" x14ac:dyDescent="0.2">
      <c r="B1422" s="358"/>
      <c r="C1422" s="358"/>
      <c r="D1422" s="358"/>
      <c r="E1422" s="358"/>
      <c r="F1422" s="358"/>
      <c r="G1422" s="358"/>
      <c r="H1422" s="358"/>
      <c r="J1422" s="312"/>
    </row>
    <row r="1423" spans="2:10" x14ac:dyDescent="0.2">
      <c r="B1423" s="358"/>
      <c r="C1423" s="358"/>
      <c r="D1423" s="358"/>
      <c r="E1423" s="358"/>
      <c r="F1423" s="358"/>
      <c r="G1423" s="358"/>
      <c r="H1423" s="358"/>
      <c r="J1423" s="312"/>
    </row>
    <row r="1424" spans="2:10" x14ac:dyDescent="0.2">
      <c r="B1424" s="358"/>
      <c r="C1424" s="358"/>
      <c r="D1424" s="358"/>
      <c r="E1424" s="358"/>
      <c r="F1424" s="358"/>
      <c r="G1424" s="358"/>
      <c r="H1424" s="358"/>
      <c r="J1424" s="312"/>
    </row>
    <row r="1425" spans="2:10" x14ac:dyDescent="0.2">
      <c r="B1425" s="358"/>
      <c r="C1425" s="358"/>
      <c r="D1425" s="358"/>
      <c r="E1425" s="358"/>
      <c r="F1425" s="358"/>
      <c r="G1425" s="358"/>
      <c r="H1425" s="358"/>
      <c r="J1425" s="312"/>
    </row>
    <row r="1426" spans="2:10" x14ac:dyDescent="0.2">
      <c r="B1426" s="358"/>
      <c r="C1426" s="358"/>
      <c r="D1426" s="358"/>
      <c r="E1426" s="358"/>
      <c r="F1426" s="358"/>
      <c r="G1426" s="358"/>
      <c r="H1426" s="358"/>
      <c r="J1426" s="312"/>
    </row>
    <row r="1427" spans="2:10" x14ac:dyDescent="0.2">
      <c r="B1427" s="358"/>
      <c r="C1427" s="358"/>
      <c r="D1427" s="358"/>
      <c r="E1427" s="358"/>
      <c r="F1427" s="358"/>
      <c r="G1427" s="358"/>
      <c r="H1427" s="358"/>
      <c r="J1427" s="312"/>
    </row>
    <row r="1428" spans="2:10" x14ac:dyDescent="0.2">
      <c r="B1428" s="358"/>
      <c r="C1428" s="358"/>
      <c r="D1428" s="358"/>
      <c r="E1428" s="358"/>
      <c r="F1428" s="358"/>
      <c r="G1428" s="358"/>
      <c r="H1428" s="358"/>
      <c r="J1428" s="312"/>
    </row>
    <row r="1429" spans="2:10" x14ac:dyDescent="0.2">
      <c r="B1429" s="358"/>
      <c r="C1429" s="358"/>
      <c r="D1429" s="358"/>
      <c r="E1429" s="358"/>
      <c r="F1429" s="358"/>
      <c r="G1429" s="358"/>
      <c r="H1429" s="358"/>
      <c r="J1429" s="312"/>
    </row>
    <row r="1430" spans="2:10" x14ac:dyDescent="0.2">
      <c r="B1430" s="358"/>
      <c r="C1430" s="358"/>
      <c r="D1430" s="358"/>
      <c r="E1430" s="358"/>
      <c r="F1430" s="358"/>
      <c r="G1430" s="358"/>
      <c r="H1430" s="358"/>
      <c r="J1430" s="312"/>
    </row>
    <row r="1431" spans="2:10" x14ac:dyDescent="0.2">
      <c r="B1431" s="358"/>
      <c r="C1431" s="358"/>
      <c r="D1431" s="358"/>
      <c r="E1431" s="358"/>
      <c r="F1431" s="358"/>
      <c r="G1431" s="358"/>
      <c r="H1431" s="358"/>
      <c r="J1431" s="312"/>
    </row>
    <row r="1432" spans="2:10" x14ac:dyDescent="0.2">
      <c r="B1432" s="358"/>
      <c r="C1432" s="358"/>
      <c r="D1432" s="358"/>
      <c r="E1432" s="358"/>
      <c r="F1432" s="358"/>
      <c r="G1432" s="358"/>
      <c r="H1432" s="358"/>
      <c r="J1432" s="312"/>
    </row>
    <row r="1433" spans="2:10" x14ac:dyDescent="0.2">
      <c r="B1433" s="358"/>
      <c r="C1433" s="358"/>
      <c r="D1433" s="358"/>
      <c r="E1433" s="358"/>
      <c r="F1433" s="358"/>
      <c r="G1433" s="358"/>
      <c r="H1433" s="358"/>
      <c r="J1433" s="312"/>
    </row>
    <row r="1434" spans="2:10" x14ac:dyDescent="0.2">
      <c r="B1434" s="358"/>
      <c r="C1434" s="358"/>
      <c r="D1434" s="358"/>
      <c r="E1434" s="358"/>
      <c r="F1434" s="358"/>
      <c r="G1434" s="358"/>
      <c r="H1434" s="358"/>
      <c r="J1434" s="312"/>
    </row>
    <row r="1435" spans="2:10" x14ac:dyDescent="0.2">
      <c r="B1435" s="358"/>
      <c r="C1435" s="358"/>
      <c r="D1435" s="358"/>
      <c r="E1435" s="358"/>
      <c r="F1435" s="358"/>
      <c r="G1435" s="358"/>
      <c r="H1435" s="358"/>
      <c r="J1435" s="312"/>
    </row>
    <row r="1436" spans="2:10" x14ac:dyDescent="0.2">
      <c r="B1436" s="358"/>
      <c r="C1436" s="358"/>
      <c r="D1436" s="358"/>
      <c r="E1436" s="358"/>
      <c r="F1436" s="358"/>
      <c r="G1436" s="358"/>
      <c r="H1436" s="358"/>
      <c r="J1436" s="312"/>
    </row>
    <row r="1437" spans="2:10" x14ac:dyDescent="0.2">
      <c r="B1437" s="358"/>
      <c r="C1437" s="358"/>
      <c r="D1437" s="358"/>
      <c r="E1437" s="358"/>
      <c r="F1437" s="358"/>
      <c r="G1437" s="358"/>
      <c r="H1437" s="358"/>
      <c r="J1437" s="312"/>
    </row>
    <row r="1438" spans="2:10" x14ac:dyDescent="0.2">
      <c r="B1438" s="358"/>
      <c r="C1438" s="358"/>
      <c r="D1438" s="358"/>
      <c r="E1438" s="358"/>
      <c r="F1438" s="358"/>
      <c r="G1438" s="358"/>
      <c r="H1438" s="358"/>
      <c r="J1438" s="312"/>
    </row>
    <row r="1439" spans="2:10" x14ac:dyDescent="0.2">
      <c r="B1439" s="358"/>
      <c r="C1439" s="358"/>
      <c r="D1439" s="358"/>
      <c r="E1439" s="358"/>
      <c r="F1439" s="358"/>
      <c r="G1439" s="358"/>
      <c r="H1439" s="358"/>
      <c r="J1439" s="312"/>
    </row>
    <row r="1440" spans="2:10" x14ac:dyDescent="0.2">
      <c r="B1440" s="358"/>
      <c r="C1440" s="358"/>
      <c r="D1440" s="358"/>
      <c r="E1440" s="358"/>
      <c r="F1440" s="358"/>
      <c r="G1440" s="358"/>
      <c r="H1440" s="358"/>
      <c r="J1440" s="312"/>
    </row>
    <row r="1441" spans="2:10" x14ac:dyDescent="0.2">
      <c r="B1441" s="358"/>
      <c r="C1441" s="358"/>
      <c r="D1441" s="358"/>
      <c r="E1441" s="358"/>
      <c r="F1441" s="358"/>
      <c r="G1441" s="358"/>
      <c r="H1441" s="358"/>
      <c r="J1441" s="312"/>
    </row>
    <row r="1442" spans="2:10" x14ac:dyDescent="0.2">
      <c r="B1442" s="358"/>
      <c r="C1442" s="358"/>
      <c r="D1442" s="358"/>
      <c r="E1442" s="358"/>
      <c r="F1442" s="358"/>
      <c r="G1442" s="358"/>
      <c r="H1442" s="358"/>
      <c r="J1442" s="312"/>
    </row>
    <row r="1443" spans="2:10" x14ac:dyDescent="0.2">
      <c r="B1443" s="358"/>
      <c r="C1443" s="358"/>
      <c r="D1443" s="358"/>
      <c r="E1443" s="358"/>
      <c r="F1443" s="358"/>
      <c r="G1443" s="358"/>
      <c r="H1443" s="358"/>
      <c r="J1443" s="312"/>
    </row>
    <row r="1444" spans="2:10" x14ac:dyDescent="0.2">
      <c r="B1444" s="358"/>
      <c r="C1444" s="358"/>
      <c r="D1444" s="358"/>
      <c r="E1444" s="358"/>
      <c r="F1444" s="358"/>
      <c r="G1444" s="358"/>
      <c r="H1444" s="358"/>
      <c r="J1444" s="312"/>
    </row>
    <row r="1445" spans="2:10" x14ac:dyDescent="0.2">
      <c r="B1445" s="358"/>
      <c r="C1445" s="358"/>
      <c r="D1445" s="358"/>
      <c r="E1445" s="358"/>
      <c r="F1445" s="358"/>
      <c r="G1445" s="358"/>
      <c r="H1445" s="358"/>
      <c r="J1445" s="312"/>
    </row>
    <row r="1446" spans="2:10" x14ac:dyDescent="0.2">
      <c r="B1446" s="358"/>
      <c r="C1446" s="358"/>
      <c r="D1446" s="358"/>
      <c r="E1446" s="358"/>
      <c r="F1446" s="358"/>
      <c r="G1446" s="358"/>
      <c r="H1446" s="358"/>
      <c r="J1446" s="312"/>
    </row>
    <row r="1447" spans="2:10" x14ac:dyDescent="0.2">
      <c r="B1447" s="358"/>
      <c r="C1447" s="358"/>
      <c r="D1447" s="358"/>
      <c r="E1447" s="358"/>
      <c r="F1447" s="358"/>
      <c r="G1447" s="358"/>
      <c r="H1447" s="358"/>
      <c r="J1447" s="312"/>
    </row>
    <row r="1448" spans="2:10" x14ac:dyDescent="0.2">
      <c r="B1448" s="358"/>
      <c r="C1448" s="358"/>
      <c r="D1448" s="358"/>
      <c r="E1448" s="358"/>
      <c r="F1448" s="358"/>
      <c r="G1448" s="358"/>
      <c r="H1448" s="358"/>
      <c r="J1448" s="312"/>
    </row>
    <row r="1449" spans="2:10" x14ac:dyDescent="0.2">
      <c r="B1449" s="358"/>
      <c r="C1449" s="358"/>
      <c r="D1449" s="358"/>
      <c r="E1449" s="358"/>
      <c r="F1449" s="358"/>
      <c r="G1449" s="358"/>
      <c r="H1449" s="358"/>
      <c r="J1449" s="312"/>
    </row>
    <row r="1450" spans="2:10" x14ac:dyDescent="0.2">
      <c r="B1450" s="358"/>
      <c r="C1450" s="358"/>
      <c r="D1450" s="358"/>
      <c r="E1450" s="358"/>
      <c r="F1450" s="358"/>
      <c r="G1450" s="358"/>
      <c r="H1450" s="358"/>
      <c r="J1450" s="312"/>
    </row>
    <row r="1451" spans="2:10" x14ac:dyDescent="0.2">
      <c r="B1451" s="358"/>
      <c r="C1451" s="358"/>
      <c r="D1451" s="358"/>
      <c r="E1451" s="358"/>
      <c r="F1451" s="358"/>
      <c r="G1451" s="358"/>
      <c r="H1451" s="358"/>
      <c r="J1451" s="312"/>
    </row>
    <row r="1452" spans="2:10" x14ac:dyDescent="0.2">
      <c r="B1452" s="358"/>
      <c r="C1452" s="358"/>
      <c r="D1452" s="358"/>
      <c r="E1452" s="358"/>
      <c r="F1452" s="358"/>
      <c r="G1452" s="358"/>
      <c r="H1452" s="358"/>
      <c r="J1452" s="312"/>
    </row>
    <row r="1453" spans="2:10" x14ac:dyDescent="0.2">
      <c r="B1453" s="358"/>
      <c r="C1453" s="358"/>
      <c r="D1453" s="358"/>
      <c r="E1453" s="358"/>
      <c r="F1453" s="358"/>
      <c r="G1453" s="358"/>
      <c r="H1453" s="358"/>
      <c r="J1453" s="312"/>
    </row>
    <row r="1454" spans="2:10" x14ac:dyDescent="0.2">
      <c r="B1454" s="358"/>
      <c r="C1454" s="358"/>
      <c r="D1454" s="358"/>
      <c r="E1454" s="358"/>
      <c r="F1454" s="358"/>
      <c r="G1454" s="358"/>
      <c r="H1454" s="358"/>
      <c r="J1454" s="312"/>
    </row>
    <row r="1455" spans="2:10" x14ac:dyDescent="0.2">
      <c r="B1455" s="358"/>
      <c r="C1455" s="358"/>
      <c r="D1455" s="358"/>
      <c r="E1455" s="358"/>
      <c r="F1455" s="358"/>
      <c r="G1455" s="358"/>
      <c r="H1455" s="358"/>
      <c r="J1455" s="312"/>
    </row>
    <row r="1456" spans="2:10" x14ac:dyDescent="0.2">
      <c r="B1456" s="358"/>
      <c r="C1456" s="358"/>
      <c r="D1456" s="358"/>
      <c r="E1456" s="358"/>
      <c r="F1456" s="358"/>
      <c r="G1456" s="358"/>
      <c r="H1456" s="358"/>
      <c r="J1456" s="312"/>
    </row>
    <row r="1457" spans="2:10" x14ac:dyDescent="0.2">
      <c r="B1457" s="358"/>
      <c r="C1457" s="358"/>
      <c r="D1457" s="358"/>
      <c r="E1457" s="358"/>
      <c r="F1457" s="358"/>
      <c r="G1457" s="358"/>
      <c r="H1457" s="358"/>
      <c r="J1457" s="312"/>
    </row>
    <row r="1458" spans="2:10" x14ac:dyDescent="0.2">
      <c r="B1458" s="358"/>
      <c r="C1458" s="358"/>
      <c r="D1458" s="358"/>
      <c r="E1458" s="358"/>
      <c r="F1458" s="358"/>
      <c r="G1458" s="358"/>
      <c r="H1458" s="358"/>
      <c r="J1458" s="312"/>
    </row>
    <row r="1459" spans="2:10" x14ac:dyDescent="0.2">
      <c r="B1459" s="358"/>
      <c r="C1459" s="358"/>
      <c r="D1459" s="358"/>
      <c r="E1459" s="358"/>
      <c r="F1459" s="358"/>
      <c r="G1459" s="358"/>
      <c r="H1459" s="358"/>
      <c r="J1459" s="312"/>
    </row>
    <row r="1460" spans="2:10" x14ac:dyDescent="0.2">
      <c r="B1460" s="358"/>
      <c r="C1460" s="358"/>
      <c r="D1460" s="358"/>
      <c r="E1460" s="358"/>
      <c r="F1460" s="358"/>
      <c r="G1460" s="358"/>
      <c r="H1460" s="358"/>
      <c r="J1460" s="312"/>
    </row>
    <row r="1461" spans="2:10" x14ac:dyDescent="0.2">
      <c r="B1461" s="358"/>
      <c r="C1461" s="358"/>
      <c r="D1461" s="358"/>
      <c r="E1461" s="358"/>
      <c r="F1461" s="358"/>
      <c r="G1461" s="358"/>
      <c r="H1461" s="358"/>
      <c r="J1461" s="312"/>
    </row>
    <row r="1462" spans="2:10" x14ac:dyDescent="0.2">
      <c r="B1462" s="358"/>
      <c r="C1462" s="358"/>
      <c r="D1462" s="358"/>
      <c r="E1462" s="358"/>
      <c r="F1462" s="358"/>
      <c r="G1462" s="358"/>
      <c r="H1462" s="358"/>
      <c r="J1462" s="312"/>
    </row>
    <row r="1463" spans="2:10" x14ac:dyDescent="0.2">
      <c r="B1463" s="358"/>
      <c r="C1463" s="358"/>
      <c r="D1463" s="358"/>
      <c r="E1463" s="358"/>
      <c r="F1463" s="358"/>
      <c r="G1463" s="358"/>
      <c r="H1463" s="358"/>
      <c r="J1463" s="312"/>
    </row>
    <row r="1464" spans="2:10" x14ac:dyDescent="0.2">
      <c r="B1464" s="358"/>
      <c r="C1464" s="358"/>
      <c r="D1464" s="358"/>
      <c r="E1464" s="358"/>
      <c r="F1464" s="358"/>
      <c r="G1464" s="358"/>
      <c r="H1464" s="358"/>
      <c r="J1464" s="312"/>
    </row>
    <row r="1465" spans="2:10" x14ac:dyDescent="0.2">
      <c r="B1465" s="358"/>
      <c r="C1465" s="358"/>
      <c r="D1465" s="358"/>
      <c r="E1465" s="358"/>
      <c r="F1465" s="358"/>
      <c r="G1465" s="358"/>
      <c r="H1465" s="358"/>
      <c r="J1465" s="312"/>
    </row>
    <row r="1466" spans="2:10" x14ac:dyDescent="0.2">
      <c r="B1466" s="358"/>
      <c r="C1466" s="358"/>
      <c r="D1466" s="358"/>
      <c r="E1466" s="358"/>
      <c r="F1466" s="358"/>
      <c r="G1466" s="358"/>
      <c r="H1466" s="358"/>
      <c r="J1466" s="312"/>
    </row>
    <row r="1467" spans="2:10" x14ac:dyDescent="0.2">
      <c r="B1467" s="358"/>
      <c r="C1467" s="358"/>
      <c r="D1467" s="358"/>
      <c r="E1467" s="358"/>
      <c r="F1467" s="358"/>
      <c r="G1467" s="358"/>
      <c r="H1467" s="358"/>
      <c r="J1467" s="312"/>
    </row>
    <row r="1468" spans="2:10" x14ac:dyDescent="0.2">
      <c r="B1468" s="358"/>
      <c r="C1468" s="358"/>
      <c r="D1468" s="358"/>
      <c r="E1468" s="358"/>
      <c r="F1468" s="358"/>
      <c r="G1468" s="358"/>
      <c r="H1468" s="358"/>
      <c r="J1468" s="312"/>
    </row>
    <row r="1469" spans="2:10" x14ac:dyDescent="0.2">
      <c r="B1469" s="358"/>
      <c r="C1469" s="358"/>
      <c r="D1469" s="358"/>
      <c r="E1469" s="358"/>
      <c r="F1469" s="358"/>
      <c r="G1469" s="358"/>
      <c r="H1469" s="358"/>
      <c r="J1469" s="312"/>
    </row>
    <row r="1470" spans="2:10" x14ac:dyDescent="0.2">
      <c r="B1470" s="358"/>
      <c r="C1470" s="358"/>
      <c r="D1470" s="358"/>
      <c r="E1470" s="358"/>
      <c r="F1470" s="358"/>
      <c r="G1470" s="358"/>
      <c r="H1470" s="358"/>
      <c r="J1470" s="312"/>
    </row>
    <row r="1471" spans="2:10" x14ac:dyDescent="0.2">
      <c r="B1471" s="358"/>
      <c r="C1471" s="358"/>
      <c r="D1471" s="358"/>
      <c r="E1471" s="358"/>
      <c r="F1471" s="358"/>
      <c r="G1471" s="358"/>
      <c r="H1471" s="358"/>
      <c r="J1471" s="312"/>
    </row>
    <row r="1472" spans="2:10" x14ac:dyDescent="0.2">
      <c r="B1472" s="358"/>
      <c r="C1472" s="358"/>
      <c r="D1472" s="358"/>
      <c r="E1472" s="358"/>
      <c r="F1472" s="358"/>
      <c r="G1472" s="358"/>
      <c r="H1472" s="358"/>
      <c r="J1472" s="312"/>
    </row>
    <row r="1473" spans="2:10" x14ac:dyDescent="0.2">
      <c r="B1473" s="358"/>
      <c r="C1473" s="358"/>
      <c r="D1473" s="358"/>
      <c r="E1473" s="358"/>
      <c r="F1473" s="358"/>
      <c r="G1473" s="358"/>
      <c r="H1473" s="358"/>
      <c r="J1473" s="312"/>
    </row>
    <row r="1474" spans="2:10" x14ac:dyDescent="0.2">
      <c r="B1474" s="358"/>
      <c r="C1474" s="358"/>
      <c r="D1474" s="358"/>
      <c r="E1474" s="358"/>
      <c r="F1474" s="358"/>
      <c r="G1474" s="358"/>
      <c r="H1474" s="358"/>
      <c r="J1474" s="312"/>
    </row>
    <row r="1475" spans="2:10" x14ac:dyDescent="0.2">
      <c r="B1475" s="358"/>
      <c r="C1475" s="358"/>
      <c r="D1475" s="358"/>
      <c r="E1475" s="358"/>
      <c r="F1475" s="358"/>
      <c r="G1475" s="358"/>
      <c r="H1475" s="358"/>
      <c r="J1475" s="312"/>
    </row>
    <row r="1476" spans="2:10" x14ac:dyDescent="0.2">
      <c r="B1476" s="358"/>
      <c r="C1476" s="358"/>
      <c r="D1476" s="358"/>
      <c r="E1476" s="358"/>
      <c r="F1476" s="358"/>
      <c r="G1476" s="358"/>
      <c r="H1476" s="358"/>
      <c r="J1476" s="312"/>
    </row>
    <row r="1477" spans="2:10" x14ac:dyDescent="0.2">
      <c r="B1477" s="358"/>
      <c r="C1477" s="358"/>
      <c r="D1477" s="358"/>
      <c r="E1477" s="358"/>
      <c r="F1477" s="358"/>
      <c r="G1477" s="358"/>
      <c r="H1477" s="358"/>
      <c r="J1477" s="312"/>
    </row>
    <row r="1478" spans="2:10" x14ac:dyDescent="0.2">
      <c r="B1478" s="358"/>
      <c r="C1478" s="358"/>
      <c r="D1478" s="358"/>
      <c r="E1478" s="358"/>
      <c r="F1478" s="358"/>
      <c r="G1478" s="358"/>
      <c r="H1478" s="358"/>
      <c r="J1478" s="312"/>
    </row>
    <row r="1479" spans="2:10" x14ac:dyDescent="0.2">
      <c r="B1479" s="358"/>
      <c r="C1479" s="358"/>
      <c r="D1479" s="358"/>
      <c r="E1479" s="358"/>
      <c r="F1479" s="358"/>
      <c r="G1479" s="358"/>
      <c r="H1479" s="358"/>
      <c r="J1479" s="312"/>
    </row>
    <row r="1480" spans="2:10" x14ac:dyDescent="0.2">
      <c r="B1480" s="358"/>
      <c r="C1480" s="358"/>
      <c r="D1480" s="358"/>
      <c r="E1480" s="358"/>
      <c r="F1480" s="358"/>
      <c r="G1480" s="358"/>
      <c r="H1480" s="358"/>
      <c r="J1480" s="312"/>
    </row>
    <row r="1481" spans="2:10" x14ac:dyDescent="0.2">
      <c r="B1481" s="358"/>
      <c r="C1481" s="358"/>
      <c r="D1481" s="358"/>
      <c r="E1481" s="358"/>
      <c r="F1481" s="358"/>
      <c r="G1481" s="358"/>
      <c r="H1481" s="358"/>
      <c r="J1481" s="312"/>
    </row>
    <row r="1482" spans="2:10" x14ac:dyDescent="0.2">
      <c r="B1482" s="358"/>
      <c r="C1482" s="358"/>
      <c r="D1482" s="358"/>
      <c r="E1482" s="358"/>
      <c r="F1482" s="358"/>
      <c r="G1482" s="358"/>
      <c r="H1482" s="358"/>
      <c r="J1482" s="312"/>
    </row>
    <row r="1483" spans="2:10" x14ac:dyDescent="0.2">
      <c r="B1483" s="358"/>
      <c r="C1483" s="358"/>
      <c r="D1483" s="358"/>
      <c r="E1483" s="358"/>
      <c r="F1483" s="358"/>
      <c r="G1483" s="358"/>
      <c r="H1483" s="358"/>
      <c r="J1483" s="312"/>
    </row>
    <row r="1484" spans="2:10" x14ac:dyDescent="0.2">
      <c r="B1484" s="358"/>
      <c r="C1484" s="358"/>
      <c r="D1484" s="358"/>
      <c r="E1484" s="358"/>
      <c r="F1484" s="358"/>
      <c r="G1484" s="358"/>
      <c r="H1484" s="358"/>
      <c r="J1484" s="312"/>
    </row>
    <row r="1485" spans="2:10" x14ac:dyDescent="0.2">
      <c r="B1485" s="358"/>
      <c r="C1485" s="358"/>
      <c r="D1485" s="358"/>
      <c r="E1485" s="358"/>
      <c r="F1485" s="358"/>
      <c r="G1485" s="358"/>
      <c r="H1485" s="358"/>
      <c r="J1485" s="312"/>
    </row>
    <row r="1486" spans="2:10" x14ac:dyDescent="0.2">
      <c r="B1486" s="358"/>
      <c r="C1486" s="358"/>
      <c r="D1486" s="358"/>
      <c r="E1486" s="358"/>
      <c r="F1486" s="358"/>
      <c r="G1486" s="358"/>
      <c r="H1486" s="358"/>
      <c r="J1486" s="312"/>
    </row>
    <row r="1487" spans="2:10" x14ac:dyDescent="0.2">
      <c r="B1487" s="358"/>
      <c r="C1487" s="358"/>
      <c r="D1487" s="358"/>
      <c r="E1487" s="358"/>
      <c r="F1487" s="358"/>
      <c r="G1487" s="358"/>
      <c r="H1487" s="358"/>
      <c r="J1487" s="312"/>
    </row>
    <row r="1488" spans="2:10" x14ac:dyDescent="0.2">
      <c r="B1488" s="358"/>
      <c r="C1488" s="358"/>
      <c r="D1488" s="358"/>
      <c r="E1488" s="358"/>
      <c r="F1488" s="358"/>
      <c r="G1488" s="358"/>
      <c r="H1488" s="358"/>
      <c r="J1488" s="312"/>
    </row>
    <row r="1489" spans="2:10" x14ac:dyDescent="0.2">
      <c r="B1489" s="358"/>
      <c r="C1489" s="358"/>
      <c r="D1489" s="358"/>
      <c r="E1489" s="358"/>
      <c r="F1489" s="358"/>
      <c r="G1489" s="358"/>
      <c r="H1489" s="358"/>
      <c r="J1489" s="312"/>
    </row>
    <row r="1490" spans="2:10" x14ac:dyDescent="0.2">
      <c r="B1490" s="358"/>
      <c r="C1490" s="358"/>
      <c r="D1490" s="358"/>
      <c r="E1490" s="358"/>
      <c r="F1490" s="358"/>
      <c r="G1490" s="358"/>
      <c r="H1490" s="358"/>
      <c r="J1490" s="312"/>
    </row>
    <row r="1491" spans="2:10" x14ac:dyDescent="0.2">
      <c r="B1491" s="358"/>
      <c r="C1491" s="358"/>
      <c r="D1491" s="358"/>
      <c r="E1491" s="358"/>
      <c r="F1491" s="358"/>
      <c r="G1491" s="358"/>
      <c r="H1491" s="358"/>
      <c r="J1491" s="312"/>
    </row>
    <row r="1492" spans="2:10" x14ac:dyDescent="0.2">
      <c r="B1492" s="358"/>
      <c r="C1492" s="358"/>
      <c r="D1492" s="358"/>
      <c r="E1492" s="358"/>
      <c r="F1492" s="358"/>
      <c r="G1492" s="358"/>
      <c r="H1492" s="358"/>
      <c r="J1492" s="312"/>
    </row>
    <row r="1493" spans="2:10" x14ac:dyDescent="0.2">
      <c r="B1493" s="358"/>
      <c r="C1493" s="358"/>
      <c r="D1493" s="358"/>
      <c r="E1493" s="358"/>
      <c r="F1493" s="358"/>
      <c r="G1493" s="358"/>
      <c r="H1493" s="358"/>
      <c r="J1493" s="312"/>
    </row>
    <row r="1494" spans="2:10" x14ac:dyDescent="0.2">
      <c r="B1494" s="358"/>
      <c r="C1494" s="358"/>
      <c r="D1494" s="358"/>
      <c r="E1494" s="358"/>
      <c r="F1494" s="358"/>
      <c r="G1494" s="358"/>
      <c r="H1494" s="358"/>
      <c r="J1494" s="312"/>
    </row>
    <row r="1495" spans="2:10" x14ac:dyDescent="0.2">
      <c r="B1495" s="358"/>
      <c r="C1495" s="358"/>
      <c r="D1495" s="358"/>
      <c r="E1495" s="358"/>
      <c r="F1495" s="358"/>
      <c r="G1495" s="358"/>
      <c r="H1495" s="358"/>
      <c r="J1495" s="312"/>
    </row>
    <row r="1496" spans="2:10" x14ac:dyDescent="0.2">
      <c r="B1496" s="358"/>
      <c r="C1496" s="358"/>
      <c r="D1496" s="358"/>
      <c r="E1496" s="358"/>
      <c r="F1496" s="358"/>
      <c r="G1496" s="358"/>
      <c r="H1496" s="358"/>
      <c r="J1496" s="312"/>
    </row>
    <row r="1497" spans="2:10" x14ac:dyDescent="0.2">
      <c r="B1497" s="358"/>
      <c r="C1497" s="358"/>
      <c r="D1497" s="358"/>
      <c r="E1497" s="358"/>
      <c r="F1497" s="358"/>
      <c r="G1497" s="358"/>
      <c r="H1497" s="358"/>
      <c r="J1497" s="312"/>
    </row>
    <row r="1498" spans="2:10" x14ac:dyDescent="0.2">
      <c r="B1498" s="358"/>
      <c r="C1498" s="358"/>
      <c r="D1498" s="358"/>
      <c r="E1498" s="358"/>
      <c r="F1498" s="358"/>
      <c r="G1498" s="358"/>
      <c r="H1498" s="358"/>
      <c r="J1498" s="312"/>
    </row>
    <row r="1499" spans="2:10" x14ac:dyDescent="0.2">
      <c r="B1499" s="358"/>
      <c r="C1499" s="358"/>
      <c r="D1499" s="358"/>
      <c r="E1499" s="358"/>
      <c r="F1499" s="358"/>
      <c r="G1499" s="358"/>
      <c r="H1499" s="358"/>
      <c r="J1499" s="312"/>
    </row>
    <row r="1500" spans="2:10" x14ac:dyDescent="0.2">
      <c r="B1500" s="358"/>
      <c r="C1500" s="358"/>
      <c r="D1500" s="358"/>
      <c r="E1500" s="358"/>
      <c r="F1500" s="358"/>
      <c r="G1500" s="358"/>
      <c r="H1500" s="358"/>
      <c r="J1500" s="312"/>
    </row>
    <row r="1501" spans="2:10" x14ac:dyDescent="0.2">
      <c r="B1501" s="358"/>
      <c r="C1501" s="358"/>
      <c r="D1501" s="358"/>
      <c r="E1501" s="358"/>
      <c r="F1501" s="358"/>
      <c r="G1501" s="358"/>
      <c r="H1501" s="358"/>
      <c r="J1501" s="312"/>
    </row>
    <row r="1502" spans="2:10" x14ac:dyDescent="0.2">
      <c r="B1502" s="358"/>
      <c r="C1502" s="358"/>
      <c r="D1502" s="358"/>
      <c r="E1502" s="358"/>
      <c r="F1502" s="358"/>
      <c r="G1502" s="358"/>
      <c r="H1502" s="358"/>
      <c r="J1502" s="312"/>
    </row>
    <row r="1503" spans="2:10" x14ac:dyDescent="0.2">
      <c r="B1503" s="358"/>
      <c r="C1503" s="358"/>
      <c r="D1503" s="358"/>
      <c r="E1503" s="358"/>
      <c r="F1503" s="358"/>
      <c r="G1503" s="358"/>
      <c r="H1503" s="358"/>
      <c r="J1503" s="312"/>
    </row>
    <row r="1504" spans="2:10" x14ac:dyDescent="0.2">
      <c r="B1504" s="358"/>
      <c r="C1504" s="358"/>
      <c r="D1504" s="358"/>
      <c r="E1504" s="358"/>
      <c r="F1504" s="358"/>
      <c r="G1504" s="358"/>
      <c r="H1504" s="358"/>
      <c r="J1504" s="312"/>
    </row>
    <row r="1505" spans="2:10" x14ac:dyDescent="0.2">
      <c r="B1505" s="358"/>
      <c r="C1505" s="358"/>
      <c r="D1505" s="358"/>
      <c r="E1505" s="358"/>
      <c r="F1505" s="358"/>
      <c r="G1505" s="358"/>
      <c r="H1505" s="358"/>
      <c r="J1505" s="312"/>
    </row>
    <row r="1506" spans="2:10" x14ac:dyDescent="0.2">
      <c r="B1506" s="358"/>
      <c r="C1506" s="358"/>
      <c r="D1506" s="358"/>
      <c r="E1506" s="358"/>
      <c r="F1506" s="358"/>
      <c r="G1506" s="358"/>
      <c r="H1506" s="358"/>
      <c r="J1506" s="312"/>
    </row>
    <row r="1507" spans="2:10" x14ac:dyDescent="0.2">
      <c r="B1507" s="358"/>
      <c r="C1507" s="358"/>
      <c r="D1507" s="358"/>
      <c r="E1507" s="358"/>
      <c r="F1507" s="358"/>
      <c r="G1507" s="358"/>
      <c r="H1507" s="358"/>
      <c r="J1507" s="312"/>
    </row>
    <row r="1508" spans="2:10" x14ac:dyDescent="0.2">
      <c r="B1508" s="358"/>
      <c r="C1508" s="358"/>
      <c r="D1508" s="358"/>
      <c r="E1508" s="358"/>
      <c r="F1508" s="358"/>
      <c r="G1508" s="358"/>
      <c r="H1508" s="358"/>
      <c r="J1508" s="312"/>
    </row>
    <row r="1509" spans="2:10" x14ac:dyDescent="0.2">
      <c r="B1509" s="358"/>
      <c r="C1509" s="358"/>
      <c r="D1509" s="358"/>
      <c r="E1509" s="358"/>
      <c r="F1509" s="358"/>
      <c r="G1509" s="358"/>
      <c r="H1509" s="358"/>
      <c r="J1509" s="312"/>
    </row>
    <row r="1510" spans="2:10" x14ac:dyDescent="0.2">
      <c r="B1510" s="358"/>
      <c r="C1510" s="358"/>
      <c r="D1510" s="358"/>
      <c r="E1510" s="358"/>
      <c r="F1510" s="358"/>
      <c r="G1510" s="358"/>
      <c r="H1510" s="358"/>
      <c r="J1510" s="312"/>
    </row>
    <row r="1511" spans="2:10" x14ac:dyDescent="0.2">
      <c r="B1511" s="358"/>
      <c r="C1511" s="358"/>
      <c r="D1511" s="358"/>
      <c r="E1511" s="358"/>
      <c r="F1511" s="358"/>
      <c r="G1511" s="358"/>
      <c r="H1511" s="358"/>
      <c r="J1511" s="312"/>
    </row>
    <row r="1512" spans="2:10" x14ac:dyDescent="0.2">
      <c r="B1512" s="358"/>
      <c r="C1512" s="358"/>
      <c r="D1512" s="358"/>
      <c r="E1512" s="358"/>
      <c r="F1512" s="358"/>
      <c r="G1512" s="358"/>
      <c r="H1512" s="358"/>
      <c r="J1512" s="312"/>
    </row>
    <row r="1513" spans="2:10" x14ac:dyDescent="0.2">
      <c r="B1513" s="358"/>
      <c r="C1513" s="358"/>
      <c r="D1513" s="358"/>
      <c r="E1513" s="358"/>
      <c r="F1513" s="358"/>
      <c r="G1513" s="358"/>
      <c r="H1513" s="358"/>
      <c r="J1513" s="312"/>
    </row>
    <row r="1514" spans="2:10" x14ac:dyDescent="0.2">
      <c r="B1514" s="358"/>
      <c r="C1514" s="358"/>
      <c r="D1514" s="358"/>
      <c r="E1514" s="358"/>
      <c r="F1514" s="358"/>
      <c r="G1514" s="358"/>
      <c r="H1514" s="358"/>
      <c r="J1514" s="312"/>
    </row>
    <row r="1515" spans="2:10" x14ac:dyDescent="0.2">
      <c r="B1515" s="358"/>
      <c r="C1515" s="358"/>
      <c r="D1515" s="358"/>
      <c r="E1515" s="358"/>
      <c r="F1515" s="358"/>
      <c r="G1515" s="358"/>
      <c r="H1515" s="358"/>
      <c r="J1515" s="312"/>
    </row>
    <row r="1516" spans="2:10" x14ac:dyDescent="0.2">
      <c r="B1516" s="358"/>
      <c r="C1516" s="358"/>
      <c r="D1516" s="358"/>
      <c r="E1516" s="358"/>
      <c r="F1516" s="358"/>
      <c r="G1516" s="358"/>
      <c r="H1516" s="358"/>
      <c r="J1516" s="312"/>
    </row>
    <row r="1517" spans="2:10" x14ac:dyDescent="0.2">
      <c r="B1517" s="358"/>
      <c r="C1517" s="358"/>
      <c r="D1517" s="358"/>
      <c r="E1517" s="358"/>
      <c r="F1517" s="358"/>
      <c r="G1517" s="358"/>
      <c r="H1517" s="358"/>
      <c r="J1517" s="312"/>
    </row>
    <row r="1518" spans="2:10" x14ac:dyDescent="0.2">
      <c r="B1518" s="358"/>
      <c r="C1518" s="358"/>
      <c r="D1518" s="358"/>
      <c r="E1518" s="358"/>
      <c r="F1518" s="358"/>
      <c r="G1518" s="358"/>
      <c r="H1518" s="358"/>
      <c r="J1518" s="312"/>
    </row>
    <row r="1519" spans="2:10" x14ac:dyDescent="0.2">
      <c r="B1519" s="358"/>
      <c r="C1519" s="358"/>
      <c r="D1519" s="358"/>
      <c r="E1519" s="358"/>
      <c r="F1519" s="358"/>
      <c r="G1519" s="358"/>
      <c r="H1519" s="358"/>
      <c r="J1519" s="312"/>
    </row>
    <row r="1520" spans="2:10" x14ac:dyDescent="0.2">
      <c r="B1520" s="358"/>
      <c r="C1520" s="358"/>
      <c r="D1520" s="358"/>
      <c r="E1520" s="358"/>
      <c r="F1520" s="358"/>
      <c r="G1520" s="358"/>
      <c r="H1520" s="358"/>
      <c r="J1520" s="312"/>
    </row>
    <row r="1521" spans="2:10" x14ac:dyDescent="0.2">
      <c r="B1521" s="358"/>
      <c r="C1521" s="358"/>
      <c r="D1521" s="358"/>
      <c r="E1521" s="358"/>
      <c r="F1521" s="358"/>
      <c r="G1521" s="358"/>
      <c r="H1521" s="358"/>
      <c r="J1521" s="312"/>
    </row>
    <row r="1522" spans="2:10" x14ac:dyDescent="0.2">
      <c r="B1522" s="358"/>
      <c r="C1522" s="358"/>
      <c r="D1522" s="358"/>
      <c r="E1522" s="358"/>
      <c r="F1522" s="358"/>
      <c r="G1522" s="358"/>
      <c r="H1522" s="358"/>
      <c r="J1522" s="312"/>
    </row>
    <row r="1523" spans="2:10" x14ac:dyDescent="0.2">
      <c r="B1523" s="358"/>
      <c r="C1523" s="358"/>
      <c r="D1523" s="358"/>
      <c r="E1523" s="358"/>
      <c r="F1523" s="358"/>
      <c r="G1523" s="358"/>
      <c r="H1523" s="358"/>
      <c r="J1523" s="312"/>
    </row>
    <row r="1524" spans="2:10" x14ac:dyDescent="0.2">
      <c r="B1524" s="358"/>
      <c r="C1524" s="358"/>
      <c r="D1524" s="358"/>
      <c r="E1524" s="358"/>
      <c r="F1524" s="358"/>
      <c r="G1524" s="358"/>
      <c r="H1524" s="358"/>
      <c r="J1524" s="312"/>
    </row>
    <row r="1525" spans="2:10" x14ac:dyDescent="0.2">
      <c r="B1525" s="358"/>
      <c r="C1525" s="358"/>
      <c r="D1525" s="358"/>
      <c r="E1525" s="358"/>
      <c r="F1525" s="358"/>
      <c r="G1525" s="358"/>
      <c r="H1525" s="358"/>
      <c r="J1525" s="312"/>
    </row>
    <row r="1526" spans="2:10" x14ac:dyDescent="0.2">
      <c r="B1526" s="358"/>
      <c r="C1526" s="358"/>
      <c r="D1526" s="358"/>
      <c r="E1526" s="358"/>
      <c r="F1526" s="358"/>
      <c r="G1526" s="358"/>
      <c r="H1526" s="358"/>
      <c r="J1526" s="312"/>
    </row>
    <row r="1527" spans="2:10" x14ac:dyDescent="0.2">
      <c r="B1527" s="358"/>
      <c r="C1527" s="358"/>
      <c r="D1527" s="358"/>
      <c r="E1527" s="358"/>
      <c r="F1527" s="358"/>
      <c r="G1527" s="358"/>
      <c r="H1527" s="358"/>
      <c r="J1527" s="312"/>
    </row>
    <row r="1528" spans="2:10" x14ac:dyDescent="0.2">
      <c r="B1528" s="358"/>
      <c r="C1528" s="358"/>
      <c r="D1528" s="358"/>
      <c r="E1528" s="358"/>
      <c r="F1528" s="358"/>
      <c r="G1528" s="358"/>
      <c r="H1528" s="358"/>
      <c r="J1528" s="312"/>
    </row>
    <row r="1529" spans="2:10" x14ac:dyDescent="0.2">
      <c r="B1529" s="358"/>
      <c r="C1529" s="358"/>
      <c r="D1529" s="358"/>
      <c r="E1529" s="358"/>
      <c r="F1529" s="358"/>
      <c r="G1529" s="358"/>
      <c r="H1529" s="358"/>
      <c r="J1529" s="312"/>
    </row>
    <row r="1530" spans="2:10" x14ac:dyDescent="0.2">
      <c r="B1530" s="358"/>
      <c r="C1530" s="358"/>
      <c r="D1530" s="358"/>
      <c r="E1530" s="358"/>
      <c r="F1530" s="358"/>
      <c r="G1530" s="358"/>
      <c r="H1530" s="358"/>
      <c r="J1530" s="312"/>
    </row>
    <row r="1531" spans="2:10" x14ac:dyDescent="0.2">
      <c r="B1531" s="358"/>
      <c r="C1531" s="358"/>
      <c r="D1531" s="358"/>
      <c r="E1531" s="358"/>
      <c r="F1531" s="358"/>
      <c r="G1531" s="358"/>
      <c r="H1531" s="358"/>
      <c r="J1531" s="312"/>
    </row>
    <row r="1532" spans="2:10" x14ac:dyDescent="0.2">
      <c r="B1532" s="358"/>
      <c r="C1532" s="358"/>
      <c r="D1532" s="358"/>
      <c r="E1532" s="358"/>
      <c r="F1532" s="358"/>
      <c r="G1532" s="358"/>
      <c r="H1532" s="358"/>
      <c r="J1532" s="312"/>
    </row>
    <row r="1533" spans="2:10" x14ac:dyDescent="0.2">
      <c r="B1533" s="358"/>
      <c r="C1533" s="358"/>
      <c r="D1533" s="358"/>
      <c r="E1533" s="358"/>
      <c r="F1533" s="358"/>
      <c r="G1533" s="358"/>
      <c r="H1533" s="358"/>
      <c r="J1533" s="312"/>
    </row>
    <row r="1534" spans="2:10" x14ac:dyDescent="0.2">
      <c r="B1534" s="358"/>
      <c r="C1534" s="358"/>
      <c r="D1534" s="358"/>
      <c r="E1534" s="358"/>
      <c r="F1534" s="358"/>
      <c r="G1534" s="358"/>
      <c r="H1534" s="358"/>
      <c r="J1534" s="312"/>
    </row>
    <row r="1535" spans="2:10" x14ac:dyDescent="0.2">
      <c r="B1535" s="358"/>
      <c r="C1535" s="358"/>
      <c r="D1535" s="358"/>
      <c r="E1535" s="358"/>
      <c r="F1535" s="358"/>
      <c r="G1535" s="358"/>
      <c r="H1535" s="358"/>
      <c r="J1535" s="312"/>
    </row>
    <row r="1536" spans="2:10" x14ac:dyDescent="0.2">
      <c r="B1536" s="358"/>
      <c r="C1536" s="358"/>
      <c r="D1536" s="358"/>
      <c r="E1536" s="358"/>
      <c r="F1536" s="358"/>
      <c r="G1536" s="358"/>
      <c r="H1536" s="358"/>
      <c r="J1536" s="312"/>
    </row>
    <row r="1537" spans="2:10" x14ac:dyDescent="0.2">
      <c r="B1537" s="358"/>
      <c r="C1537" s="358"/>
      <c r="D1537" s="358"/>
      <c r="E1537" s="358"/>
      <c r="F1537" s="358"/>
      <c r="G1537" s="358"/>
      <c r="H1537" s="358"/>
      <c r="J1537" s="312"/>
    </row>
    <row r="1538" spans="2:10" x14ac:dyDescent="0.2">
      <c r="B1538" s="358"/>
      <c r="C1538" s="358"/>
      <c r="D1538" s="358"/>
      <c r="E1538" s="358"/>
      <c r="F1538" s="358"/>
      <c r="G1538" s="358"/>
      <c r="H1538" s="358"/>
      <c r="J1538" s="312"/>
    </row>
    <row r="1539" spans="2:10" x14ac:dyDescent="0.2">
      <c r="B1539" s="358"/>
      <c r="C1539" s="358"/>
      <c r="D1539" s="358"/>
      <c r="E1539" s="358"/>
      <c r="F1539" s="358"/>
      <c r="G1539" s="358"/>
      <c r="H1539" s="358"/>
      <c r="J1539" s="312"/>
    </row>
    <row r="1540" spans="2:10" x14ac:dyDescent="0.2">
      <c r="B1540" s="358"/>
      <c r="C1540" s="358"/>
      <c r="D1540" s="358"/>
      <c r="E1540" s="358"/>
      <c r="F1540" s="358"/>
      <c r="G1540" s="358"/>
      <c r="H1540" s="358"/>
      <c r="J1540" s="312"/>
    </row>
    <row r="1541" spans="2:10" x14ac:dyDescent="0.2">
      <c r="B1541" s="358"/>
      <c r="C1541" s="358"/>
      <c r="D1541" s="358"/>
      <c r="E1541" s="358"/>
      <c r="F1541" s="358"/>
      <c r="G1541" s="358"/>
      <c r="H1541" s="358"/>
      <c r="J1541" s="312"/>
    </row>
    <row r="1542" spans="2:10" x14ac:dyDescent="0.2">
      <c r="B1542" s="358"/>
      <c r="C1542" s="358"/>
      <c r="D1542" s="358"/>
      <c r="E1542" s="358"/>
      <c r="F1542" s="358"/>
      <c r="G1542" s="358"/>
      <c r="H1542" s="358"/>
      <c r="J1542" s="312"/>
    </row>
    <row r="1543" spans="2:10" x14ac:dyDescent="0.2">
      <c r="B1543" s="358"/>
      <c r="C1543" s="358"/>
      <c r="D1543" s="358"/>
      <c r="E1543" s="358"/>
      <c r="F1543" s="358"/>
      <c r="G1543" s="358"/>
      <c r="H1543" s="358"/>
      <c r="J1543" s="312"/>
    </row>
    <row r="1544" spans="2:10" x14ac:dyDescent="0.2">
      <c r="B1544" s="358"/>
      <c r="C1544" s="358"/>
      <c r="D1544" s="358"/>
      <c r="E1544" s="358"/>
      <c r="F1544" s="358"/>
      <c r="G1544" s="358"/>
      <c r="H1544" s="358"/>
      <c r="J1544" s="312"/>
    </row>
    <row r="1545" spans="2:10" x14ac:dyDescent="0.2">
      <c r="B1545" s="358"/>
      <c r="C1545" s="358"/>
      <c r="D1545" s="358"/>
      <c r="E1545" s="358"/>
      <c r="F1545" s="358"/>
      <c r="G1545" s="358"/>
      <c r="H1545" s="358"/>
      <c r="J1545" s="312"/>
    </row>
    <row r="1546" spans="2:10" x14ac:dyDescent="0.2">
      <c r="B1546" s="358"/>
      <c r="C1546" s="358"/>
      <c r="D1546" s="358"/>
      <c r="E1546" s="358"/>
      <c r="F1546" s="358"/>
      <c r="G1546" s="358"/>
      <c r="H1546" s="358"/>
      <c r="J1546" s="312"/>
    </row>
    <row r="1547" spans="2:10" x14ac:dyDescent="0.2">
      <c r="B1547" s="358"/>
      <c r="C1547" s="358"/>
      <c r="D1547" s="358"/>
      <c r="E1547" s="358"/>
      <c r="F1547" s="358"/>
      <c r="G1547" s="358"/>
      <c r="H1547" s="358"/>
      <c r="J1547" s="312"/>
    </row>
    <row r="1548" spans="2:10" x14ac:dyDescent="0.2">
      <c r="B1548" s="358"/>
      <c r="C1548" s="358"/>
      <c r="D1548" s="358"/>
      <c r="E1548" s="358"/>
      <c r="F1548" s="358"/>
      <c r="G1548" s="358"/>
      <c r="H1548" s="358"/>
      <c r="J1548" s="312"/>
    </row>
    <row r="1549" spans="2:10" x14ac:dyDescent="0.2">
      <c r="B1549" s="358"/>
      <c r="C1549" s="358"/>
      <c r="D1549" s="358"/>
      <c r="E1549" s="358"/>
      <c r="F1549" s="358"/>
      <c r="G1549" s="358"/>
      <c r="H1549" s="358"/>
      <c r="J1549" s="312"/>
    </row>
    <row r="1550" spans="2:10" x14ac:dyDescent="0.2">
      <c r="B1550" s="358"/>
      <c r="C1550" s="358"/>
      <c r="D1550" s="358"/>
      <c r="E1550" s="358"/>
      <c r="F1550" s="358"/>
      <c r="G1550" s="358"/>
      <c r="H1550" s="358"/>
      <c r="J1550" s="312"/>
    </row>
    <row r="1551" spans="2:10" x14ac:dyDescent="0.2">
      <c r="B1551" s="358"/>
      <c r="C1551" s="358"/>
      <c r="D1551" s="358"/>
      <c r="E1551" s="358"/>
      <c r="F1551" s="358"/>
      <c r="G1551" s="358"/>
      <c r="H1551" s="358"/>
      <c r="J1551" s="312"/>
    </row>
    <row r="1552" spans="2:10" x14ac:dyDescent="0.2">
      <c r="B1552" s="358"/>
      <c r="C1552" s="358"/>
      <c r="D1552" s="358"/>
      <c r="E1552" s="358"/>
      <c r="F1552" s="358"/>
      <c r="G1552" s="358"/>
      <c r="H1552" s="358"/>
      <c r="J1552" s="312"/>
    </row>
    <row r="1553" spans="2:10" x14ac:dyDescent="0.2">
      <c r="B1553" s="358"/>
      <c r="C1553" s="358"/>
      <c r="D1553" s="358"/>
      <c r="E1553" s="358"/>
      <c r="F1553" s="358"/>
      <c r="G1553" s="358"/>
      <c r="H1553" s="358"/>
      <c r="J1553" s="312"/>
    </row>
    <row r="1554" spans="2:10" x14ac:dyDescent="0.2">
      <c r="B1554" s="358"/>
      <c r="C1554" s="358"/>
      <c r="D1554" s="358"/>
      <c r="E1554" s="358"/>
      <c r="F1554" s="358"/>
      <c r="G1554" s="358"/>
      <c r="H1554" s="358"/>
      <c r="J1554" s="312"/>
    </row>
    <row r="1555" spans="2:10" x14ac:dyDescent="0.2">
      <c r="B1555" s="358"/>
      <c r="C1555" s="358"/>
      <c r="D1555" s="358"/>
      <c r="E1555" s="358"/>
      <c r="F1555" s="358"/>
      <c r="G1555" s="358"/>
      <c r="H1555" s="358"/>
      <c r="J1555" s="312"/>
    </row>
    <row r="1556" spans="2:10" x14ac:dyDescent="0.2">
      <c r="B1556" s="358"/>
      <c r="C1556" s="358"/>
      <c r="D1556" s="358"/>
      <c r="E1556" s="358"/>
      <c r="F1556" s="358"/>
      <c r="G1556" s="358"/>
      <c r="H1556" s="358"/>
      <c r="J1556" s="312"/>
    </row>
    <row r="1557" spans="2:10" x14ac:dyDescent="0.2">
      <c r="B1557" s="358"/>
      <c r="C1557" s="358"/>
      <c r="D1557" s="358"/>
      <c r="E1557" s="358"/>
      <c r="F1557" s="358"/>
      <c r="G1557" s="358"/>
      <c r="H1557" s="358"/>
      <c r="J1557" s="312"/>
    </row>
    <row r="1558" spans="2:10" x14ac:dyDescent="0.2">
      <c r="B1558" s="358"/>
      <c r="C1558" s="358"/>
      <c r="D1558" s="358"/>
      <c r="E1558" s="358"/>
      <c r="F1558" s="358"/>
      <c r="G1558" s="358"/>
      <c r="H1558" s="358"/>
      <c r="J1558" s="312"/>
    </row>
    <row r="1559" spans="2:10" x14ac:dyDescent="0.2">
      <c r="B1559" s="358"/>
      <c r="C1559" s="358"/>
      <c r="D1559" s="358"/>
      <c r="E1559" s="358"/>
      <c r="F1559" s="358"/>
      <c r="G1559" s="358"/>
      <c r="H1559" s="358"/>
      <c r="J1559" s="312"/>
    </row>
    <row r="1560" spans="2:10" x14ac:dyDescent="0.2">
      <c r="B1560" s="358"/>
      <c r="C1560" s="358"/>
      <c r="D1560" s="358"/>
      <c r="E1560" s="358"/>
      <c r="F1560" s="358"/>
      <c r="G1560" s="358"/>
      <c r="H1560" s="358"/>
      <c r="J1560" s="312"/>
    </row>
    <row r="1561" spans="2:10" x14ac:dyDescent="0.2">
      <c r="B1561" s="358"/>
      <c r="C1561" s="358"/>
      <c r="D1561" s="358"/>
      <c r="E1561" s="358"/>
      <c r="F1561" s="358"/>
      <c r="G1561" s="358"/>
      <c r="H1561" s="358"/>
      <c r="J1561" s="312"/>
    </row>
    <row r="1562" spans="2:10" x14ac:dyDescent="0.2">
      <c r="B1562" s="358"/>
      <c r="C1562" s="358"/>
      <c r="D1562" s="358"/>
      <c r="E1562" s="358"/>
      <c r="F1562" s="358"/>
      <c r="G1562" s="358"/>
      <c r="H1562" s="358"/>
      <c r="J1562" s="312"/>
    </row>
    <row r="1563" spans="2:10" x14ac:dyDescent="0.2">
      <c r="B1563" s="358"/>
      <c r="C1563" s="358"/>
      <c r="D1563" s="358"/>
      <c r="E1563" s="358"/>
      <c r="F1563" s="358"/>
      <c r="G1563" s="358"/>
      <c r="H1563" s="358"/>
      <c r="J1563" s="312"/>
    </row>
    <row r="1564" spans="2:10" x14ac:dyDescent="0.2">
      <c r="B1564" s="358"/>
      <c r="C1564" s="358"/>
      <c r="D1564" s="358"/>
      <c r="E1564" s="358"/>
      <c r="F1564" s="358"/>
      <c r="G1564" s="358"/>
      <c r="H1564" s="358"/>
      <c r="J1564" s="312"/>
    </row>
    <row r="1565" spans="2:10" x14ac:dyDescent="0.2">
      <c r="B1565" s="358"/>
      <c r="C1565" s="358"/>
      <c r="D1565" s="358"/>
      <c r="E1565" s="358"/>
      <c r="F1565" s="358"/>
      <c r="G1565" s="358"/>
      <c r="H1565" s="358"/>
      <c r="J1565" s="312"/>
    </row>
    <row r="1566" spans="2:10" x14ac:dyDescent="0.2">
      <c r="J1566" s="312"/>
    </row>
    <row r="1567" spans="2:10" x14ac:dyDescent="0.2">
      <c r="J1567" s="312"/>
    </row>
    <row r="1568" spans="2:10" x14ac:dyDescent="0.2">
      <c r="J1568" s="312"/>
    </row>
    <row r="1569" spans="10:10" x14ac:dyDescent="0.2">
      <c r="J1569" s="312"/>
    </row>
    <row r="1570" spans="10:10" x14ac:dyDescent="0.2">
      <c r="J1570" s="312"/>
    </row>
    <row r="1571" spans="10:10" x14ac:dyDescent="0.2">
      <c r="J1571" s="312"/>
    </row>
    <row r="1572" spans="10:10" x14ac:dyDescent="0.2">
      <c r="J1572" s="312"/>
    </row>
    <row r="1573" spans="10:10" x14ac:dyDescent="0.2">
      <c r="J1573" s="312"/>
    </row>
    <row r="1574" spans="10:10" x14ac:dyDescent="0.2">
      <c r="J1574" s="312"/>
    </row>
    <row r="1575" spans="10:10" x14ac:dyDescent="0.2">
      <c r="J1575" s="312"/>
    </row>
    <row r="1576" spans="10:10" x14ac:dyDescent="0.2">
      <c r="J1576" s="312"/>
    </row>
    <row r="1577" spans="10:10" x14ac:dyDescent="0.2">
      <c r="J1577" s="312"/>
    </row>
    <row r="1578" spans="10:10" x14ac:dyDescent="0.2">
      <c r="J1578" s="312"/>
    </row>
    <row r="1579" spans="10:10" x14ac:dyDescent="0.2">
      <c r="J1579" s="312"/>
    </row>
    <row r="1580" spans="10:10" x14ac:dyDescent="0.2">
      <c r="J1580" s="312"/>
    </row>
    <row r="1581" spans="10:10" x14ac:dyDescent="0.2">
      <c r="J1581" s="312"/>
    </row>
    <row r="1582" spans="10:10" x14ac:dyDescent="0.2">
      <c r="J1582" s="312"/>
    </row>
    <row r="1583" spans="10:10" x14ac:dyDescent="0.2">
      <c r="J1583" s="312"/>
    </row>
    <row r="1584" spans="10:10" x14ac:dyDescent="0.2">
      <c r="J1584" s="312"/>
    </row>
    <row r="1585" spans="10:10" x14ac:dyDescent="0.2">
      <c r="J1585" s="312"/>
    </row>
    <row r="1586" spans="10:10" x14ac:dyDescent="0.2">
      <c r="J1586" s="312"/>
    </row>
    <row r="1587" spans="10:10" x14ac:dyDescent="0.2">
      <c r="J1587" s="312"/>
    </row>
    <row r="1588" spans="10:10" x14ac:dyDescent="0.2">
      <c r="J1588" s="312"/>
    </row>
    <row r="1589" spans="10:10" x14ac:dyDescent="0.2">
      <c r="J1589" s="312"/>
    </row>
    <row r="1590" spans="10:10" x14ac:dyDescent="0.2">
      <c r="J1590" s="312"/>
    </row>
    <row r="1591" spans="10:10" x14ac:dyDescent="0.2">
      <c r="J1591" s="312"/>
    </row>
    <row r="1592" spans="10:10" x14ac:dyDescent="0.2">
      <c r="J1592" s="312"/>
    </row>
    <row r="1593" spans="10:10" x14ac:dyDescent="0.2">
      <c r="J1593" s="312"/>
    </row>
    <row r="1594" spans="10:10" x14ac:dyDescent="0.2">
      <c r="J1594" s="312"/>
    </row>
    <row r="1595" spans="10:10" x14ac:dyDescent="0.2">
      <c r="J1595" s="312"/>
    </row>
    <row r="1596" spans="10:10" x14ac:dyDescent="0.2">
      <c r="J1596" s="312"/>
    </row>
    <row r="1597" spans="10:10" x14ac:dyDescent="0.2">
      <c r="J1597" s="312"/>
    </row>
    <row r="1598" spans="10:10" x14ac:dyDescent="0.2">
      <c r="J1598" s="312"/>
    </row>
    <row r="1599" spans="10:10" x14ac:dyDescent="0.2">
      <c r="J1599" s="312"/>
    </row>
    <row r="1600" spans="10:10" x14ac:dyDescent="0.2">
      <c r="J1600" s="312"/>
    </row>
    <row r="1601" spans="10:10" x14ac:dyDescent="0.2">
      <c r="J1601" s="312"/>
    </row>
    <row r="1602" spans="10:10" x14ac:dyDescent="0.2">
      <c r="J1602" s="312"/>
    </row>
    <row r="1603" spans="10:10" x14ac:dyDescent="0.2">
      <c r="J1603" s="312"/>
    </row>
    <row r="1604" spans="10:10" x14ac:dyDescent="0.2">
      <c r="J1604" s="312"/>
    </row>
    <row r="1605" spans="10:10" x14ac:dyDescent="0.2">
      <c r="J1605" s="312"/>
    </row>
    <row r="1606" spans="10:10" x14ac:dyDescent="0.2">
      <c r="J1606" s="312"/>
    </row>
    <row r="1607" spans="10:10" x14ac:dyDescent="0.2">
      <c r="J1607" s="312"/>
    </row>
    <row r="1608" spans="10:10" x14ac:dyDescent="0.2">
      <c r="J1608" s="312"/>
    </row>
    <row r="1609" spans="10:10" x14ac:dyDescent="0.2">
      <c r="J1609" s="312"/>
    </row>
    <row r="1610" spans="10:10" x14ac:dyDescent="0.2">
      <c r="J1610" s="312"/>
    </row>
    <row r="1611" spans="10:10" x14ac:dyDescent="0.2">
      <c r="J1611" s="312"/>
    </row>
    <row r="1612" spans="10:10" x14ac:dyDescent="0.2">
      <c r="J1612" s="312"/>
    </row>
    <row r="1613" spans="10:10" x14ac:dyDescent="0.2">
      <c r="J1613" s="312"/>
    </row>
    <row r="1614" spans="10:10" x14ac:dyDescent="0.2">
      <c r="J1614" s="312"/>
    </row>
    <row r="1615" spans="10:10" x14ac:dyDescent="0.2">
      <c r="J1615" s="312"/>
    </row>
    <row r="1616" spans="10:10" x14ac:dyDescent="0.2">
      <c r="J1616" s="312"/>
    </row>
    <row r="1617" spans="10:10" x14ac:dyDescent="0.2">
      <c r="J1617" s="312"/>
    </row>
    <row r="1618" spans="10:10" x14ac:dyDescent="0.2">
      <c r="J1618" s="312"/>
    </row>
    <row r="1619" spans="10:10" x14ac:dyDescent="0.2">
      <c r="J1619" s="312"/>
    </row>
    <row r="1620" spans="10:10" x14ac:dyDescent="0.2">
      <c r="J1620" s="312"/>
    </row>
    <row r="1621" spans="10:10" x14ac:dyDescent="0.2">
      <c r="J1621" s="312"/>
    </row>
    <row r="1622" spans="10:10" x14ac:dyDescent="0.2">
      <c r="J1622" s="312"/>
    </row>
    <row r="1623" spans="10:10" x14ac:dyDescent="0.2">
      <c r="J1623" s="312"/>
    </row>
    <row r="1624" spans="10:10" x14ac:dyDescent="0.2">
      <c r="J1624" s="312"/>
    </row>
    <row r="1625" spans="10:10" x14ac:dyDescent="0.2">
      <c r="J1625" s="312"/>
    </row>
    <row r="1626" spans="10:10" x14ac:dyDescent="0.2">
      <c r="J1626" s="312"/>
    </row>
    <row r="1627" spans="10:10" x14ac:dyDescent="0.2">
      <c r="J1627" s="312"/>
    </row>
    <row r="1628" spans="10:10" x14ac:dyDescent="0.2">
      <c r="J1628" s="312"/>
    </row>
    <row r="1629" spans="10:10" x14ac:dyDescent="0.2">
      <c r="J1629" s="312"/>
    </row>
    <row r="1630" spans="10:10" x14ac:dyDescent="0.2">
      <c r="J1630" s="312"/>
    </row>
    <row r="1631" spans="10:10" x14ac:dyDescent="0.2">
      <c r="J1631" s="312"/>
    </row>
    <row r="1632" spans="10:10" x14ac:dyDescent="0.2">
      <c r="J1632" s="312"/>
    </row>
    <row r="1633" spans="10:10" x14ac:dyDescent="0.2">
      <c r="J1633" s="312"/>
    </row>
    <row r="1634" spans="10:10" x14ac:dyDescent="0.2">
      <c r="J1634" s="312"/>
    </row>
    <row r="1635" spans="10:10" x14ac:dyDescent="0.2">
      <c r="J1635" s="312"/>
    </row>
    <row r="1636" spans="10:10" x14ac:dyDescent="0.2">
      <c r="J1636" s="312"/>
    </row>
    <row r="1637" spans="10:10" x14ac:dyDescent="0.2">
      <c r="J1637" s="312"/>
    </row>
    <row r="1638" spans="10:10" x14ac:dyDescent="0.2">
      <c r="J1638" s="312"/>
    </row>
    <row r="1639" spans="10:10" x14ac:dyDescent="0.2">
      <c r="J1639" s="312"/>
    </row>
    <row r="1640" spans="10:10" x14ac:dyDescent="0.2">
      <c r="J1640" s="312"/>
    </row>
    <row r="1641" spans="10:10" x14ac:dyDescent="0.2">
      <c r="J1641" s="312"/>
    </row>
    <row r="1642" spans="10:10" x14ac:dyDescent="0.2">
      <c r="J1642" s="312"/>
    </row>
    <row r="1643" spans="10:10" x14ac:dyDescent="0.2">
      <c r="J1643" s="312"/>
    </row>
    <row r="1644" spans="10:10" x14ac:dyDescent="0.2">
      <c r="J1644" s="312"/>
    </row>
    <row r="1645" spans="10:10" x14ac:dyDescent="0.2">
      <c r="J1645" s="312"/>
    </row>
    <row r="1646" spans="10:10" x14ac:dyDescent="0.2">
      <c r="J1646" s="312"/>
    </row>
    <row r="1647" spans="10:10" x14ac:dyDescent="0.2">
      <c r="J1647" s="312"/>
    </row>
    <row r="1648" spans="10:10" x14ac:dyDescent="0.2">
      <c r="J1648" s="312"/>
    </row>
    <row r="1649" spans="10:10" x14ac:dyDescent="0.2">
      <c r="J1649" s="312"/>
    </row>
    <row r="1650" spans="10:10" x14ac:dyDescent="0.2">
      <c r="J1650" s="312"/>
    </row>
    <row r="1651" spans="10:10" x14ac:dyDescent="0.2">
      <c r="J1651" s="312"/>
    </row>
    <row r="1652" spans="10:10" x14ac:dyDescent="0.2">
      <c r="J1652" s="312"/>
    </row>
    <row r="1653" spans="10:10" x14ac:dyDescent="0.2">
      <c r="J1653" s="312"/>
    </row>
    <row r="1654" spans="10:10" x14ac:dyDescent="0.2">
      <c r="J1654" s="312"/>
    </row>
    <row r="1655" spans="10:10" x14ac:dyDescent="0.2">
      <c r="J1655" s="312"/>
    </row>
    <row r="1656" spans="10:10" x14ac:dyDescent="0.2">
      <c r="J1656" s="312"/>
    </row>
    <row r="1657" spans="10:10" x14ac:dyDescent="0.2">
      <c r="J1657" s="312"/>
    </row>
    <row r="1658" spans="10:10" x14ac:dyDescent="0.2">
      <c r="J1658" s="312"/>
    </row>
    <row r="1659" spans="10:10" x14ac:dyDescent="0.2">
      <c r="J1659" s="312"/>
    </row>
    <row r="1660" spans="10:10" x14ac:dyDescent="0.2">
      <c r="J1660" s="312"/>
    </row>
    <row r="1661" spans="10:10" x14ac:dyDescent="0.2">
      <c r="J1661" s="312"/>
    </row>
    <row r="1662" spans="10:10" x14ac:dyDescent="0.2">
      <c r="J1662" s="312"/>
    </row>
    <row r="1663" spans="10:10" x14ac:dyDescent="0.2">
      <c r="J1663" s="312"/>
    </row>
    <row r="1664" spans="10:10" x14ac:dyDescent="0.2">
      <c r="J1664" s="312"/>
    </row>
    <row r="1665" spans="10:10" x14ac:dyDescent="0.2">
      <c r="J1665" s="312"/>
    </row>
    <row r="1666" spans="10:10" x14ac:dyDescent="0.2">
      <c r="J1666" s="312"/>
    </row>
    <row r="1667" spans="10:10" x14ac:dyDescent="0.2">
      <c r="J1667" s="312"/>
    </row>
    <row r="1668" spans="10:10" x14ac:dyDescent="0.2">
      <c r="J1668" s="312"/>
    </row>
    <row r="1669" spans="10:10" x14ac:dyDescent="0.2">
      <c r="J1669" s="312"/>
    </row>
    <row r="1670" spans="10:10" x14ac:dyDescent="0.2">
      <c r="J1670" s="312"/>
    </row>
    <row r="1671" spans="10:10" x14ac:dyDescent="0.2">
      <c r="J1671" s="312"/>
    </row>
    <row r="1672" spans="10:10" x14ac:dyDescent="0.2">
      <c r="J1672" s="312"/>
    </row>
    <row r="1673" spans="10:10" x14ac:dyDescent="0.2">
      <c r="J1673" s="312"/>
    </row>
    <row r="1674" spans="10:10" x14ac:dyDescent="0.2">
      <c r="J1674" s="312"/>
    </row>
    <row r="1675" spans="10:10" x14ac:dyDescent="0.2">
      <c r="J1675" s="312"/>
    </row>
    <row r="1676" spans="10:10" x14ac:dyDescent="0.2">
      <c r="J1676" s="312"/>
    </row>
    <row r="1677" spans="10:10" x14ac:dyDescent="0.2">
      <c r="J1677" s="312"/>
    </row>
    <row r="1678" spans="10:10" x14ac:dyDescent="0.2">
      <c r="J1678" s="312"/>
    </row>
    <row r="1679" spans="10:10" x14ac:dyDescent="0.2">
      <c r="J1679" s="312"/>
    </row>
    <row r="1680" spans="10:10" x14ac:dyDescent="0.2">
      <c r="J1680" s="312"/>
    </row>
    <row r="1681" spans="10:10" x14ac:dyDescent="0.2">
      <c r="J1681" s="312"/>
    </row>
    <row r="1682" spans="10:10" x14ac:dyDescent="0.2">
      <c r="J1682" s="312"/>
    </row>
    <row r="1683" spans="10:10" x14ac:dyDescent="0.2">
      <c r="J1683" s="312"/>
    </row>
    <row r="1684" spans="10:10" x14ac:dyDescent="0.2">
      <c r="J1684" s="312"/>
    </row>
    <row r="1685" spans="10:10" x14ac:dyDescent="0.2">
      <c r="J1685" s="312"/>
    </row>
    <row r="1686" spans="10:10" x14ac:dyDescent="0.2">
      <c r="J1686" s="312"/>
    </row>
    <row r="1687" spans="10:10" x14ac:dyDescent="0.2">
      <c r="J1687" s="312"/>
    </row>
    <row r="1688" spans="10:10" x14ac:dyDescent="0.2">
      <c r="J1688" s="312"/>
    </row>
    <row r="1689" spans="10:10" x14ac:dyDescent="0.2">
      <c r="J1689" s="312"/>
    </row>
    <row r="1690" spans="10:10" x14ac:dyDescent="0.2">
      <c r="J1690" s="312"/>
    </row>
    <row r="1691" spans="10:10" x14ac:dyDescent="0.2">
      <c r="J1691" s="312"/>
    </row>
    <row r="1692" spans="10:10" x14ac:dyDescent="0.2">
      <c r="J1692" s="312"/>
    </row>
    <row r="1693" spans="10:10" x14ac:dyDescent="0.2">
      <c r="J1693" s="312"/>
    </row>
    <row r="1694" spans="10:10" x14ac:dyDescent="0.2">
      <c r="J1694" s="312"/>
    </row>
    <row r="1695" spans="10:10" x14ac:dyDescent="0.2">
      <c r="J1695" s="312"/>
    </row>
    <row r="1696" spans="10:10" x14ac:dyDescent="0.2">
      <c r="J1696" s="312"/>
    </row>
    <row r="1697" spans="10:10" x14ac:dyDescent="0.2">
      <c r="J1697" s="312"/>
    </row>
    <row r="1698" spans="10:10" x14ac:dyDescent="0.2">
      <c r="J1698" s="312"/>
    </row>
    <row r="1699" spans="10:10" x14ac:dyDescent="0.2">
      <c r="J1699" s="312"/>
    </row>
    <row r="1700" spans="10:10" x14ac:dyDescent="0.2">
      <c r="J1700" s="312"/>
    </row>
    <row r="1701" spans="10:10" x14ac:dyDescent="0.2">
      <c r="J1701" s="312"/>
    </row>
    <row r="1702" spans="10:10" x14ac:dyDescent="0.2">
      <c r="J1702" s="312"/>
    </row>
    <row r="1703" spans="10:10" x14ac:dyDescent="0.2">
      <c r="J1703" s="312"/>
    </row>
    <row r="1704" spans="10:10" x14ac:dyDescent="0.2">
      <c r="J1704" s="312"/>
    </row>
    <row r="1705" spans="10:10" x14ac:dyDescent="0.2">
      <c r="J1705" s="312"/>
    </row>
    <row r="1706" spans="10:10" x14ac:dyDescent="0.2">
      <c r="J1706" s="312"/>
    </row>
    <row r="1707" spans="10:10" x14ac:dyDescent="0.2">
      <c r="J1707" s="312"/>
    </row>
    <row r="1708" spans="10:10" x14ac:dyDescent="0.2">
      <c r="J1708" s="312"/>
    </row>
    <row r="1709" spans="10:10" x14ac:dyDescent="0.2">
      <c r="J1709" s="312"/>
    </row>
    <row r="1710" spans="10:10" x14ac:dyDescent="0.2">
      <c r="J1710" s="312"/>
    </row>
    <row r="1711" spans="10:10" x14ac:dyDescent="0.2">
      <c r="J1711" s="312"/>
    </row>
    <row r="1712" spans="10:10" x14ac:dyDescent="0.2">
      <c r="J1712" s="312"/>
    </row>
    <row r="1713" spans="10:10" x14ac:dyDescent="0.2">
      <c r="J1713" s="312"/>
    </row>
    <row r="1714" spans="10:10" x14ac:dyDescent="0.2">
      <c r="J1714" s="312"/>
    </row>
    <row r="1715" spans="10:10" x14ac:dyDescent="0.2">
      <c r="J1715" s="312"/>
    </row>
    <row r="1716" spans="10:10" x14ac:dyDescent="0.2">
      <c r="J1716" s="312"/>
    </row>
    <row r="1717" spans="10:10" x14ac:dyDescent="0.2">
      <c r="J1717" s="312"/>
    </row>
    <row r="1718" spans="10:10" x14ac:dyDescent="0.2">
      <c r="J1718" s="312"/>
    </row>
    <row r="1719" spans="10:10" x14ac:dyDescent="0.2">
      <c r="J1719" s="312"/>
    </row>
    <row r="1720" spans="10:10" x14ac:dyDescent="0.2">
      <c r="J1720" s="312"/>
    </row>
    <row r="1721" spans="10:10" x14ac:dyDescent="0.2">
      <c r="J1721" s="312"/>
    </row>
    <row r="1722" spans="10:10" x14ac:dyDescent="0.2">
      <c r="J1722" s="312"/>
    </row>
    <row r="1723" spans="10:10" x14ac:dyDescent="0.2">
      <c r="J1723" s="312"/>
    </row>
    <row r="1724" spans="10:10" x14ac:dyDescent="0.2">
      <c r="J1724" s="312"/>
    </row>
    <row r="1725" spans="10:10" x14ac:dyDescent="0.2">
      <c r="J1725" s="312"/>
    </row>
    <row r="1726" spans="10:10" x14ac:dyDescent="0.2">
      <c r="J1726" s="312"/>
    </row>
    <row r="1727" spans="10:10" x14ac:dyDescent="0.2">
      <c r="J1727" s="312"/>
    </row>
    <row r="1728" spans="10:10" x14ac:dyDescent="0.2">
      <c r="J1728" s="312"/>
    </row>
    <row r="1729" spans="10:10" x14ac:dyDescent="0.2">
      <c r="J1729" s="312"/>
    </row>
    <row r="1730" spans="10:10" x14ac:dyDescent="0.2">
      <c r="J1730" s="312"/>
    </row>
    <row r="1731" spans="10:10" x14ac:dyDescent="0.2">
      <c r="J1731" s="312"/>
    </row>
    <row r="1732" spans="10:10" x14ac:dyDescent="0.2">
      <c r="J1732" s="312"/>
    </row>
    <row r="1733" spans="10:10" x14ac:dyDescent="0.2">
      <c r="J1733" s="312"/>
    </row>
    <row r="1734" spans="10:10" x14ac:dyDescent="0.2">
      <c r="J1734" s="312"/>
    </row>
    <row r="1735" spans="10:10" x14ac:dyDescent="0.2">
      <c r="J1735" s="312"/>
    </row>
    <row r="1736" spans="10:10" x14ac:dyDescent="0.2">
      <c r="J1736" s="312"/>
    </row>
    <row r="1737" spans="10:10" x14ac:dyDescent="0.2">
      <c r="J1737" s="312"/>
    </row>
    <row r="1738" spans="10:10" x14ac:dyDescent="0.2">
      <c r="J1738" s="312"/>
    </row>
    <row r="1739" spans="10:10" x14ac:dyDescent="0.2">
      <c r="J1739" s="312"/>
    </row>
    <row r="1740" spans="10:10" x14ac:dyDescent="0.2">
      <c r="J1740" s="312"/>
    </row>
    <row r="1741" spans="10:10" x14ac:dyDescent="0.2">
      <c r="J1741" s="312"/>
    </row>
    <row r="1742" spans="10:10" x14ac:dyDescent="0.2">
      <c r="J1742" s="312"/>
    </row>
    <row r="1743" spans="10:10" x14ac:dyDescent="0.2">
      <c r="J1743" s="312"/>
    </row>
    <row r="1744" spans="10:10" x14ac:dyDescent="0.2">
      <c r="J1744" s="312"/>
    </row>
    <row r="1745" spans="10:10" x14ac:dyDescent="0.2">
      <c r="J1745" s="312"/>
    </row>
    <row r="1746" spans="10:10" x14ac:dyDescent="0.2">
      <c r="J1746" s="312"/>
    </row>
    <row r="1747" spans="10:10" x14ac:dyDescent="0.2">
      <c r="J1747" s="312"/>
    </row>
    <row r="1748" spans="10:10" x14ac:dyDescent="0.2">
      <c r="J1748" s="312"/>
    </row>
    <row r="1749" spans="10:10" x14ac:dyDescent="0.2">
      <c r="J1749" s="312"/>
    </row>
    <row r="1750" spans="10:10" x14ac:dyDescent="0.2">
      <c r="J1750" s="312"/>
    </row>
    <row r="1751" spans="10:10" x14ac:dyDescent="0.2">
      <c r="J1751" s="312"/>
    </row>
    <row r="1752" spans="10:10" x14ac:dyDescent="0.2">
      <c r="J1752" s="312"/>
    </row>
    <row r="1753" spans="10:10" x14ac:dyDescent="0.2">
      <c r="J1753" s="312"/>
    </row>
    <row r="1754" spans="10:10" x14ac:dyDescent="0.2">
      <c r="J1754" s="312"/>
    </row>
    <row r="1755" spans="10:10" x14ac:dyDescent="0.2">
      <c r="J1755" s="312"/>
    </row>
    <row r="1756" spans="10:10" x14ac:dyDescent="0.2">
      <c r="J1756" s="312"/>
    </row>
    <row r="1757" spans="10:10" x14ac:dyDescent="0.2">
      <c r="J1757" s="312"/>
    </row>
    <row r="1758" spans="10:10" x14ac:dyDescent="0.2">
      <c r="J1758" s="312"/>
    </row>
    <row r="1759" spans="10:10" x14ac:dyDescent="0.2">
      <c r="J1759" s="312"/>
    </row>
    <row r="1760" spans="10:10" x14ac:dyDescent="0.2">
      <c r="J1760" s="312"/>
    </row>
    <row r="1761" spans="10:10" x14ac:dyDescent="0.2">
      <c r="J1761" s="312"/>
    </row>
    <row r="1762" spans="10:10" x14ac:dyDescent="0.2">
      <c r="J1762" s="312"/>
    </row>
    <row r="1763" spans="10:10" x14ac:dyDescent="0.2">
      <c r="J1763" s="312"/>
    </row>
    <row r="1764" spans="10:10" x14ac:dyDescent="0.2">
      <c r="J1764" s="312"/>
    </row>
    <row r="1765" spans="10:10" x14ac:dyDescent="0.2">
      <c r="J1765" s="312"/>
    </row>
    <row r="1766" spans="10:10" x14ac:dyDescent="0.2">
      <c r="J1766" s="312"/>
    </row>
    <row r="1767" spans="10:10" x14ac:dyDescent="0.2">
      <c r="J1767" s="312"/>
    </row>
    <row r="1768" spans="10:10" x14ac:dyDescent="0.2">
      <c r="J1768" s="312"/>
    </row>
    <row r="1769" spans="10:10" x14ac:dyDescent="0.2">
      <c r="J1769" s="312"/>
    </row>
    <row r="1770" spans="10:10" x14ac:dyDescent="0.2">
      <c r="J1770" s="312"/>
    </row>
    <row r="1771" spans="10:10" x14ac:dyDescent="0.2">
      <c r="J1771" s="312"/>
    </row>
    <row r="1772" spans="10:10" x14ac:dyDescent="0.2">
      <c r="J1772" s="312"/>
    </row>
    <row r="1773" spans="10:10" x14ac:dyDescent="0.2">
      <c r="J1773" s="312"/>
    </row>
    <row r="1774" spans="10:10" x14ac:dyDescent="0.2">
      <c r="J1774" s="312"/>
    </row>
    <row r="1775" spans="10:10" x14ac:dyDescent="0.2">
      <c r="J1775" s="312"/>
    </row>
    <row r="1776" spans="10:10" x14ac:dyDescent="0.2">
      <c r="J1776" s="312"/>
    </row>
    <row r="1777" spans="10:10" x14ac:dyDescent="0.2">
      <c r="J1777" s="312"/>
    </row>
    <row r="1778" spans="10:10" x14ac:dyDescent="0.2">
      <c r="J1778" s="312"/>
    </row>
    <row r="1779" spans="10:10" x14ac:dyDescent="0.2">
      <c r="J1779" s="312"/>
    </row>
    <row r="1780" spans="10:10" x14ac:dyDescent="0.2">
      <c r="J1780" s="312"/>
    </row>
    <row r="1781" spans="10:10" x14ac:dyDescent="0.2">
      <c r="J1781" s="312"/>
    </row>
    <row r="1782" spans="10:10" x14ac:dyDescent="0.2">
      <c r="J1782" s="312"/>
    </row>
    <row r="1783" spans="10:10" x14ac:dyDescent="0.2">
      <c r="J1783" s="312"/>
    </row>
    <row r="1784" spans="10:10" x14ac:dyDescent="0.2">
      <c r="J1784" s="312"/>
    </row>
    <row r="1785" spans="10:10" x14ac:dyDescent="0.2">
      <c r="J1785" s="312"/>
    </row>
    <row r="1786" spans="10:10" x14ac:dyDescent="0.2">
      <c r="J1786" s="312"/>
    </row>
    <row r="1787" spans="10:10" x14ac:dyDescent="0.2">
      <c r="J1787" s="312"/>
    </row>
    <row r="1788" spans="10:10" x14ac:dyDescent="0.2">
      <c r="J1788" s="312"/>
    </row>
    <row r="1789" spans="10:10" x14ac:dyDescent="0.2">
      <c r="J1789" s="312"/>
    </row>
    <row r="1790" spans="10:10" x14ac:dyDescent="0.2">
      <c r="J1790" s="312"/>
    </row>
    <row r="1791" spans="10:10" x14ac:dyDescent="0.2">
      <c r="J1791" s="312"/>
    </row>
    <row r="1792" spans="10:10" x14ac:dyDescent="0.2">
      <c r="J1792" s="312"/>
    </row>
    <row r="1793" spans="10:10" x14ac:dyDescent="0.2">
      <c r="J1793" s="312"/>
    </row>
    <row r="1794" spans="10:10" x14ac:dyDescent="0.2">
      <c r="J1794" s="312"/>
    </row>
    <row r="1795" spans="10:10" x14ac:dyDescent="0.2">
      <c r="J1795" s="312"/>
    </row>
    <row r="1796" spans="10:10" x14ac:dyDescent="0.2">
      <c r="J1796" s="312"/>
    </row>
    <row r="1797" spans="10:10" x14ac:dyDescent="0.2">
      <c r="J1797" s="312"/>
    </row>
    <row r="1798" spans="10:10" x14ac:dyDescent="0.2">
      <c r="J1798" s="312"/>
    </row>
    <row r="1799" spans="10:10" x14ac:dyDescent="0.2">
      <c r="J1799" s="312"/>
    </row>
    <row r="1800" spans="10:10" x14ac:dyDescent="0.2">
      <c r="J1800" s="312"/>
    </row>
    <row r="1801" spans="10:10" x14ac:dyDescent="0.2">
      <c r="J1801" s="312"/>
    </row>
    <row r="1802" spans="10:10" x14ac:dyDescent="0.2">
      <c r="J1802" s="312"/>
    </row>
    <row r="1803" spans="10:10" x14ac:dyDescent="0.2">
      <c r="J1803" s="312"/>
    </row>
    <row r="1804" spans="10:10" x14ac:dyDescent="0.2">
      <c r="J1804" s="312"/>
    </row>
    <row r="1805" spans="10:10" x14ac:dyDescent="0.2">
      <c r="J1805" s="312"/>
    </row>
    <row r="1806" spans="10:10" x14ac:dyDescent="0.2">
      <c r="J1806" s="312"/>
    </row>
    <row r="1807" spans="10:10" x14ac:dyDescent="0.2">
      <c r="J1807" s="312"/>
    </row>
    <row r="1808" spans="10:10" x14ac:dyDescent="0.2">
      <c r="J1808" s="312"/>
    </row>
    <row r="1809" spans="10:10" x14ac:dyDescent="0.2">
      <c r="J1809" s="312"/>
    </row>
    <row r="1810" spans="10:10" x14ac:dyDescent="0.2">
      <c r="J1810" s="312"/>
    </row>
    <row r="1811" spans="10:10" x14ac:dyDescent="0.2">
      <c r="J1811" s="312"/>
    </row>
    <row r="1812" spans="10:10" x14ac:dyDescent="0.2">
      <c r="J1812" s="312"/>
    </row>
    <row r="1813" spans="10:10" x14ac:dyDescent="0.2">
      <c r="J1813" s="312"/>
    </row>
    <row r="1814" spans="10:10" x14ac:dyDescent="0.2">
      <c r="J1814" s="312"/>
    </row>
    <row r="1815" spans="10:10" x14ac:dyDescent="0.2">
      <c r="J1815" s="312"/>
    </row>
    <row r="1816" spans="10:10" x14ac:dyDescent="0.2">
      <c r="J1816" s="312"/>
    </row>
    <row r="1817" spans="10:10" x14ac:dyDescent="0.2">
      <c r="J1817" s="312"/>
    </row>
    <row r="1818" spans="10:10" x14ac:dyDescent="0.2">
      <c r="J1818" s="312"/>
    </row>
    <row r="1819" spans="10:10" x14ac:dyDescent="0.2">
      <c r="J1819" s="312"/>
    </row>
    <row r="1820" spans="10:10" x14ac:dyDescent="0.2">
      <c r="J1820" s="312"/>
    </row>
    <row r="1821" spans="10:10" x14ac:dyDescent="0.2">
      <c r="J1821" s="312"/>
    </row>
    <row r="1822" spans="10:10" x14ac:dyDescent="0.2">
      <c r="J1822" s="312"/>
    </row>
    <row r="1823" spans="10:10" x14ac:dyDescent="0.2">
      <c r="J1823" s="312"/>
    </row>
    <row r="1824" spans="10:10" x14ac:dyDescent="0.2">
      <c r="J1824" s="312"/>
    </row>
    <row r="1825" spans="10:10" x14ac:dyDescent="0.2">
      <c r="J1825" s="312"/>
    </row>
    <row r="1826" spans="10:10" x14ac:dyDescent="0.2">
      <c r="J1826" s="312"/>
    </row>
    <row r="1827" spans="10:10" x14ac:dyDescent="0.2">
      <c r="J1827" s="312"/>
    </row>
    <row r="1828" spans="10:10" x14ac:dyDescent="0.2">
      <c r="J1828" s="312"/>
    </row>
    <row r="1829" spans="10:10" x14ac:dyDescent="0.2">
      <c r="J1829" s="312"/>
    </row>
    <row r="1830" spans="10:10" x14ac:dyDescent="0.2">
      <c r="J1830" s="312"/>
    </row>
    <row r="1831" spans="10:10" x14ac:dyDescent="0.2">
      <c r="J1831" s="312"/>
    </row>
    <row r="1832" spans="10:10" x14ac:dyDescent="0.2">
      <c r="J1832" s="312"/>
    </row>
    <row r="1833" spans="10:10" x14ac:dyDescent="0.2">
      <c r="J1833" s="312"/>
    </row>
    <row r="1834" spans="10:10" x14ac:dyDescent="0.2">
      <c r="J1834" s="312"/>
    </row>
    <row r="1835" spans="10:10" x14ac:dyDescent="0.2">
      <c r="J1835" s="312"/>
    </row>
    <row r="1836" spans="10:10" x14ac:dyDescent="0.2">
      <c r="J1836" s="312"/>
    </row>
    <row r="1837" spans="10:10" x14ac:dyDescent="0.2">
      <c r="J1837" s="312"/>
    </row>
    <row r="1838" spans="10:10" x14ac:dyDescent="0.2">
      <c r="J1838" s="312"/>
    </row>
    <row r="1839" spans="10:10" x14ac:dyDescent="0.2">
      <c r="J1839" s="312"/>
    </row>
    <row r="1840" spans="10:10" x14ac:dyDescent="0.2">
      <c r="J1840" s="312"/>
    </row>
    <row r="1841" spans="10:10" x14ac:dyDescent="0.2">
      <c r="J1841" s="312"/>
    </row>
    <row r="1842" spans="10:10" x14ac:dyDescent="0.2">
      <c r="J1842" s="312"/>
    </row>
    <row r="1843" spans="10:10" x14ac:dyDescent="0.2">
      <c r="J1843" s="312"/>
    </row>
    <row r="1844" spans="10:10" x14ac:dyDescent="0.2">
      <c r="J1844" s="312"/>
    </row>
    <row r="1845" spans="10:10" x14ac:dyDescent="0.2">
      <c r="J1845" s="312"/>
    </row>
    <row r="1846" spans="10:10" x14ac:dyDescent="0.2">
      <c r="J1846" s="312"/>
    </row>
    <row r="1847" spans="10:10" x14ac:dyDescent="0.2">
      <c r="J1847" s="312"/>
    </row>
    <row r="1848" spans="10:10" x14ac:dyDescent="0.2">
      <c r="J1848" s="312"/>
    </row>
    <row r="1849" spans="10:10" x14ac:dyDescent="0.2">
      <c r="J1849" s="312"/>
    </row>
    <row r="1850" spans="10:10" x14ac:dyDescent="0.2">
      <c r="J1850" s="312"/>
    </row>
    <row r="1851" spans="10:10" x14ac:dyDescent="0.2">
      <c r="J1851" s="312"/>
    </row>
    <row r="1852" spans="10:10" x14ac:dyDescent="0.2">
      <c r="J1852" s="312"/>
    </row>
    <row r="1853" spans="10:10" x14ac:dyDescent="0.2">
      <c r="J1853" s="312"/>
    </row>
    <row r="1854" spans="10:10" x14ac:dyDescent="0.2">
      <c r="J1854" s="312"/>
    </row>
    <row r="1855" spans="10:10" x14ac:dyDescent="0.2">
      <c r="J1855" s="312"/>
    </row>
    <row r="1856" spans="10:10" x14ac:dyDescent="0.2">
      <c r="J1856" s="312"/>
    </row>
    <row r="1857" spans="10:10" x14ac:dyDescent="0.2">
      <c r="J1857" s="312"/>
    </row>
    <row r="1858" spans="10:10" x14ac:dyDescent="0.2">
      <c r="J1858" s="312"/>
    </row>
    <row r="1859" spans="10:10" x14ac:dyDescent="0.2">
      <c r="J1859" s="312"/>
    </row>
    <row r="1860" spans="10:10" x14ac:dyDescent="0.2">
      <c r="J1860" s="312"/>
    </row>
    <row r="1861" spans="10:10" x14ac:dyDescent="0.2">
      <c r="J1861" s="312"/>
    </row>
    <row r="1862" spans="10:10" x14ac:dyDescent="0.2">
      <c r="J1862" s="312"/>
    </row>
    <row r="1863" spans="10:10" x14ac:dyDescent="0.2">
      <c r="J1863" s="312"/>
    </row>
    <row r="1864" spans="10:10" x14ac:dyDescent="0.2">
      <c r="J1864" s="312"/>
    </row>
    <row r="1865" spans="10:10" x14ac:dyDescent="0.2">
      <c r="J1865" s="312"/>
    </row>
    <row r="1866" spans="10:10" x14ac:dyDescent="0.2">
      <c r="J1866" s="312"/>
    </row>
    <row r="1867" spans="10:10" x14ac:dyDescent="0.2">
      <c r="J1867" s="312"/>
    </row>
    <row r="1868" spans="10:10" x14ac:dyDescent="0.2">
      <c r="J1868" s="312"/>
    </row>
    <row r="1869" spans="10:10" x14ac:dyDescent="0.2">
      <c r="J1869" s="312"/>
    </row>
    <row r="1870" spans="10:10" x14ac:dyDescent="0.2">
      <c r="J1870" s="312"/>
    </row>
    <row r="1871" spans="10:10" x14ac:dyDescent="0.2">
      <c r="J1871" s="312"/>
    </row>
    <row r="1872" spans="10:10" x14ac:dyDescent="0.2">
      <c r="J1872" s="312"/>
    </row>
    <row r="1873" spans="10:10" x14ac:dyDescent="0.2">
      <c r="J1873" s="312"/>
    </row>
    <row r="1874" spans="10:10" x14ac:dyDescent="0.2">
      <c r="J1874" s="312"/>
    </row>
    <row r="1875" spans="10:10" x14ac:dyDescent="0.2">
      <c r="J1875" s="312"/>
    </row>
    <row r="1876" spans="10:10" x14ac:dyDescent="0.2">
      <c r="J1876" s="312"/>
    </row>
    <row r="1877" spans="10:10" x14ac:dyDescent="0.2">
      <c r="J1877" s="312"/>
    </row>
    <row r="1878" spans="10:10" x14ac:dyDescent="0.2">
      <c r="J1878" s="312"/>
    </row>
    <row r="1879" spans="10:10" x14ac:dyDescent="0.2">
      <c r="J1879" s="312"/>
    </row>
    <row r="1880" spans="10:10" x14ac:dyDescent="0.2">
      <c r="J1880" s="312"/>
    </row>
    <row r="1881" spans="10:10" x14ac:dyDescent="0.2">
      <c r="J1881" s="312"/>
    </row>
    <row r="1882" spans="10:10" x14ac:dyDescent="0.2">
      <c r="J1882" s="312"/>
    </row>
    <row r="1883" spans="10:10" x14ac:dyDescent="0.2">
      <c r="J1883" s="312"/>
    </row>
    <row r="1884" spans="10:10" x14ac:dyDescent="0.2">
      <c r="J1884" s="312"/>
    </row>
    <row r="1885" spans="10:10" x14ac:dyDescent="0.2">
      <c r="J1885" s="312"/>
    </row>
    <row r="1886" spans="10:10" x14ac:dyDescent="0.2">
      <c r="J1886" s="312"/>
    </row>
    <row r="1887" spans="10:10" x14ac:dyDescent="0.2">
      <c r="J1887" s="312"/>
    </row>
    <row r="1888" spans="10:10" x14ac:dyDescent="0.2">
      <c r="J1888" s="312"/>
    </row>
    <row r="1889" spans="10:10" x14ac:dyDescent="0.2">
      <c r="J1889" s="312"/>
    </row>
    <row r="1890" spans="10:10" x14ac:dyDescent="0.2">
      <c r="J1890" s="312"/>
    </row>
    <row r="1891" spans="10:10" x14ac:dyDescent="0.2">
      <c r="J1891" s="312"/>
    </row>
    <row r="1892" spans="10:10" x14ac:dyDescent="0.2">
      <c r="J1892" s="312"/>
    </row>
    <row r="1893" spans="10:10" x14ac:dyDescent="0.2">
      <c r="J1893" s="312"/>
    </row>
    <row r="1894" spans="10:10" x14ac:dyDescent="0.2">
      <c r="J1894" s="312"/>
    </row>
    <row r="1895" spans="10:10" x14ac:dyDescent="0.2">
      <c r="J1895" s="312"/>
    </row>
    <row r="1896" spans="10:10" x14ac:dyDescent="0.2">
      <c r="J1896" s="312"/>
    </row>
    <row r="1897" spans="10:10" x14ac:dyDescent="0.2">
      <c r="J1897" s="312"/>
    </row>
    <row r="1898" spans="10:10" x14ac:dyDescent="0.2">
      <c r="J1898" s="312"/>
    </row>
    <row r="1899" spans="10:10" x14ac:dyDescent="0.2">
      <c r="J1899" s="312"/>
    </row>
    <row r="1900" spans="10:10" x14ac:dyDescent="0.2">
      <c r="J1900" s="312"/>
    </row>
    <row r="1901" spans="10:10" x14ac:dyDescent="0.2">
      <c r="J1901" s="312"/>
    </row>
    <row r="1902" spans="10:10" x14ac:dyDescent="0.2">
      <c r="J1902" s="312"/>
    </row>
    <row r="1903" spans="10:10" x14ac:dyDescent="0.2">
      <c r="J1903" s="312"/>
    </row>
    <row r="1904" spans="10:10" x14ac:dyDescent="0.2">
      <c r="J1904" s="312"/>
    </row>
    <row r="1905" spans="10:10" x14ac:dyDescent="0.2">
      <c r="J1905" s="312"/>
    </row>
    <row r="1906" spans="10:10" x14ac:dyDescent="0.2">
      <c r="J1906" s="312"/>
    </row>
    <row r="1907" spans="10:10" x14ac:dyDescent="0.2">
      <c r="J1907" s="312"/>
    </row>
    <row r="1908" spans="10:10" x14ac:dyDescent="0.2">
      <c r="J1908" s="312"/>
    </row>
    <row r="1909" spans="10:10" x14ac:dyDescent="0.2">
      <c r="J1909" s="312"/>
    </row>
    <row r="1910" spans="10:10" x14ac:dyDescent="0.2">
      <c r="J1910" s="312"/>
    </row>
    <row r="1911" spans="10:10" x14ac:dyDescent="0.2">
      <c r="J1911" s="312"/>
    </row>
    <row r="1912" spans="10:10" x14ac:dyDescent="0.2">
      <c r="J1912" s="312"/>
    </row>
    <row r="1913" spans="10:10" x14ac:dyDescent="0.2">
      <c r="J1913" s="312"/>
    </row>
    <row r="1914" spans="10:10" x14ac:dyDescent="0.2">
      <c r="J1914" s="312"/>
    </row>
    <row r="1915" spans="10:10" x14ac:dyDescent="0.2">
      <c r="J1915" s="312"/>
    </row>
    <row r="1916" spans="10:10" x14ac:dyDescent="0.2">
      <c r="J1916" s="312"/>
    </row>
    <row r="1917" spans="10:10" x14ac:dyDescent="0.2">
      <c r="J1917" s="312"/>
    </row>
    <row r="1918" spans="10:10" x14ac:dyDescent="0.2">
      <c r="J1918" s="312"/>
    </row>
    <row r="1919" spans="10:10" x14ac:dyDescent="0.2">
      <c r="J1919" s="312"/>
    </row>
    <row r="1920" spans="10:10" x14ac:dyDescent="0.2">
      <c r="J1920" s="312"/>
    </row>
    <row r="1921" spans="10:10" x14ac:dyDescent="0.2">
      <c r="J1921" s="312"/>
    </row>
    <row r="1922" spans="10:10" x14ac:dyDescent="0.2">
      <c r="J1922" s="312"/>
    </row>
    <row r="1923" spans="10:10" x14ac:dyDescent="0.2">
      <c r="J1923" s="312"/>
    </row>
    <row r="1924" spans="10:10" x14ac:dyDescent="0.2">
      <c r="J1924" s="312"/>
    </row>
    <row r="1925" spans="10:10" x14ac:dyDescent="0.2">
      <c r="J1925" s="312"/>
    </row>
    <row r="1926" spans="10:10" x14ac:dyDescent="0.2">
      <c r="J1926" s="312"/>
    </row>
    <row r="1927" spans="10:10" x14ac:dyDescent="0.2">
      <c r="J1927" s="312"/>
    </row>
    <row r="1928" spans="10:10" x14ac:dyDescent="0.2">
      <c r="J1928" s="312"/>
    </row>
    <row r="1929" spans="10:10" x14ac:dyDescent="0.2">
      <c r="J1929" s="312"/>
    </row>
    <row r="1930" spans="10:10" x14ac:dyDescent="0.2">
      <c r="J1930" s="312"/>
    </row>
    <row r="1931" spans="10:10" x14ac:dyDescent="0.2">
      <c r="J1931" s="312"/>
    </row>
    <row r="1932" spans="10:10" x14ac:dyDescent="0.2">
      <c r="J1932" s="312"/>
    </row>
    <row r="1933" spans="10:10" x14ac:dyDescent="0.2">
      <c r="J1933" s="312"/>
    </row>
    <row r="1934" spans="10:10" x14ac:dyDescent="0.2">
      <c r="J1934" s="312"/>
    </row>
    <row r="1935" spans="10:10" x14ac:dyDescent="0.2">
      <c r="J1935" s="312"/>
    </row>
    <row r="1936" spans="10:10" x14ac:dyDescent="0.2">
      <c r="J1936" s="312"/>
    </row>
    <row r="1937" spans="10:10" x14ac:dyDescent="0.2">
      <c r="J1937" s="312"/>
    </row>
    <row r="1938" spans="10:10" x14ac:dyDescent="0.2">
      <c r="J1938" s="312"/>
    </row>
    <row r="1939" spans="10:10" x14ac:dyDescent="0.2">
      <c r="J1939" s="312"/>
    </row>
    <row r="1940" spans="10:10" x14ac:dyDescent="0.2">
      <c r="J1940" s="312"/>
    </row>
    <row r="1941" spans="10:10" x14ac:dyDescent="0.2">
      <c r="J1941" s="312"/>
    </row>
    <row r="1942" spans="10:10" x14ac:dyDescent="0.2">
      <c r="J1942" s="312"/>
    </row>
    <row r="1943" spans="10:10" x14ac:dyDescent="0.2">
      <c r="J1943" s="312"/>
    </row>
    <row r="1944" spans="10:10" x14ac:dyDescent="0.2">
      <c r="J1944" s="312"/>
    </row>
    <row r="1945" spans="10:10" x14ac:dyDescent="0.2">
      <c r="J1945" s="312"/>
    </row>
    <row r="1946" spans="10:10" x14ac:dyDescent="0.2">
      <c r="J1946" s="312"/>
    </row>
    <row r="1947" spans="10:10" x14ac:dyDescent="0.2">
      <c r="J1947" s="312"/>
    </row>
    <row r="1948" spans="10:10" x14ac:dyDescent="0.2">
      <c r="J1948" s="312"/>
    </row>
    <row r="1949" spans="10:10" x14ac:dyDescent="0.2">
      <c r="J1949" s="312"/>
    </row>
    <row r="1950" spans="10:10" x14ac:dyDescent="0.2">
      <c r="J1950" s="312"/>
    </row>
    <row r="1951" spans="10:10" x14ac:dyDescent="0.2">
      <c r="J1951" s="312"/>
    </row>
    <row r="1952" spans="10:10" x14ac:dyDescent="0.2">
      <c r="J1952" s="312"/>
    </row>
    <row r="1953" spans="10:10" x14ac:dyDescent="0.2">
      <c r="J1953" s="312"/>
    </row>
    <row r="1954" spans="10:10" x14ac:dyDescent="0.2">
      <c r="J1954" s="312"/>
    </row>
    <row r="1955" spans="10:10" x14ac:dyDescent="0.2">
      <c r="J1955" s="312"/>
    </row>
    <row r="1956" spans="10:10" x14ac:dyDescent="0.2">
      <c r="J1956" s="312"/>
    </row>
    <row r="1957" spans="10:10" x14ac:dyDescent="0.2">
      <c r="J1957" s="312"/>
    </row>
    <row r="1958" spans="10:10" x14ac:dyDescent="0.2">
      <c r="J1958" s="312"/>
    </row>
    <row r="1959" spans="10:10" x14ac:dyDescent="0.2">
      <c r="J1959" s="312"/>
    </row>
    <row r="1960" spans="10:10" x14ac:dyDescent="0.2">
      <c r="J1960" s="312"/>
    </row>
    <row r="1961" spans="10:10" x14ac:dyDescent="0.2">
      <c r="J1961" s="312"/>
    </row>
    <row r="1962" spans="10:10" x14ac:dyDescent="0.2">
      <c r="J1962" s="312"/>
    </row>
    <row r="1963" spans="10:10" x14ac:dyDescent="0.2">
      <c r="J1963" s="312"/>
    </row>
    <row r="1964" spans="10:10" x14ac:dyDescent="0.2">
      <c r="J1964" s="312"/>
    </row>
    <row r="1965" spans="10:10" x14ac:dyDescent="0.2">
      <c r="J1965" s="312"/>
    </row>
    <row r="1966" spans="10:10" x14ac:dyDescent="0.2">
      <c r="J1966" s="312"/>
    </row>
    <row r="1967" spans="10:10" x14ac:dyDescent="0.2">
      <c r="J1967" s="312"/>
    </row>
    <row r="1968" spans="10:10" x14ac:dyDescent="0.2">
      <c r="J1968" s="312"/>
    </row>
    <row r="1969" spans="10:10" x14ac:dyDescent="0.2">
      <c r="J1969" s="312"/>
    </row>
    <row r="1970" spans="10:10" x14ac:dyDescent="0.2">
      <c r="J1970" s="312"/>
    </row>
    <row r="1971" spans="10:10" x14ac:dyDescent="0.2">
      <c r="J1971" s="312"/>
    </row>
    <row r="1972" spans="10:10" x14ac:dyDescent="0.2">
      <c r="J1972" s="312"/>
    </row>
    <row r="1973" spans="10:10" x14ac:dyDescent="0.2">
      <c r="J1973" s="312"/>
    </row>
    <row r="1974" spans="10:10" x14ac:dyDescent="0.2">
      <c r="J1974" s="312"/>
    </row>
    <row r="1975" spans="10:10" x14ac:dyDescent="0.2">
      <c r="J1975" s="312"/>
    </row>
    <row r="1976" spans="10:10" x14ac:dyDescent="0.2">
      <c r="J1976" s="312"/>
    </row>
    <row r="1977" spans="10:10" x14ac:dyDescent="0.2">
      <c r="J1977" s="312"/>
    </row>
    <row r="1978" spans="10:10" x14ac:dyDescent="0.2">
      <c r="J1978" s="312"/>
    </row>
    <row r="1979" spans="10:10" x14ac:dyDescent="0.2">
      <c r="J1979" s="312"/>
    </row>
    <row r="1980" spans="10:10" x14ac:dyDescent="0.2">
      <c r="J1980" s="312"/>
    </row>
    <row r="1981" spans="10:10" x14ac:dyDescent="0.2">
      <c r="J1981" s="312"/>
    </row>
    <row r="1982" spans="10:10" x14ac:dyDescent="0.2">
      <c r="J1982" s="312"/>
    </row>
    <row r="1983" spans="10:10" x14ac:dyDescent="0.2">
      <c r="J1983" s="312"/>
    </row>
    <row r="1984" spans="10:10" x14ac:dyDescent="0.2">
      <c r="J1984" s="312"/>
    </row>
    <row r="1985" spans="10:10" x14ac:dyDescent="0.2">
      <c r="J1985" s="312"/>
    </row>
    <row r="1986" spans="10:10" x14ac:dyDescent="0.2">
      <c r="J1986" s="312"/>
    </row>
    <row r="1987" spans="10:10" x14ac:dyDescent="0.2">
      <c r="J1987" s="312"/>
    </row>
    <row r="1988" spans="10:10" x14ac:dyDescent="0.2">
      <c r="J1988" s="312"/>
    </row>
    <row r="1989" spans="10:10" x14ac:dyDescent="0.2">
      <c r="J1989" s="312"/>
    </row>
    <row r="1990" spans="10:10" x14ac:dyDescent="0.2">
      <c r="J1990" s="312"/>
    </row>
    <row r="1991" spans="10:10" x14ac:dyDescent="0.2">
      <c r="J1991" s="312"/>
    </row>
    <row r="1992" spans="10:10" x14ac:dyDescent="0.2">
      <c r="J1992" s="312"/>
    </row>
    <row r="1993" spans="10:10" x14ac:dyDescent="0.2">
      <c r="J1993" s="312"/>
    </row>
    <row r="1994" spans="10:10" x14ac:dyDescent="0.2">
      <c r="J1994" s="312"/>
    </row>
    <row r="1995" spans="10:10" x14ac:dyDescent="0.2">
      <c r="J1995" s="312"/>
    </row>
    <row r="1996" spans="10:10" x14ac:dyDescent="0.2">
      <c r="J1996" s="312"/>
    </row>
    <row r="1997" spans="10:10" x14ac:dyDescent="0.2">
      <c r="J1997" s="312"/>
    </row>
    <row r="1998" spans="10:10" x14ac:dyDescent="0.2">
      <c r="J1998" s="312"/>
    </row>
    <row r="1999" spans="10:10" x14ac:dyDescent="0.2">
      <c r="J1999" s="312"/>
    </row>
    <row r="2000" spans="10:10" x14ac:dyDescent="0.2">
      <c r="J2000" s="312"/>
    </row>
    <row r="2001" spans="10:10" x14ac:dyDescent="0.2">
      <c r="J2001" s="312"/>
    </row>
    <row r="2002" spans="10:10" x14ac:dyDescent="0.2">
      <c r="J2002" s="312"/>
    </row>
    <row r="2003" spans="10:10" x14ac:dyDescent="0.2">
      <c r="J2003" s="312"/>
    </row>
    <row r="2004" spans="10:10" x14ac:dyDescent="0.2">
      <c r="J2004" s="312"/>
    </row>
    <row r="2005" spans="10:10" x14ac:dyDescent="0.2">
      <c r="J2005" s="312"/>
    </row>
    <row r="2006" spans="10:10" x14ac:dyDescent="0.2">
      <c r="J2006" s="312"/>
    </row>
    <row r="2007" spans="10:10" x14ac:dyDescent="0.2">
      <c r="J2007" s="312"/>
    </row>
    <row r="2008" spans="10:10" x14ac:dyDescent="0.2">
      <c r="J2008" s="312"/>
    </row>
    <row r="2009" spans="10:10" x14ac:dyDescent="0.2">
      <c r="J2009" s="312"/>
    </row>
    <row r="2010" spans="10:10" x14ac:dyDescent="0.2">
      <c r="J2010" s="312"/>
    </row>
    <row r="2011" spans="10:10" x14ac:dyDescent="0.2">
      <c r="J2011" s="312"/>
    </row>
    <row r="2012" spans="10:10" x14ac:dyDescent="0.2">
      <c r="J2012" s="312"/>
    </row>
    <row r="2013" spans="10:10" x14ac:dyDescent="0.2">
      <c r="J2013" s="312"/>
    </row>
    <row r="2014" spans="10:10" x14ac:dyDescent="0.2">
      <c r="J2014" s="312"/>
    </row>
    <row r="2015" spans="10:10" x14ac:dyDescent="0.2">
      <c r="J2015" s="312"/>
    </row>
    <row r="2016" spans="10:10" x14ac:dyDescent="0.2">
      <c r="J2016" s="312"/>
    </row>
    <row r="2017" spans="10:10" x14ac:dyDescent="0.2">
      <c r="J2017" s="312"/>
    </row>
    <row r="2018" spans="10:10" x14ac:dyDescent="0.2">
      <c r="J2018" s="312"/>
    </row>
    <row r="2019" spans="10:10" x14ac:dyDescent="0.2">
      <c r="J2019" s="312"/>
    </row>
    <row r="2020" spans="10:10" x14ac:dyDescent="0.2">
      <c r="J2020" s="312"/>
    </row>
    <row r="2021" spans="10:10" x14ac:dyDescent="0.2">
      <c r="J2021" s="312"/>
    </row>
    <row r="2022" spans="10:10" x14ac:dyDescent="0.2">
      <c r="J2022" s="312"/>
    </row>
    <row r="2023" spans="10:10" x14ac:dyDescent="0.2">
      <c r="J2023" s="312"/>
    </row>
    <row r="2024" spans="10:10" x14ac:dyDescent="0.2">
      <c r="J2024" s="312"/>
    </row>
    <row r="2025" spans="10:10" x14ac:dyDescent="0.2">
      <c r="J2025" s="312"/>
    </row>
    <row r="2026" spans="10:10" x14ac:dyDescent="0.2">
      <c r="J2026" s="312"/>
    </row>
    <row r="2027" spans="10:10" x14ac:dyDescent="0.2">
      <c r="J2027" s="312"/>
    </row>
    <row r="2028" spans="10:10" x14ac:dyDescent="0.2">
      <c r="J2028" s="312"/>
    </row>
    <row r="2029" spans="10:10" x14ac:dyDescent="0.2">
      <c r="J2029" s="312"/>
    </row>
    <row r="2030" spans="10:10" x14ac:dyDescent="0.2">
      <c r="J2030" s="312"/>
    </row>
    <row r="2031" spans="10:10" x14ac:dyDescent="0.2">
      <c r="J2031" s="312"/>
    </row>
    <row r="2032" spans="10:10" x14ac:dyDescent="0.2">
      <c r="J2032" s="312"/>
    </row>
    <row r="2033" spans="10:10" x14ac:dyDescent="0.2">
      <c r="J2033" s="312"/>
    </row>
    <row r="2034" spans="10:10" x14ac:dyDescent="0.2">
      <c r="J2034" s="312"/>
    </row>
    <row r="2035" spans="10:10" x14ac:dyDescent="0.2">
      <c r="J2035" s="312"/>
    </row>
    <row r="2036" spans="10:10" x14ac:dyDescent="0.2">
      <c r="J2036" s="312"/>
    </row>
    <row r="2037" spans="10:10" x14ac:dyDescent="0.2">
      <c r="J2037" s="312"/>
    </row>
    <row r="2038" spans="10:10" x14ac:dyDescent="0.2">
      <c r="J2038" s="312"/>
    </row>
    <row r="2039" spans="10:10" x14ac:dyDescent="0.2">
      <c r="J2039" s="312"/>
    </row>
    <row r="2040" spans="10:10" x14ac:dyDescent="0.2">
      <c r="J2040" s="312"/>
    </row>
    <row r="2041" spans="10:10" x14ac:dyDescent="0.2">
      <c r="J2041" s="312"/>
    </row>
    <row r="2042" spans="10:10" x14ac:dyDescent="0.2">
      <c r="J2042" s="312"/>
    </row>
    <row r="2043" spans="10:10" x14ac:dyDescent="0.2">
      <c r="J2043" s="312"/>
    </row>
    <row r="2044" spans="10:10" x14ac:dyDescent="0.2">
      <c r="J2044" s="312"/>
    </row>
    <row r="2045" spans="10:10" x14ac:dyDescent="0.2">
      <c r="J2045" s="312"/>
    </row>
    <row r="2046" spans="10:10" x14ac:dyDescent="0.2">
      <c r="J2046" s="312"/>
    </row>
    <row r="2047" spans="10:10" x14ac:dyDescent="0.2">
      <c r="J2047" s="312"/>
    </row>
    <row r="2048" spans="10:10" x14ac:dyDescent="0.2">
      <c r="J2048" s="312"/>
    </row>
    <row r="2049" spans="10:10" x14ac:dyDescent="0.2">
      <c r="J2049" s="312"/>
    </row>
    <row r="2050" spans="10:10" x14ac:dyDescent="0.2">
      <c r="J2050" s="312"/>
    </row>
    <row r="2051" spans="10:10" x14ac:dyDescent="0.2">
      <c r="J2051" s="312"/>
    </row>
    <row r="2052" spans="10:10" x14ac:dyDescent="0.2">
      <c r="J2052" s="312"/>
    </row>
    <row r="2053" spans="10:10" x14ac:dyDescent="0.2">
      <c r="J2053" s="312"/>
    </row>
    <row r="2054" spans="10:10" x14ac:dyDescent="0.2">
      <c r="J2054" s="312"/>
    </row>
    <row r="2055" spans="10:10" x14ac:dyDescent="0.2">
      <c r="J2055" s="312"/>
    </row>
    <row r="2056" spans="10:10" x14ac:dyDescent="0.2">
      <c r="J2056" s="312"/>
    </row>
    <row r="2057" spans="10:10" x14ac:dyDescent="0.2">
      <c r="J2057" s="312"/>
    </row>
    <row r="2058" spans="10:10" x14ac:dyDescent="0.2">
      <c r="J2058" s="312"/>
    </row>
    <row r="2059" spans="10:10" x14ac:dyDescent="0.2">
      <c r="J2059" s="312"/>
    </row>
    <row r="2060" spans="10:10" x14ac:dyDescent="0.2">
      <c r="J2060" s="312"/>
    </row>
    <row r="2061" spans="10:10" x14ac:dyDescent="0.2">
      <c r="J2061" s="312"/>
    </row>
    <row r="2062" spans="10:10" x14ac:dyDescent="0.2">
      <c r="J2062" s="312"/>
    </row>
    <row r="2063" spans="10:10" x14ac:dyDescent="0.2">
      <c r="J2063" s="312"/>
    </row>
    <row r="2064" spans="10:10" x14ac:dyDescent="0.2">
      <c r="J2064" s="312"/>
    </row>
    <row r="2065" spans="10:10" x14ac:dyDescent="0.2">
      <c r="J2065" s="312"/>
    </row>
    <row r="2066" spans="10:10" x14ac:dyDescent="0.2">
      <c r="J2066" s="312"/>
    </row>
    <row r="2067" spans="10:10" x14ac:dyDescent="0.2">
      <c r="J2067" s="312"/>
    </row>
    <row r="2068" spans="10:10" x14ac:dyDescent="0.2">
      <c r="J2068" s="312"/>
    </row>
    <row r="2069" spans="10:10" x14ac:dyDescent="0.2">
      <c r="J2069" s="312"/>
    </row>
    <row r="2070" spans="10:10" x14ac:dyDescent="0.2">
      <c r="J2070" s="312"/>
    </row>
    <row r="2071" spans="10:10" x14ac:dyDescent="0.2">
      <c r="J2071" s="312"/>
    </row>
    <row r="2072" spans="10:10" x14ac:dyDescent="0.2">
      <c r="J2072" s="312"/>
    </row>
    <row r="2073" spans="10:10" x14ac:dyDescent="0.2">
      <c r="J2073" s="312"/>
    </row>
    <row r="2074" spans="10:10" x14ac:dyDescent="0.2">
      <c r="J2074" s="312"/>
    </row>
    <row r="2075" spans="10:10" x14ac:dyDescent="0.2">
      <c r="J2075" s="312"/>
    </row>
    <row r="2076" spans="10:10" x14ac:dyDescent="0.2">
      <c r="J2076" s="312"/>
    </row>
    <row r="2077" spans="10:10" x14ac:dyDescent="0.2">
      <c r="J2077" s="312"/>
    </row>
    <row r="2078" spans="10:10" x14ac:dyDescent="0.2">
      <c r="J2078" s="312"/>
    </row>
    <row r="2079" spans="10:10" x14ac:dyDescent="0.2">
      <c r="J2079" s="312"/>
    </row>
    <row r="2080" spans="10:10" x14ac:dyDescent="0.2">
      <c r="J2080" s="312"/>
    </row>
    <row r="2081" spans="10:10" x14ac:dyDescent="0.2">
      <c r="J2081" s="312"/>
    </row>
    <row r="2082" spans="10:10" x14ac:dyDescent="0.2">
      <c r="J2082" s="312"/>
    </row>
    <row r="2083" spans="10:10" x14ac:dyDescent="0.2">
      <c r="J2083" s="312"/>
    </row>
    <row r="2084" spans="10:10" x14ac:dyDescent="0.2">
      <c r="J2084" s="312"/>
    </row>
    <row r="2085" spans="10:10" x14ac:dyDescent="0.2">
      <c r="J2085" s="312"/>
    </row>
    <row r="2086" spans="10:10" x14ac:dyDescent="0.2">
      <c r="J2086" s="312"/>
    </row>
    <row r="2087" spans="10:10" x14ac:dyDescent="0.2">
      <c r="J2087" s="312"/>
    </row>
    <row r="2088" spans="10:10" x14ac:dyDescent="0.2">
      <c r="J2088" s="312"/>
    </row>
    <row r="2089" spans="10:10" x14ac:dyDescent="0.2">
      <c r="J2089" s="312"/>
    </row>
    <row r="2090" spans="10:10" x14ac:dyDescent="0.2">
      <c r="J2090" s="312"/>
    </row>
    <row r="2091" spans="10:10" x14ac:dyDescent="0.2">
      <c r="J2091" s="312"/>
    </row>
    <row r="2092" spans="10:10" x14ac:dyDescent="0.2">
      <c r="J2092" s="312"/>
    </row>
    <row r="2093" spans="10:10" x14ac:dyDescent="0.2">
      <c r="J2093" s="312"/>
    </row>
    <row r="2094" spans="10:10" x14ac:dyDescent="0.2">
      <c r="J2094" s="312"/>
    </row>
    <row r="2095" spans="10:10" x14ac:dyDescent="0.2">
      <c r="J2095" s="312"/>
    </row>
    <row r="2096" spans="10:10" x14ac:dyDescent="0.2">
      <c r="J2096" s="312"/>
    </row>
    <row r="2097" spans="10:10" x14ac:dyDescent="0.2">
      <c r="J2097" s="312"/>
    </row>
    <row r="2098" spans="10:10" x14ac:dyDescent="0.2">
      <c r="J2098" s="312"/>
    </row>
    <row r="2099" spans="10:10" x14ac:dyDescent="0.2">
      <c r="J2099" s="312"/>
    </row>
    <row r="2100" spans="10:10" x14ac:dyDescent="0.2">
      <c r="J2100" s="312"/>
    </row>
    <row r="2101" spans="10:10" x14ac:dyDescent="0.2">
      <c r="J2101" s="312"/>
    </row>
    <row r="2102" spans="10:10" x14ac:dyDescent="0.2">
      <c r="J2102" s="312"/>
    </row>
    <row r="2103" spans="10:10" x14ac:dyDescent="0.2">
      <c r="J2103" s="312"/>
    </row>
    <row r="2104" spans="10:10" x14ac:dyDescent="0.2">
      <c r="J2104" s="312"/>
    </row>
    <row r="2105" spans="10:10" x14ac:dyDescent="0.2">
      <c r="J2105" s="312"/>
    </row>
    <row r="2106" spans="10:10" x14ac:dyDescent="0.2">
      <c r="J2106" s="312"/>
    </row>
    <row r="2107" spans="10:10" x14ac:dyDescent="0.2">
      <c r="J2107" s="312"/>
    </row>
    <row r="2108" spans="10:10" x14ac:dyDescent="0.2">
      <c r="J2108" s="312"/>
    </row>
    <row r="2109" spans="10:10" x14ac:dyDescent="0.2">
      <c r="J2109" s="312"/>
    </row>
    <row r="2110" spans="10:10" x14ac:dyDescent="0.2">
      <c r="J2110" s="312"/>
    </row>
    <row r="2111" spans="10:10" x14ac:dyDescent="0.2">
      <c r="J2111" s="312"/>
    </row>
    <row r="2112" spans="10:10" x14ac:dyDescent="0.2">
      <c r="J2112" s="312"/>
    </row>
    <row r="2113" spans="10:10" x14ac:dyDescent="0.2">
      <c r="J2113" s="312"/>
    </row>
    <row r="2114" spans="10:10" x14ac:dyDescent="0.2">
      <c r="J2114" s="312"/>
    </row>
    <row r="2115" spans="10:10" x14ac:dyDescent="0.2">
      <c r="J2115" s="312"/>
    </row>
    <row r="2116" spans="10:10" x14ac:dyDescent="0.2">
      <c r="J2116" s="312"/>
    </row>
    <row r="2117" spans="10:10" x14ac:dyDescent="0.2">
      <c r="J2117" s="312"/>
    </row>
    <row r="2118" spans="10:10" x14ac:dyDescent="0.2">
      <c r="J2118" s="312"/>
    </row>
    <row r="2119" spans="10:10" x14ac:dyDescent="0.2">
      <c r="J2119" s="312"/>
    </row>
    <row r="2120" spans="10:10" x14ac:dyDescent="0.2">
      <c r="J2120" s="312"/>
    </row>
    <row r="2121" spans="10:10" x14ac:dyDescent="0.2">
      <c r="J2121" s="312"/>
    </row>
    <row r="2122" spans="10:10" x14ac:dyDescent="0.2">
      <c r="J2122" s="312"/>
    </row>
    <row r="2123" spans="10:10" x14ac:dyDescent="0.2">
      <c r="J2123" s="312"/>
    </row>
    <row r="2124" spans="10:10" x14ac:dyDescent="0.2">
      <c r="J2124" s="312"/>
    </row>
    <row r="2125" spans="10:10" x14ac:dyDescent="0.2">
      <c r="J2125" s="312"/>
    </row>
    <row r="2126" spans="10:10" x14ac:dyDescent="0.2">
      <c r="J2126" s="312"/>
    </row>
    <row r="2127" spans="10:10" x14ac:dyDescent="0.2">
      <c r="J2127" s="312"/>
    </row>
    <row r="2128" spans="10:10" x14ac:dyDescent="0.2">
      <c r="J2128" s="312"/>
    </row>
    <row r="2129" spans="10:10" x14ac:dyDescent="0.2">
      <c r="J2129" s="312"/>
    </row>
    <row r="2130" spans="10:10" x14ac:dyDescent="0.2">
      <c r="J2130" s="312"/>
    </row>
    <row r="2131" spans="10:10" x14ac:dyDescent="0.2">
      <c r="J2131" s="312"/>
    </row>
    <row r="2132" spans="10:10" x14ac:dyDescent="0.2">
      <c r="J2132" s="312"/>
    </row>
    <row r="2133" spans="10:10" x14ac:dyDescent="0.2">
      <c r="J2133" s="312"/>
    </row>
    <row r="2134" spans="10:10" x14ac:dyDescent="0.2">
      <c r="J2134" s="312"/>
    </row>
    <row r="2135" spans="10:10" x14ac:dyDescent="0.2">
      <c r="J2135" s="312"/>
    </row>
    <row r="2136" spans="10:10" x14ac:dyDescent="0.2">
      <c r="J2136" s="312"/>
    </row>
    <row r="2137" spans="10:10" x14ac:dyDescent="0.2">
      <c r="J2137" s="312"/>
    </row>
    <row r="2138" spans="10:10" x14ac:dyDescent="0.2">
      <c r="J2138" s="312"/>
    </row>
    <row r="2139" spans="10:10" x14ac:dyDescent="0.2">
      <c r="J2139" s="312"/>
    </row>
    <row r="2140" spans="10:10" x14ac:dyDescent="0.2">
      <c r="J2140" s="312"/>
    </row>
    <row r="2141" spans="10:10" x14ac:dyDescent="0.2">
      <c r="J2141" s="312"/>
    </row>
    <row r="2142" spans="10:10" x14ac:dyDescent="0.2">
      <c r="J2142" s="312"/>
    </row>
    <row r="2143" spans="10:10" x14ac:dyDescent="0.2">
      <c r="J2143" s="312"/>
    </row>
    <row r="2144" spans="10:10" x14ac:dyDescent="0.2">
      <c r="J2144" s="312"/>
    </row>
    <row r="2145" spans="10:10" x14ac:dyDescent="0.2">
      <c r="J2145" s="312"/>
    </row>
    <row r="2146" spans="10:10" x14ac:dyDescent="0.2">
      <c r="J2146" s="312"/>
    </row>
    <row r="2147" spans="10:10" x14ac:dyDescent="0.2">
      <c r="J2147" s="312"/>
    </row>
    <row r="2148" spans="10:10" x14ac:dyDescent="0.2">
      <c r="J2148" s="312"/>
    </row>
    <row r="2149" spans="10:10" x14ac:dyDescent="0.2">
      <c r="J2149" s="312"/>
    </row>
    <row r="2150" spans="10:10" x14ac:dyDescent="0.2">
      <c r="J2150" s="312"/>
    </row>
    <row r="2151" spans="10:10" x14ac:dyDescent="0.2">
      <c r="J2151" s="312"/>
    </row>
    <row r="2152" spans="10:10" x14ac:dyDescent="0.2">
      <c r="J2152" s="312"/>
    </row>
    <row r="2153" spans="10:10" x14ac:dyDescent="0.2">
      <c r="J2153" s="312"/>
    </row>
    <row r="2154" spans="10:10" x14ac:dyDescent="0.2">
      <c r="J2154" s="312"/>
    </row>
    <row r="2155" spans="10:10" x14ac:dyDescent="0.2">
      <c r="J2155" s="312"/>
    </row>
    <row r="2156" spans="10:10" x14ac:dyDescent="0.2">
      <c r="J2156" s="312"/>
    </row>
    <row r="2157" spans="10:10" x14ac:dyDescent="0.2">
      <c r="J2157" s="312"/>
    </row>
    <row r="2158" spans="10:10" x14ac:dyDescent="0.2">
      <c r="J2158" s="312"/>
    </row>
    <row r="2159" spans="10:10" x14ac:dyDescent="0.2">
      <c r="J2159" s="312"/>
    </row>
    <row r="2160" spans="10:10" x14ac:dyDescent="0.2">
      <c r="J2160" s="312"/>
    </row>
    <row r="2161" spans="10:10" x14ac:dyDescent="0.2">
      <c r="J2161" s="312"/>
    </row>
    <row r="2162" spans="10:10" x14ac:dyDescent="0.2">
      <c r="J2162" s="312"/>
    </row>
    <row r="2163" spans="10:10" x14ac:dyDescent="0.2">
      <c r="J2163" s="312"/>
    </row>
    <row r="2164" spans="10:10" x14ac:dyDescent="0.2">
      <c r="J2164" s="312"/>
    </row>
    <row r="2165" spans="10:10" x14ac:dyDescent="0.2">
      <c r="J2165" s="312"/>
    </row>
    <row r="2166" spans="10:10" x14ac:dyDescent="0.2">
      <c r="J2166" s="312"/>
    </row>
    <row r="2167" spans="10:10" x14ac:dyDescent="0.2">
      <c r="J2167" s="312"/>
    </row>
    <row r="2168" spans="10:10" x14ac:dyDescent="0.2">
      <c r="J2168" s="312"/>
    </row>
    <row r="2169" spans="10:10" x14ac:dyDescent="0.2">
      <c r="J2169" s="312"/>
    </row>
    <row r="2170" spans="10:10" x14ac:dyDescent="0.2">
      <c r="J2170" s="312"/>
    </row>
    <row r="2171" spans="10:10" x14ac:dyDescent="0.2">
      <c r="J2171" s="312"/>
    </row>
    <row r="2172" spans="10:10" x14ac:dyDescent="0.2">
      <c r="J2172" s="312"/>
    </row>
    <row r="2173" spans="10:10" x14ac:dyDescent="0.2">
      <c r="J2173" s="312"/>
    </row>
    <row r="2174" spans="10:10" x14ac:dyDescent="0.2">
      <c r="J2174" s="312"/>
    </row>
    <row r="2175" spans="10:10" x14ac:dyDescent="0.2">
      <c r="J2175" s="312"/>
    </row>
    <row r="2176" spans="10:10" x14ac:dyDescent="0.2">
      <c r="J2176" s="312"/>
    </row>
    <row r="2177" spans="10:10" x14ac:dyDescent="0.2">
      <c r="J2177" s="312"/>
    </row>
    <row r="2178" spans="10:10" x14ac:dyDescent="0.2">
      <c r="J2178" s="312"/>
    </row>
    <row r="2179" spans="10:10" x14ac:dyDescent="0.2">
      <c r="J2179" s="312"/>
    </row>
    <row r="2180" spans="10:10" x14ac:dyDescent="0.2">
      <c r="J2180" s="312"/>
    </row>
    <row r="2181" spans="10:10" x14ac:dyDescent="0.2">
      <c r="J2181" s="312"/>
    </row>
    <row r="2182" spans="10:10" x14ac:dyDescent="0.2">
      <c r="J2182" s="312"/>
    </row>
    <row r="2183" spans="10:10" x14ac:dyDescent="0.2">
      <c r="J2183" s="312"/>
    </row>
    <row r="2184" spans="10:10" x14ac:dyDescent="0.2">
      <c r="J2184" s="312"/>
    </row>
    <row r="2185" spans="10:10" x14ac:dyDescent="0.2">
      <c r="J2185" s="312"/>
    </row>
    <row r="2186" spans="10:10" x14ac:dyDescent="0.2">
      <c r="J2186" s="312"/>
    </row>
    <row r="2187" spans="10:10" x14ac:dyDescent="0.2">
      <c r="J2187" s="312"/>
    </row>
    <row r="2188" spans="10:10" x14ac:dyDescent="0.2">
      <c r="J2188" s="312"/>
    </row>
    <row r="2189" spans="10:10" x14ac:dyDescent="0.2">
      <c r="J2189" s="312"/>
    </row>
    <row r="2190" spans="10:10" x14ac:dyDescent="0.2">
      <c r="J2190" s="312"/>
    </row>
    <row r="2191" spans="10:10" x14ac:dyDescent="0.2">
      <c r="J2191" s="312"/>
    </row>
    <row r="2192" spans="10:10" x14ac:dyDescent="0.2">
      <c r="J2192" s="312"/>
    </row>
    <row r="2193" spans="10:10" x14ac:dyDescent="0.2">
      <c r="J2193" s="312"/>
    </row>
    <row r="2194" spans="10:10" x14ac:dyDescent="0.2">
      <c r="J2194" s="312"/>
    </row>
    <row r="2195" spans="10:10" x14ac:dyDescent="0.2">
      <c r="J2195" s="312"/>
    </row>
    <row r="2196" spans="10:10" x14ac:dyDescent="0.2">
      <c r="J2196" s="312"/>
    </row>
    <row r="2197" spans="10:10" x14ac:dyDescent="0.2">
      <c r="J2197" s="312"/>
    </row>
    <row r="2198" spans="10:10" x14ac:dyDescent="0.2">
      <c r="J2198" s="312"/>
    </row>
    <row r="2199" spans="10:10" x14ac:dyDescent="0.2">
      <c r="J2199" s="312"/>
    </row>
    <row r="2200" spans="10:10" x14ac:dyDescent="0.2">
      <c r="J2200" s="312"/>
    </row>
    <row r="2201" spans="10:10" x14ac:dyDescent="0.2">
      <c r="J2201" s="312"/>
    </row>
    <row r="2202" spans="10:10" x14ac:dyDescent="0.2">
      <c r="J2202" s="312"/>
    </row>
    <row r="2203" spans="10:10" x14ac:dyDescent="0.2">
      <c r="J2203" s="312"/>
    </row>
    <row r="2204" spans="10:10" x14ac:dyDescent="0.2">
      <c r="J2204" s="312"/>
    </row>
    <row r="2205" spans="10:10" x14ac:dyDescent="0.2">
      <c r="J2205" s="312"/>
    </row>
    <row r="2206" spans="10:10" x14ac:dyDescent="0.2">
      <c r="J2206" s="312"/>
    </row>
    <row r="2207" spans="10:10" x14ac:dyDescent="0.2">
      <c r="J2207" s="312"/>
    </row>
    <row r="2208" spans="10:10" x14ac:dyDescent="0.2">
      <c r="J2208" s="312"/>
    </row>
    <row r="2209" spans="10:10" x14ac:dyDescent="0.2">
      <c r="J2209" s="312"/>
    </row>
    <row r="2210" spans="10:10" x14ac:dyDescent="0.2">
      <c r="J2210" s="312"/>
    </row>
    <row r="2211" spans="10:10" x14ac:dyDescent="0.2">
      <c r="J2211" s="312"/>
    </row>
    <row r="2212" spans="10:10" x14ac:dyDescent="0.2">
      <c r="J2212" s="312"/>
    </row>
    <row r="2213" spans="10:10" x14ac:dyDescent="0.2">
      <c r="J2213" s="312"/>
    </row>
    <row r="2214" spans="10:10" x14ac:dyDescent="0.2">
      <c r="J2214" s="312"/>
    </row>
    <row r="2215" spans="10:10" x14ac:dyDescent="0.2">
      <c r="J2215" s="312"/>
    </row>
    <row r="2216" spans="10:10" x14ac:dyDescent="0.2">
      <c r="J2216" s="312"/>
    </row>
    <row r="2217" spans="10:10" x14ac:dyDescent="0.2">
      <c r="J2217" s="312"/>
    </row>
    <row r="2218" spans="10:10" x14ac:dyDescent="0.2">
      <c r="J2218" s="312"/>
    </row>
    <row r="2219" spans="10:10" x14ac:dyDescent="0.2">
      <c r="J2219" s="312"/>
    </row>
    <row r="2220" spans="10:10" x14ac:dyDescent="0.2">
      <c r="J2220" s="312"/>
    </row>
    <row r="2221" spans="10:10" x14ac:dyDescent="0.2">
      <c r="J2221" s="312"/>
    </row>
    <row r="2222" spans="10:10" x14ac:dyDescent="0.2">
      <c r="J2222" s="312"/>
    </row>
    <row r="2223" spans="10:10" x14ac:dyDescent="0.2">
      <c r="J2223" s="312"/>
    </row>
    <row r="2224" spans="10:10" x14ac:dyDescent="0.2">
      <c r="J2224" s="312"/>
    </row>
    <row r="2225" spans="10:10" x14ac:dyDescent="0.2">
      <c r="J2225" s="312"/>
    </row>
    <row r="2226" spans="10:10" x14ac:dyDescent="0.2">
      <c r="J2226" s="312"/>
    </row>
    <row r="2227" spans="10:10" x14ac:dyDescent="0.2">
      <c r="J2227" s="312"/>
    </row>
    <row r="2228" spans="10:10" x14ac:dyDescent="0.2">
      <c r="J2228" s="312"/>
    </row>
    <row r="2229" spans="10:10" x14ac:dyDescent="0.2">
      <c r="J2229" s="312"/>
    </row>
    <row r="2230" spans="10:10" x14ac:dyDescent="0.2">
      <c r="J2230" s="312"/>
    </row>
    <row r="2231" spans="10:10" x14ac:dyDescent="0.2">
      <c r="J2231" s="312"/>
    </row>
    <row r="2232" spans="10:10" x14ac:dyDescent="0.2">
      <c r="J2232" s="312"/>
    </row>
    <row r="2233" spans="10:10" x14ac:dyDescent="0.2">
      <c r="J2233" s="312"/>
    </row>
    <row r="2234" spans="10:10" x14ac:dyDescent="0.2">
      <c r="J2234" s="312"/>
    </row>
    <row r="2235" spans="10:10" x14ac:dyDescent="0.2">
      <c r="J2235" s="312"/>
    </row>
    <row r="2236" spans="10:10" x14ac:dyDescent="0.2">
      <c r="J2236" s="312"/>
    </row>
    <row r="2237" spans="10:10" x14ac:dyDescent="0.2">
      <c r="J2237" s="312"/>
    </row>
    <row r="2238" spans="10:10" x14ac:dyDescent="0.2">
      <c r="J2238" s="312"/>
    </row>
    <row r="2239" spans="10:10" x14ac:dyDescent="0.2">
      <c r="J2239" s="312"/>
    </row>
    <row r="2240" spans="10:10" x14ac:dyDescent="0.2">
      <c r="J2240" s="312"/>
    </row>
    <row r="2241" spans="10:10" x14ac:dyDescent="0.2">
      <c r="J2241" s="312"/>
    </row>
    <row r="2242" spans="10:10" x14ac:dyDescent="0.2">
      <c r="J2242" s="312"/>
    </row>
    <row r="2243" spans="10:10" x14ac:dyDescent="0.2">
      <c r="J2243" s="312"/>
    </row>
    <row r="2244" spans="10:10" x14ac:dyDescent="0.2">
      <c r="J2244" s="312"/>
    </row>
    <row r="2245" spans="10:10" x14ac:dyDescent="0.2">
      <c r="J2245" s="312"/>
    </row>
    <row r="2246" spans="10:10" x14ac:dyDescent="0.2">
      <c r="J2246" s="312"/>
    </row>
    <row r="2247" spans="10:10" x14ac:dyDescent="0.2">
      <c r="J2247" s="312"/>
    </row>
    <row r="2248" spans="10:10" x14ac:dyDescent="0.2">
      <c r="J2248" s="312"/>
    </row>
    <row r="2249" spans="10:10" x14ac:dyDescent="0.2">
      <c r="J2249" s="312"/>
    </row>
    <row r="2250" spans="10:10" x14ac:dyDescent="0.2">
      <c r="J2250" s="312"/>
    </row>
    <row r="2251" spans="10:10" x14ac:dyDescent="0.2">
      <c r="J2251" s="312"/>
    </row>
    <row r="2252" spans="10:10" x14ac:dyDescent="0.2">
      <c r="J2252" s="312"/>
    </row>
    <row r="2253" spans="10:10" x14ac:dyDescent="0.2">
      <c r="J2253" s="312"/>
    </row>
    <row r="2254" spans="10:10" x14ac:dyDescent="0.2">
      <c r="J2254" s="312"/>
    </row>
    <row r="2255" spans="10:10" x14ac:dyDescent="0.2">
      <c r="J2255" s="312"/>
    </row>
    <row r="2256" spans="10:10" x14ac:dyDescent="0.2">
      <c r="J2256" s="312"/>
    </row>
    <row r="2257" spans="10:10" x14ac:dyDescent="0.2">
      <c r="J2257" s="312"/>
    </row>
    <row r="2258" spans="10:10" x14ac:dyDescent="0.2">
      <c r="J2258" s="312"/>
    </row>
    <row r="2259" spans="10:10" x14ac:dyDescent="0.2">
      <c r="J2259" s="312"/>
    </row>
    <row r="2260" spans="10:10" x14ac:dyDescent="0.2">
      <c r="J2260" s="312"/>
    </row>
    <row r="2261" spans="10:10" x14ac:dyDescent="0.2">
      <c r="J2261" s="312"/>
    </row>
    <row r="2262" spans="10:10" x14ac:dyDescent="0.2">
      <c r="J2262" s="312"/>
    </row>
    <row r="2263" spans="10:10" x14ac:dyDescent="0.2">
      <c r="J2263" s="312"/>
    </row>
    <row r="2264" spans="10:10" x14ac:dyDescent="0.2">
      <c r="J2264" s="312"/>
    </row>
    <row r="2265" spans="10:10" x14ac:dyDescent="0.2">
      <c r="J2265" s="312"/>
    </row>
    <row r="2266" spans="10:10" x14ac:dyDescent="0.2">
      <c r="J2266" s="312"/>
    </row>
    <row r="2267" spans="10:10" x14ac:dyDescent="0.2">
      <c r="J2267" s="312"/>
    </row>
    <row r="2268" spans="10:10" x14ac:dyDescent="0.2">
      <c r="J2268" s="312"/>
    </row>
    <row r="2269" spans="10:10" x14ac:dyDescent="0.2">
      <c r="J2269" s="312"/>
    </row>
    <row r="2270" spans="10:10" x14ac:dyDescent="0.2">
      <c r="J2270" s="312"/>
    </row>
    <row r="2271" spans="10:10" x14ac:dyDescent="0.2">
      <c r="J2271" s="312"/>
    </row>
    <row r="2272" spans="10:10" x14ac:dyDescent="0.2">
      <c r="J2272" s="312"/>
    </row>
    <row r="2273" spans="10:10" x14ac:dyDescent="0.2">
      <c r="J2273" s="312"/>
    </row>
    <row r="2274" spans="10:10" x14ac:dyDescent="0.2">
      <c r="J2274" s="312"/>
    </row>
    <row r="2275" spans="10:10" x14ac:dyDescent="0.2">
      <c r="J2275" s="312"/>
    </row>
    <row r="2276" spans="10:10" x14ac:dyDescent="0.2">
      <c r="J2276" s="312"/>
    </row>
    <row r="2277" spans="10:10" x14ac:dyDescent="0.2">
      <c r="J2277" s="312"/>
    </row>
    <row r="2278" spans="10:10" x14ac:dyDescent="0.2">
      <c r="J2278" s="312"/>
    </row>
    <row r="2279" spans="10:10" x14ac:dyDescent="0.2">
      <c r="J2279" s="312"/>
    </row>
    <row r="2280" spans="10:10" x14ac:dyDescent="0.2">
      <c r="J2280" s="312"/>
    </row>
    <row r="2281" spans="10:10" x14ac:dyDescent="0.2">
      <c r="J2281" s="312"/>
    </row>
    <row r="2282" spans="10:10" x14ac:dyDescent="0.2">
      <c r="J2282" s="312"/>
    </row>
    <row r="2283" spans="10:10" x14ac:dyDescent="0.2">
      <c r="J2283" s="312"/>
    </row>
    <row r="2284" spans="10:10" x14ac:dyDescent="0.2">
      <c r="J2284" s="312"/>
    </row>
    <row r="2285" spans="10:10" x14ac:dyDescent="0.2">
      <c r="J2285" s="312"/>
    </row>
    <row r="2286" spans="10:10" x14ac:dyDescent="0.2">
      <c r="J2286" s="312"/>
    </row>
    <row r="2287" spans="10:10" x14ac:dyDescent="0.2">
      <c r="J2287" s="312"/>
    </row>
    <row r="2288" spans="10:10" x14ac:dyDescent="0.2">
      <c r="J2288" s="312"/>
    </row>
    <row r="2289" spans="10:10" x14ac:dyDescent="0.2">
      <c r="J2289" s="312"/>
    </row>
    <row r="2290" spans="10:10" x14ac:dyDescent="0.2">
      <c r="J2290" s="312"/>
    </row>
    <row r="2291" spans="10:10" x14ac:dyDescent="0.2">
      <c r="J2291" s="312"/>
    </row>
    <row r="2292" spans="10:10" x14ac:dyDescent="0.2">
      <c r="J2292" s="312"/>
    </row>
    <row r="2293" spans="10:10" x14ac:dyDescent="0.2">
      <c r="J2293" s="312"/>
    </row>
    <row r="2294" spans="10:10" x14ac:dyDescent="0.2">
      <c r="J2294" s="312"/>
    </row>
    <row r="2295" spans="10:10" x14ac:dyDescent="0.2">
      <c r="J2295" s="312"/>
    </row>
    <row r="2296" spans="10:10" x14ac:dyDescent="0.2">
      <c r="J2296" s="312"/>
    </row>
    <row r="2297" spans="10:10" x14ac:dyDescent="0.2">
      <c r="J2297" s="312"/>
    </row>
    <row r="2298" spans="10:10" x14ac:dyDescent="0.2">
      <c r="J2298" s="312"/>
    </row>
    <row r="2299" spans="10:10" x14ac:dyDescent="0.2">
      <c r="J2299" s="312"/>
    </row>
    <row r="2300" spans="10:10" x14ac:dyDescent="0.2">
      <c r="J2300" s="312"/>
    </row>
    <row r="2301" spans="10:10" x14ac:dyDescent="0.2">
      <c r="J2301" s="312"/>
    </row>
    <row r="2302" spans="10:10" x14ac:dyDescent="0.2">
      <c r="J2302" s="312"/>
    </row>
    <row r="2303" spans="10:10" x14ac:dyDescent="0.2">
      <c r="J2303" s="312"/>
    </row>
    <row r="2304" spans="10:10" x14ac:dyDescent="0.2">
      <c r="J2304" s="312"/>
    </row>
    <row r="2305" spans="10:10" x14ac:dyDescent="0.2">
      <c r="J2305" s="312"/>
    </row>
    <row r="2306" spans="10:10" x14ac:dyDescent="0.2">
      <c r="J2306" s="312"/>
    </row>
    <row r="2307" spans="10:10" x14ac:dyDescent="0.2">
      <c r="J2307" s="312"/>
    </row>
    <row r="2308" spans="10:10" x14ac:dyDescent="0.2">
      <c r="J2308" s="312"/>
    </row>
    <row r="2309" spans="10:10" x14ac:dyDescent="0.2">
      <c r="J2309" s="312"/>
    </row>
    <row r="2310" spans="10:10" x14ac:dyDescent="0.2">
      <c r="J2310" s="312"/>
    </row>
    <row r="2311" spans="10:10" x14ac:dyDescent="0.2">
      <c r="J2311" s="312"/>
    </row>
    <row r="2312" spans="10:10" x14ac:dyDescent="0.2">
      <c r="J2312" s="312"/>
    </row>
    <row r="2313" spans="10:10" x14ac:dyDescent="0.2">
      <c r="J2313" s="312"/>
    </row>
    <row r="2314" spans="10:10" x14ac:dyDescent="0.2">
      <c r="J2314" s="312"/>
    </row>
    <row r="2315" spans="10:10" x14ac:dyDescent="0.2">
      <c r="J2315" s="312"/>
    </row>
    <row r="2316" spans="10:10" x14ac:dyDescent="0.2">
      <c r="J2316" s="312"/>
    </row>
    <row r="2317" spans="10:10" x14ac:dyDescent="0.2">
      <c r="J2317" s="312"/>
    </row>
    <row r="2318" spans="10:10" x14ac:dyDescent="0.2">
      <c r="J2318" s="312"/>
    </row>
    <row r="2319" spans="10:10" x14ac:dyDescent="0.2">
      <c r="J2319" s="312"/>
    </row>
    <row r="2320" spans="10:10" x14ac:dyDescent="0.2">
      <c r="J2320" s="312"/>
    </row>
    <row r="2321" spans="10:10" x14ac:dyDescent="0.2">
      <c r="J2321" s="312"/>
    </row>
    <row r="2322" spans="10:10" x14ac:dyDescent="0.2">
      <c r="J2322" s="312"/>
    </row>
    <row r="2323" spans="10:10" x14ac:dyDescent="0.2">
      <c r="J2323" s="312"/>
    </row>
    <row r="2324" spans="10:10" x14ac:dyDescent="0.2">
      <c r="J2324" s="312"/>
    </row>
    <row r="2325" spans="10:10" x14ac:dyDescent="0.2">
      <c r="J2325" s="312"/>
    </row>
    <row r="2326" spans="10:10" x14ac:dyDescent="0.2">
      <c r="J2326" s="312"/>
    </row>
    <row r="2327" spans="10:10" x14ac:dyDescent="0.2">
      <c r="J2327" s="312"/>
    </row>
    <row r="2328" spans="10:10" x14ac:dyDescent="0.2">
      <c r="J2328" s="312"/>
    </row>
    <row r="2329" spans="10:10" x14ac:dyDescent="0.2">
      <c r="J2329" s="312"/>
    </row>
    <row r="2330" spans="10:10" x14ac:dyDescent="0.2">
      <c r="J2330" s="312"/>
    </row>
    <row r="2331" spans="10:10" x14ac:dyDescent="0.2">
      <c r="J2331" s="312"/>
    </row>
    <row r="2332" spans="10:10" x14ac:dyDescent="0.2">
      <c r="J2332" s="312"/>
    </row>
    <row r="2333" spans="10:10" x14ac:dyDescent="0.2">
      <c r="J2333" s="312"/>
    </row>
    <row r="2334" spans="10:10" x14ac:dyDescent="0.2">
      <c r="J2334" s="312"/>
    </row>
    <row r="2335" spans="10:10" x14ac:dyDescent="0.2">
      <c r="J2335" s="312"/>
    </row>
    <row r="2336" spans="10:10" x14ac:dyDescent="0.2">
      <c r="J2336" s="312"/>
    </row>
    <row r="2337" spans="10:10" x14ac:dyDescent="0.2">
      <c r="J2337" s="312"/>
    </row>
    <row r="2338" spans="10:10" x14ac:dyDescent="0.2">
      <c r="J2338" s="312"/>
    </row>
    <row r="2339" spans="10:10" x14ac:dyDescent="0.2">
      <c r="J2339" s="312"/>
    </row>
    <row r="2340" spans="10:10" x14ac:dyDescent="0.2">
      <c r="J2340" s="312"/>
    </row>
    <row r="2341" spans="10:10" x14ac:dyDescent="0.2">
      <c r="J2341" s="312"/>
    </row>
    <row r="2342" spans="10:10" x14ac:dyDescent="0.2">
      <c r="J2342" s="312"/>
    </row>
    <row r="2343" spans="10:10" x14ac:dyDescent="0.2">
      <c r="J2343" s="312"/>
    </row>
    <row r="2344" spans="10:10" x14ac:dyDescent="0.2">
      <c r="J2344" s="312"/>
    </row>
    <row r="2345" spans="10:10" x14ac:dyDescent="0.2">
      <c r="J2345" s="312"/>
    </row>
    <row r="2346" spans="10:10" x14ac:dyDescent="0.2">
      <c r="J2346" s="312"/>
    </row>
    <row r="2347" spans="10:10" x14ac:dyDescent="0.2">
      <c r="J2347" s="312"/>
    </row>
    <row r="2348" spans="10:10" x14ac:dyDescent="0.2">
      <c r="J2348" s="312"/>
    </row>
    <row r="2349" spans="10:10" x14ac:dyDescent="0.2">
      <c r="J2349" s="312"/>
    </row>
    <row r="2350" spans="10:10" x14ac:dyDescent="0.2">
      <c r="J2350" s="312"/>
    </row>
    <row r="2351" spans="10:10" x14ac:dyDescent="0.2">
      <c r="J2351" s="312"/>
    </row>
    <row r="2352" spans="10:10" x14ac:dyDescent="0.2">
      <c r="J2352" s="312"/>
    </row>
    <row r="2353" spans="10:10" x14ac:dyDescent="0.2">
      <c r="J2353" s="312"/>
    </row>
    <row r="2354" spans="10:10" x14ac:dyDescent="0.2">
      <c r="J2354" s="312"/>
    </row>
    <row r="2355" spans="10:10" x14ac:dyDescent="0.2">
      <c r="J2355" s="312"/>
    </row>
    <row r="2356" spans="10:10" x14ac:dyDescent="0.2">
      <c r="J2356" s="312"/>
    </row>
    <row r="2357" spans="10:10" x14ac:dyDescent="0.2">
      <c r="J2357" s="312"/>
    </row>
    <row r="2358" spans="10:10" x14ac:dyDescent="0.2">
      <c r="J2358" s="312"/>
    </row>
    <row r="2359" spans="10:10" x14ac:dyDescent="0.2">
      <c r="J2359" s="312"/>
    </row>
    <row r="2360" spans="10:10" x14ac:dyDescent="0.2">
      <c r="J2360" s="312"/>
    </row>
    <row r="2361" spans="10:10" x14ac:dyDescent="0.2">
      <c r="J2361" s="312"/>
    </row>
    <row r="2362" spans="10:10" x14ac:dyDescent="0.2">
      <c r="J2362" s="312"/>
    </row>
    <row r="2363" spans="10:10" x14ac:dyDescent="0.2">
      <c r="J2363" s="312"/>
    </row>
    <row r="2364" spans="10:10" x14ac:dyDescent="0.2">
      <c r="J2364" s="312"/>
    </row>
    <row r="2365" spans="10:10" x14ac:dyDescent="0.2">
      <c r="J2365" s="312"/>
    </row>
    <row r="2366" spans="10:10" x14ac:dyDescent="0.2">
      <c r="J2366" s="312"/>
    </row>
    <row r="2367" spans="10:10" x14ac:dyDescent="0.2">
      <c r="J2367" s="312"/>
    </row>
    <row r="2368" spans="10:10" x14ac:dyDescent="0.2">
      <c r="J2368" s="312"/>
    </row>
    <row r="2369" spans="10:10" x14ac:dyDescent="0.2">
      <c r="J2369" s="312"/>
    </row>
    <row r="2370" spans="10:10" x14ac:dyDescent="0.2">
      <c r="J2370" s="312"/>
    </row>
    <row r="2371" spans="10:10" x14ac:dyDescent="0.2">
      <c r="J2371" s="312"/>
    </row>
    <row r="2372" spans="10:10" x14ac:dyDescent="0.2">
      <c r="J2372" s="312"/>
    </row>
    <row r="2373" spans="10:10" x14ac:dyDescent="0.2">
      <c r="J2373" s="312"/>
    </row>
    <row r="2374" spans="10:10" x14ac:dyDescent="0.2">
      <c r="J2374" s="312"/>
    </row>
    <row r="2375" spans="10:10" x14ac:dyDescent="0.2">
      <c r="J2375" s="312"/>
    </row>
    <row r="2376" spans="10:10" x14ac:dyDescent="0.2">
      <c r="J2376" s="312"/>
    </row>
    <row r="2377" spans="10:10" x14ac:dyDescent="0.2">
      <c r="J2377" s="312"/>
    </row>
    <row r="2378" spans="10:10" x14ac:dyDescent="0.2">
      <c r="J2378" s="312"/>
    </row>
    <row r="2379" spans="10:10" x14ac:dyDescent="0.2">
      <c r="J2379" s="312"/>
    </row>
    <row r="2380" spans="10:10" x14ac:dyDescent="0.2">
      <c r="J2380" s="312"/>
    </row>
    <row r="2381" spans="10:10" x14ac:dyDescent="0.2">
      <c r="J2381" s="312"/>
    </row>
    <row r="2382" spans="10:10" x14ac:dyDescent="0.2">
      <c r="J2382" s="312"/>
    </row>
    <row r="2383" spans="10:10" x14ac:dyDescent="0.2">
      <c r="J2383" s="312"/>
    </row>
    <row r="2384" spans="10:10" x14ac:dyDescent="0.2">
      <c r="J2384" s="312"/>
    </row>
    <row r="2385" spans="10:10" x14ac:dyDescent="0.2">
      <c r="J2385" s="312"/>
    </row>
    <row r="2386" spans="10:10" x14ac:dyDescent="0.2">
      <c r="J2386" s="312"/>
    </row>
    <row r="2387" spans="10:10" x14ac:dyDescent="0.2">
      <c r="J2387" s="312"/>
    </row>
    <row r="2388" spans="10:10" x14ac:dyDescent="0.2">
      <c r="J2388" s="312"/>
    </row>
    <row r="2389" spans="10:10" x14ac:dyDescent="0.2">
      <c r="J2389" s="312"/>
    </row>
    <row r="2390" spans="10:10" x14ac:dyDescent="0.2">
      <c r="J2390" s="312"/>
    </row>
    <row r="2391" spans="10:10" x14ac:dyDescent="0.2">
      <c r="J2391" s="312"/>
    </row>
    <row r="2392" spans="10:10" x14ac:dyDescent="0.2">
      <c r="J2392" s="312"/>
    </row>
    <row r="2393" spans="10:10" x14ac:dyDescent="0.2">
      <c r="J2393" s="312"/>
    </row>
    <row r="2394" spans="10:10" x14ac:dyDescent="0.2">
      <c r="J2394" s="312"/>
    </row>
    <row r="2395" spans="10:10" x14ac:dyDescent="0.2">
      <c r="J2395" s="312"/>
    </row>
    <row r="2396" spans="10:10" x14ac:dyDescent="0.2">
      <c r="J2396" s="312"/>
    </row>
    <row r="2397" spans="10:10" x14ac:dyDescent="0.2">
      <c r="J2397" s="312"/>
    </row>
    <row r="2398" spans="10:10" x14ac:dyDescent="0.2">
      <c r="J2398" s="312"/>
    </row>
    <row r="2399" spans="10:10" x14ac:dyDescent="0.2">
      <c r="J2399" s="312"/>
    </row>
    <row r="2400" spans="10:10" x14ac:dyDescent="0.2">
      <c r="J2400" s="312"/>
    </row>
    <row r="2401" spans="10:10" x14ac:dyDescent="0.2">
      <c r="J2401" s="312"/>
    </row>
    <row r="2402" spans="10:10" x14ac:dyDescent="0.2">
      <c r="J2402" s="312"/>
    </row>
    <row r="2403" spans="10:10" x14ac:dyDescent="0.2">
      <c r="J2403" s="312"/>
    </row>
    <row r="2404" spans="10:10" x14ac:dyDescent="0.2">
      <c r="J2404" s="312"/>
    </row>
    <row r="2405" spans="10:10" x14ac:dyDescent="0.2">
      <c r="J2405" s="312"/>
    </row>
    <row r="2406" spans="10:10" x14ac:dyDescent="0.2">
      <c r="J2406" s="312"/>
    </row>
    <row r="2407" spans="10:10" x14ac:dyDescent="0.2">
      <c r="J2407" s="312"/>
    </row>
    <row r="2408" spans="10:10" x14ac:dyDescent="0.2">
      <c r="J2408" s="312"/>
    </row>
    <row r="2409" spans="10:10" x14ac:dyDescent="0.2">
      <c r="J2409" s="312"/>
    </row>
    <row r="2410" spans="10:10" x14ac:dyDescent="0.2">
      <c r="J2410" s="312"/>
    </row>
    <row r="2411" spans="10:10" x14ac:dyDescent="0.2">
      <c r="J2411" s="312"/>
    </row>
    <row r="2412" spans="10:10" x14ac:dyDescent="0.2">
      <c r="J2412" s="312"/>
    </row>
    <row r="2413" spans="10:10" x14ac:dyDescent="0.2">
      <c r="J2413" s="312"/>
    </row>
    <row r="2414" spans="10:10" x14ac:dyDescent="0.2">
      <c r="J2414" s="312"/>
    </row>
    <row r="2415" spans="10:10" x14ac:dyDescent="0.2">
      <c r="J2415" s="312"/>
    </row>
    <row r="2416" spans="10:10" x14ac:dyDescent="0.2">
      <c r="J2416" s="312"/>
    </row>
    <row r="2417" spans="10:10" x14ac:dyDescent="0.2">
      <c r="J2417" s="312"/>
    </row>
    <row r="2418" spans="10:10" x14ac:dyDescent="0.2">
      <c r="J2418" s="312"/>
    </row>
    <row r="2419" spans="10:10" x14ac:dyDescent="0.2">
      <c r="J2419" s="312"/>
    </row>
    <row r="2420" spans="10:10" x14ac:dyDescent="0.2">
      <c r="J2420" s="312"/>
    </row>
    <row r="2421" spans="10:10" x14ac:dyDescent="0.2">
      <c r="J2421" s="312"/>
    </row>
    <row r="2422" spans="10:10" x14ac:dyDescent="0.2">
      <c r="J2422" s="312"/>
    </row>
    <row r="2423" spans="10:10" x14ac:dyDescent="0.2">
      <c r="J2423" s="312"/>
    </row>
    <row r="2424" spans="10:10" x14ac:dyDescent="0.2">
      <c r="J2424" s="312"/>
    </row>
    <row r="2425" spans="10:10" x14ac:dyDescent="0.2">
      <c r="J2425" s="312"/>
    </row>
    <row r="2426" spans="10:10" x14ac:dyDescent="0.2">
      <c r="J2426" s="312"/>
    </row>
    <row r="2427" spans="10:10" x14ac:dyDescent="0.2">
      <c r="J2427" s="312"/>
    </row>
    <row r="2428" spans="10:10" x14ac:dyDescent="0.2">
      <c r="J2428" s="312"/>
    </row>
    <row r="2429" spans="10:10" x14ac:dyDescent="0.2">
      <c r="J2429" s="312"/>
    </row>
    <row r="2430" spans="10:10" x14ac:dyDescent="0.2">
      <c r="J2430" s="312"/>
    </row>
    <row r="2431" spans="10:10" x14ac:dyDescent="0.2">
      <c r="J2431" s="312"/>
    </row>
    <row r="2432" spans="10:10" x14ac:dyDescent="0.2">
      <c r="J2432" s="312"/>
    </row>
    <row r="2433" spans="10:10" x14ac:dyDescent="0.2">
      <c r="J2433" s="312"/>
    </row>
    <row r="2434" spans="10:10" x14ac:dyDescent="0.2">
      <c r="J2434" s="312"/>
    </row>
    <row r="2435" spans="10:10" x14ac:dyDescent="0.2">
      <c r="J2435" s="312"/>
    </row>
    <row r="2436" spans="10:10" x14ac:dyDescent="0.2">
      <c r="J2436" s="312"/>
    </row>
    <row r="2437" spans="10:10" x14ac:dyDescent="0.2">
      <c r="J2437" s="312"/>
    </row>
    <row r="2438" spans="10:10" x14ac:dyDescent="0.2">
      <c r="J2438" s="312"/>
    </row>
    <row r="2439" spans="10:10" x14ac:dyDescent="0.2">
      <c r="J2439" s="312"/>
    </row>
    <row r="2440" spans="10:10" x14ac:dyDescent="0.2">
      <c r="J2440" s="312"/>
    </row>
    <row r="2441" spans="10:10" x14ac:dyDescent="0.2">
      <c r="J2441" s="312"/>
    </row>
    <row r="2442" spans="10:10" x14ac:dyDescent="0.2">
      <c r="J2442" s="312"/>
    </row>
    <row r="2443" spans="10:10" x14ac:dyDescent="0.2">
      <c r="J2443" s="312"/>
    </row>
    <row r="2444" spans="10:10" x14ac:dyDescent="0.2">
      <c r="J2444" s="312"/>
    </row>
    <row r="2445" spans="10:10" x14ac:dyDescent="0.2">
      <c r="J2445" s="312"/>
    </row>
    <row r="2446" spans="10:10" x14ac:dyDescent="0.2">
      <c r="J2446" s="312"/>
    </row>
    <row r="2447" spans="10:10" x14ac:dyDescent="0.2">
      <c r="J2447" s="312"/>
    </row>
    <row r="2448" spans="10:10" x14ac:dyDescent="0.2">
      <c r="J2448" s="312"/>
    </row>
    <row r="2449" spans="10:10" x14ac:dyDescent="0.2">
      <c r="J2449" s="312"/>
    </row>
    <row r="2450" spans="10:10" x14ac:dyDescent="0.2">
      <c r="J2450" s="312"/>
    </row>
    <row r="2451" spans="10:10" x14ac:dyDescent="0.2">
      <c r="J2451" s="312"/>
    </row>
    <row r="2452" spans="10:10" x14ac:dyDescent="0.2">
      <c r="J2452" s="312"/>
    </row>
    <row r="2453" spans="10:10" x14ac:dyDescent="0.2">
      <c r="J2453" s="312"/>
    </row>
    <row r="2454" spans="10:10" x14ac:dyDescent="0.2">
      <c r="J2454" s="312"/>
    </row>
    <row r="2455" spans="10:10" x14ac:dyDescent="0.2">
      <c r="J2455" s="312"/>
    </row>
    <row r="2456" spans="10:10" x14ac:dyDescent="0.2">
      <c r="J2456" s="312"/>
    </row>
    <row r="2457" spans="10:10" x14ac:dyDescent="0.2">
      <c r="J2457" s="312"/>
    </row>
    <row r="2458" spans="10:10" x14ac:dyDescent="0.2">
      <c r="J2458" s="312"/>
    </row>
    <row r="2459" spans="10:10" x14ac:dyDescent="0.2">
      <c r="J2459" s="312"/>
    </row>
    <row r="2460" spans="10:10" x14ac:dyDescent="0.2">
      <c r="J2460" s="312"/>
    </row>
    <row r="2461" spans="10:10" x14ac:dyDescent="0.2">
      <c r="J2461" s="312"/>
    </row>
    <row r="2462" spans="10:10" x14ac:dyDescent="0.2">
      <c r="J2462" s="312"/>
    </row>
    <row r="2463" spans="10:10" x14ac:dyDescent="0.2">
      <c r="J2463" s="312"/>
    </row>
    <row r="2464" spans="10:10" x14ac:dyDescent="0.2">
      <c r="J2464" s="312"/>
    </row>
    <row r="2465" spans="10:10" x14ac:dyDescent="0.2">
      <c r="J2465" s="312"/>
    </row>
    <row r="2466" spans="10:10" x14ac:dyDescent="0.2">
      <c r="J2466" s="312"/>
    </row>
    <row r="2467" spans="10:10" x14ac:dyDescent="0.2">
      <c r="J2467" s="312"/>
    </row>
    <row r="2468" spans="10:10" x14ac:dyDescent="0.2">
      <c r="J2468" s="312"/>
    </row>
    <row r="2469" spans="10:10" x14ac:dyDescent="0.2">
      <c r="J2469" s="312"/>
    </row>
    <row r="2470" spans="10:10" x14ac:dyDescent="0.2">
      <c r="J2470" s="312"/>
    </row>
    <row r="2471" spans="10:10" x14ac:dyDescent="0.2">
      <c r="J2471" s="312"/>
    </row>
    <row r="2472" spans="10:10" x14ac:dyDescent="0.2">
      <c r="J2472" s="312"/>
    </row>
    <row r="2473" spans="10:10" x14ac:dyDescent="0.2">
      <c r="J2473" s="312"/>
    </row>
    <row r="2474" spans="10:10" x14ac:dyDescent="0.2">
      <c r="J2474" s="312"/>
    </row>
    <row r="2475" spans="10:10" x14ac:dyDescent="0.2">
      <c r="J2475" s="312"/>
    </row>
    <row r="2476" spans="10:10" x14ac:dyDescent="0.2">
      <c r="J2476" s="312"/>
    </row>
    <row r="2477" spans="10:10" x14ac:dyDescent="0.2">
      <c r="J2477" s="312"/>
    </row>
    <row r="2478" spans="10:10" x14ac:dyDescent="0.2">
      <c r="J2478" s="312"/>
    </row>
    <row r="2479" spans="10:10" x14ac:dyDescent="0.2">
      <c r="J2479" s="312"/>
    </row>
    <row r="2480" spans="10:10" x14ac:dyDescent="0.2">
      <c r="J2480" s="312"/>
    </row>
    <row r="2481" spans="10:10" x14ac:dyDescent="0.2">
      <c r="J2481" s="312"/>
    </row>
    <row r="2482" spans="10:10" x14ac:dyDescent="0.2">
      <c r="J2482" s="312"/>
    </row>
    <row r="2483" spans="10:10" x14ac:dyDescent="0.2">
      <c r="J2483" s="312"/>
    </row>
    <row r="2484" spans="10:10" x14ac:dyDescent="0.2">
      <c r="J2484" s="312"/>
    </row>
    <row r="2485" spans="10:10" x14ac:dyDescent="0.2">
      <c r="J2485" s="312"/>
    </row>
    <row r="2486" spans="10:10" x14ac:dyDescent="0.2">
      <c r="J2486" s="312"/>
    </row>
    <row r="2487" spans="10:10" x14ac:dyDescent="0.2">
      <c r="J2487" s="312"/>
    </row>
    <row r="2488" spans="10:10" x14ac:dyDescent="0.2">
      <c r="J2488" s="312"/>
    </row>
    <row r="2489" spans="10:10" x14ac:dyDescent="0.2">
      <c r="J2489" s="312"/>
    </row>
    <row r="2490" spans="10:10" x14ac:dyDescent="0.2">
      <c r="J2490" s="312"/>
    </row>
    <row r="2491" spans="10:10" x14ac:dyDescent="0.2">
      <c r="J2491" s="312"/>
    </row>
    <row r="2492" spans="10:10" x14ac:dyDescent="0.2">
      <c r="J2492" s="312"/>
    </row>
    <row r="2493" spans="10:10" x14ac:dyDescent="0.2">
      <c r="J2493" s="312"/>
    </row>
    <row r="2494" spans="10:10" x14ac:dyDescent="0.2">
      <c r="J2494" s="312"/>
    </row>
    <row r="2495" spans="10:10" x14ac:dyDescent="0.2">
      <c r="J2495" s="312"/>
    </row>
    <row r="2496" spans="10:10" x14ac:dyDescent="0.2">
      <c r="J2496" s="312"/>
    </row>
    <row r="2497" spans="10:10" x14ac:dyDescent="0.2">
      <c r="J2497" s="312"/>
    </row>
    <row r="2498" spans="10:10" x14ac:dyDescent="0.2">
      <c r="J2498" s="312"/>
    </row>
    <row r="2499" spans="10:10" x14ac:dyDescent="0.2">
      <c r="J2499" s="312"/>
    </row>
    <row r="2500" spans="10:10" x14ac:dyDescent="0.2">
      <c r="J2500" s="312"/>
    </row>
    <row r="2501" spans="10:10" x14ac:dyDescent="0.2">
      <c r="J2501" s="312"/>
    </row>
    <row r="2502" spans="10:10" x14ac:dyDescent="0.2">
      <c r="J2502" s="312"/>
    </row>
    <row r="2503" spans="10:10" x14ac:dyDescent="0.2">
      <c r="J2503" s="312"/>
    </row>
    <row r="2504" spans="10:10" x14ac:dyDescent="0.2">
      <c r="J2504" s="312"/>
    </row>
    <row r="2505" spans="10:10" x14ac:dyDescent="0.2">
      <c r="J2505" s="312"/>
    </row>
    <row r="2506" spans="10:10" x14ac:dyDescent="0.2">
      <c r="J2506" s="312"/>
    </row>
    <row r="2507" spans="10:10" x14ac:dyDescent="0.2">
      <c r="J2507" s="312"/>
    </row>
    <row r="2508" spans="10:10" x14ac:dyDescent="0.2">
      <c r="J2508" s="312"/>
    </row>
    <row r="2509" spans="10:10" x14ac:dyDescent="0.2">
      <c r="J2509" s="312"/>
    </row>
    <row r="2510" spans="10:10" x14ac:dyDescent="0.2">
      <c r="J2510" s="312"/>
    </row>
    <row r="2511" spans="10:10" x14ac:dyDescent="0.2">
      <c r="J2511" s="312"/>
    </row>
    <row r="2512" spans="10:10" x14ac:dyDescent="0.2">
      <c r="J2512" s="312"/>
    </row>
    <row r="2513" spans="10:10" x14ac:dyDescent="0.2">
      <c r="J2513" s="312"/>
    </row>
    <row r="2514" spans="10:10" x14ac:dyDescent="0.2">
      <c r="J2514" s="312"/>
    </row>
    <row r="2515" spans="10:10" x14ac:dyDescent="0.2">
      <c r="J2515" s="312"/>
    </row>
    <row r="2516" spans="10:10" x14ac:dyDescent="0.2">
      <c r="J2516" s="312"/>
    </row>
    <row r="2517" spans="10:10" x14ac:dyDescent="0.2">
      <c r="J2517" s="312"/>
    </row>
    <row r="2518" spans="10:10" x14ac:dyDescent="0.2">
      <c r="J2518" s="312"/>
    </row>
    <row r="2519" spans="10:10" x14ac:dyDescent="0.2">
      <c r="J2519" s="312"/>
    </row>
    <row r="2520" spans="10:10" x14ac:dyDescent="0.2">
      <c r="J2520" s="312"/>
    </row>
    <row r="2521" spans="10:10" x14ac:dyDescent="0.2">
      <c r="J2521" s="312"/>
    </row>
    <row r="2522" spans="10:10" x14ac:dyDescent="0.2">
      <c r="J2522" s="312"/>
    </row>
    <row r="2523" spans="10:10" x14ac:dyDescent="0.2">
      <c r="J2523" s="312"/>
    </row>
    <row r="2524" spans="10:10" x14ac:dyDescent="0.2">
      <c r="J2524" s="312"/>
    </row>
    <row r="2525" spans="10:10" x14ac:dyDescent="0.2">
      <c r="J2525" s="312"/>
    </row>
    <row r="2526" spans="10:10" x14ac:dyDescent="0.2">
      <c r="J2526" s="312"/>
    </row>
    <row r="2527" spans="10:10" x14ac:dyDescent="0.2">
      <c r="J2527" s="312"/>
    </row>
    <row r="2528" spans="10:10" x14ac:dyDescent="0.2">
      <c r="J2528" s="312"/>
    </row>
    <row r="2529" spans="10:10" x14ac:dyDescent="0.2">
      <c r="J2529" s="312"/>
    </row>
    <row r="2530" spans="10:10" x14ac:dyDescent="0.2">
      <c r="J2530" s="312"/>
    </row>
    <row r="2531" spans="10:10" x14ac:dyDescent="0.2">
      <c r="J2531" s="312"/>
    </row>
    <row r="2532" spans="10:10" x14ac:dyDescent="0.2">
      <c r="J2532" s="312"/>
    </row>
    <row r="2533" spans="10:10" x14ac:dyDescent="0.2">
      <c r="J2533" s="312"/>
    </row>
    <row r="2534" spans="10:10" x14ac:dyDescent="0.2">
      <c r="J2534" s="312"/>
    </row>
    <row r="2535" spans="10:10" x14ac:dyDescent="0.2">
      <c r="J2535" s="312"/>
    </row>
    <row r="2536" spans="10:10" x14ac:dyDescent="0.2">
      <c r="J2536" s="312"/>
    </row>
    <row r="2537" spans="10:10" x14ac:dyDescent="0.2">
      <c r="J2537" s="312"/>
    </row>
    <row r="2538" spans="10:10" x14ac:dyDescent="0.2">
      <c r="J2538" s="312"/>
    </row>
    <row r="2539" spans="10:10" x14ac:dyDescent="0.2">
      <c r="J2539" s="312"/>
    </row>
    <row r="2540" spans="10:10" x14ac:dyDescent="0.2">
      <c r="J2540" s="312"/>
    </row>
    <row r="2541" spans="10:10" x14ac:dyDescent="0.2">
      <c r="J2541" s="312"/>
    </row>
    <row r="2542" spans="10:10" x14ac:dyDescent="0.2">
      <c r="J2542" s="312"/>
    </row>
    <row r="2543" spans="10:10" x14ac:dyDescent="0.2">
      <c r="J2543" s="312"/>
    </row>
    <row r="2544" spans="10:10" x14ac:dyDescent="0.2">
      <c r="J2544" s="312"/>
    </row>
    <row r="2545" spans="10:10" x14ac:dyDescent="0.2">
      <c r="J2545" s="312"/>
    </row>
    <row r="2546" spans="10:10" x14ac:dyDescent="0.2">
      <c r="J2546" s="312"/>
    </row>
    <row r="2547" spans="10:10" x14ac:dyDescent="0.2">
      <c r="J2547" s="312"/>
    </row>
    <row r="2548" spans="10:10" x14ac:dyDescent="0.2">
      <c r="J2548" s="312"/>
    </row>
    <row r="2549" spans="10:10" x14ac:dyDescent="0.2">
      <c r="J2549" s="312"/>
    </row>
    <row r="2550" spans="10:10" x14ac:dyDescent="0.2">
      <c r="J2550" s="312"/>
    </row>
    <row r="2551" spans="10:10" x14ac:dyDescent="0.2">
      <c r="J2551" s="312"/>
    </row>
    <row r="2552" spans="10:10" x14ac:dyDescent="0.2">
      <c r="J2552" s="312"/>
    </row>
    <row r="2553" spans="10:10" x14ac:dyDescent="0.2">
      <c r="J2553" s="312"/>
    </row>
    <row r="2554" spans="10:10" x14ac:dyDescent="0.2">
      <c r="J2554" s="312"/>
    </row>
    <row r="2555" spans="10:10" x14ac:dyDescent="0.2">
      <c r="J2555" s="312"/>
    </row>
    <row r="2556" spans="10:10" x14ac:dyDescent="0.2">
      <c r="J2556" s="312"/>
    </row>
    <row r="2557" spans="10:10" x14ac:dyDescent="0.2">
      <c r="J2557" s="312"/>
    </row>
    <row r="2558" spans="10:10" x14ac:dyDescent="0.2">
      <c r="J2558" s="312"/>
    </row>
    <row r="2559" spans="10:10" x14ac:dyDescent="0.2">
      <c r="J2559" s="312"/>
    </row>
    <row r="2560" spans="10:10" x14ac:dyDescent="0.2">
      <c r="J2560" s="312"/>
    </row>
    <row r="2561" spans="10:10" x14ac:dyDescent="0.2">
      <c r="J2561" s="312"/>
    </row>
    <row r="2562" spans="10:10" x14ac:dyDescent="0.2">
      <c r="J2562" s="312"/>
    </row>
    <row r="2563" spans="10:10" x14ac:dyDescent="0.2">
      <c r="J2563" s="312"/>
    </row>
    <row r="2564" spans="10:10" x14ac:dyDescent="0.2">
      <c r="J2564" s="312"/>
    </row>
    <row r="2565" spans="10:10" x14ac:dyDescent="0.2">
      <c r="J2565" s="312"/>
    </row>
    <row r="2566" spans="10:10" x14ac:dyDescent="0.2">
      <c r="J2566" s="312"/>
    </row>
    <row r="2567" spans="10:10" x14ac:dyDescent="0.2">
      <c r="J2567" s="312"/>
    </row>
    <row r="2568" spans="10:10" x14ac:dyDescent="0.2">
      <c r="J2568" s="312"/>
    </row>
    <row r="2569" spans="10:10" x14ac:dyDescent="0.2">
      <c r="J2569" s="312"/>
    </row>
    <row r="2570" spans="10:10" x14ac:dyDescent="0.2">
      <c r="J2570" s="312"/>
    </row>
    <row r="2571" spans="10:10" x14ac:dyDescent="0.2">
      <c r="J2571" s="312"/>
    </row>
    <row r="2572" spans="10:10" x14ac:dyDescent="0.2">
      <c r="J2572" s="312"/>
    </row>
    <row r="2573" spans="10:10" x14ac:dyDescent="0.2">
      <c r="J2573" s="312"/>
    </row>
    <row r="2574" spans="10:10" x14ac:dyDescent="0.2">
      <c r="J2574" s="312"/>
    </row>
    <row r="2575" spans="10:10" x14ac:dyDescent="0.2">
      <c r="J2575" s="312"/>
    </row>
    <row r="2576" spans="10:10" x14ac:dyDescent="0.2">
      <c r="J2576" s="312"/>
    </row>
    <row r="2577" spans="10:10" x14ac:dyDescent="0.2">
      <c r="J2577" s="312"/>
    </row>
    <row r="2578" spans="10:10" x14ac:dyDescent="0.2">
      <c r="J2578" s="312"/>
    </row>
    <row r="2579" spans="10:10" x14ac:dyDescent="0.2">
      <c r="J2579" s="312"/>
    </row>
    <row r="2580" spans="10:10" x14ac:dyDescent="0.2">
      <c r="J2580" s="312"/>
    </row>
    <row r="2581" spans="10:10" x14ac:dyDescent="0.2">
      <c r="J2581" s="312"/>
    </row>
    <row r="2582" spans="10:10" x14ac:dyDescent="0.2">
      <c r="J2582" s="312"/>
    </row>
    <row r="2583" spans="10:10" x14ac:dyDescent="0.2">
      <c r="J2583" s="312"/>
    </row>
    <row r="2584" spans="10:10" x14ac:dyDescent="0.2">
      <c r="J2584" s="312"/>
    </row>
    <row r="2585" spans="10:10" x14ac:dyDescent="0.2">
      <c r="J2585" s="312"/>
    </row>
    <row r="2586" spans="10:10" x14ac:dyDescent="0.2">
      <c r="J2586" s="312"/>
    </row>
    <row r="2587" spans="10:10" x14ac:dyDescent="0.2">
      <c r="J2587" s="312"/>
    </row>
    <row r="2588" spans="10:10" x14ac:dyDescent="0.2">
      <c r="J2588" s="312"/>
    </row>
    <row r="2589" spans="10:10" x14ac:dyDescent="0.2">
      <c r="J2589" s="312"/>
    </row>
    <row r="2590" spans="10:10" x14ac:dyDescent="0.2">
      <c r="J2590" s="312"/>
    </row>
    <row r="2591" spans="10:10" x14ac:dyDescent="0.2">
      <c r="J2591" s="312"/>
    </row>
    <row r="2592" spans="10:10" x14ac:dyDescent="0.2">
      <c r="J2592" s="312"/>
    </row>
    <row r="2593" spans="10:10" x14ac:dyDescent="0.2">
      <c r="J2593" s="312"/>
    </row>
    <row r="2594" spans="10:10" x14ac:dyDescent="0.2">
      <c r="J2594" s="312"/>
    </row>
    <row r="2595" spans="10:10" x14ac:dyDescent="0.2">
      <c r="J2595" s="312"/>
    </row>
    <row r="2596" spans="10:10" x14ac:dyDescent="0.2">
      <c r="J2596" s="312"/>
    </row>
    <row r="2597" spans="10:10" x14ac:dyDescent="0.2">
      <c r="J2597" s="312"/>
    </row>
    <row r="2598" spans="10:10" x14ac:dyDescent="0.2">
      <c r="J2598" s="312"/>
    </row>
    <row r="2599" spans="10:10" x14ac:dyDescent="0.2">
      <c r="J2599" s="312"/>
    </row>
    <row r="2600" spans="10:10" x14ac:dyDescent="0.2">
      <c r="J2600" s="312"/>
    </row>
    <row r="2601" spans="10:10" x14ac:dyDescent="0.2">
      <c r="J2601" s="312"/>
    </row>
    <row r="2602" spans="10:10" x14ac:dyDescent="0.2">
      <c r="J2602" s="312"/>
    </row>
    <row r="2603" spans="10:10" x14ac:dyDescent="0.2">
      <c r="J2603" s="312"/>
    </row>
    <row r="2604" spans="10:10" x14ac:dyDescent="0.2">
      <c r="J2604" s="312"/>
    </row>
    <row r="2605" spans="10:10" x14ac:dyDescent="0.2">
      <c r="J2605" s="312"/>
    </row>
    <row r="2606" spans="10:10" x14ac:dyDescent="0.2">
      <c r="J2606" s="312"/>
    </row>
    <row r="2607" spans="10:10" x14ac:dyDescent="0.2">
      <c r="J2607" s="312"/>
    </row>
    <row r="2608" spans="10:10" x14ac:dyDescent="0.2">
      <c r="J2608" s="312"/>
    </row>
    <row r="2609" spans="10:10" x14ac:dyDescent="0.2">
      <c r="J2609" s="312"/>
    </row>
    <row r="2610" spans="10:10" x14ac:dyDescent="0.2">
      <c r="J2610" s="312"/>
    </row>
    <row r="2611" spans="10:10" x14ac:dyDescent="0.2">
      <c r="J2611" s="312"/>
    </row>
    <row r="2612" spans="10:10" x14ac:dyDescent="0.2">
      <c r="J2612" s="312"/>
    </row>
    <row r="2613" spans="10:10" x14ac:dyDescent="0.2">
      <c r="J2613" s="312"/>
    </row>
    <row r="2614" spans="10:10" x14ac:dyDescent="0.2">
      <c r="J2614" s="312"/>
    </row>
    <row r="2615" spans="10:10" x14ac:dyDescent="0.2">
      <c r="J2615" s="312"/>
    </row>
    <row r="2616" spans="10:10" x14ac:dyDescent="0.2">
      <c r="J2616" s="312"/>
    </row>
    <row r="2617" spans="10:10" x14ac:dyDescent="0.2">
      <c r="J2617" s="312"/>
    </row>
    <row r="2618" spans="10:10" x14ac:dyDescent="0.2">
      <c r="J2618" s="312"/>
    </row>
    <row r="2619" spans="10:10" x14ac:dyDescent="0.2">
      <c r="J2619" s="312"/>
    </row>
    <row r="2620" spans="10:10" x14ac:dyDescent="0.2">
      <c r="J2620" s="312"/>
    </row>
    <row r="2621" spans="10:10" x14ac:dyDescent="0.2">
      <c r="J2621" s="312"/>
    </row>
    <row r="2622" spans="10:10" x14ac:dyDescent="0.2">
      <c r="J2622" s="312"/>
    </row>
    <row r="2623" spans="10:10" x14ac:dyDescent="0.2">
      <c r="J2623" s="312"/>
    </row>
    <row r="2624" spans="10:10" x14ac:dyDescent="0.2">
      <c r="J2624" s="312"/>
    </row>
    <row r="2625" spans="10:10" x14ac:dyDescent="0.2">
      <c r="J2625" s="312"/>
    </row>
    <row r="2626" spans="10:10" x14ac:dyDescent="0.2">
      <c r="J2626" s="312"/>
    </row>
    <row r="2627" spans="10:10" x14ac:dyDescent="0.2">
      <c r="J2627" s="312"/>
    </row>
    <row r="2628" spans="10:10" x14ac:dyDescent="0.2">
      <c r="J2628" s="312"/>
    </row>
    <row r="2629" spans="10:10" x14ac:dyDescent="0.2">
      <c r="J2629" s="312"/>
    </row>
    <row r="2630" spans="10:10" x14ac:dyDescent="0.2">
      <c r="J2630" s="312"/>
    </row>
    <row r="2631" spans="10:10" x14ac:dyDescent="0.2">
      <c r="J2631" s="312"/>
    </row>
    <row r="2632" spans="10:10" x14ac:dyDescent="0.2">
      <c r="J2632" s="312"/>
    </row>
    <row r="2633" spans="10:10" x14ac:dyDescent="0.2">
      <c r="J2633" s="312"/>
    </row>
    <row r="2634" spans="10:10" x14ac:dyDescent="0.2">
      <c r="J2634" s="312"/>
    </row>
    <row r="2635" spans="10:10" x14ac:dyDescent="0.2">
      <c r="J2635" s="312"/>
    </row>
    <row r="2636" spans="10:10" x14ac:dyDescent="0.2">
      <c r="J2636" s="312"/>
    </row>
    <row r="2637" spans="10:10" x14ac:dyDescent="0.2">
      <c r="J2637" s="312"/>
    </row>
    <row r="2638" spans="10:10" x14ac:dyDescent="0.2">
      <c r="J2638" s="312"/>
    </row>
    <row r="2639" spans="10:10" x14ac:dyDescent="0.2">
      <c r="J2639" s="312"/>
    </row>
    <row r="2640" spans="10:10" x14ac:dyDescent="0.2">
      <c r="J2640" s="312"/>
    </row>
    <row r="2641" spans="10:10" x14ac:dyDescent="0.2">
      <c r="J2641" s="312"/>
    </row>
    <row r="2642" spans="10:10" x14ac:dyDescent="0.2">
      <c r="J2642" s="312"/>
    </row>
    <row r="2643" spans="10:10" x14ac:dyDescent="0.2">
      <c r="J2643" s="312"/>
    </row>
    <row r="2644" spans="10:10" x14ac:dyDescent="0.2">
      <c r="J2644" s="312"/>
    </row>
    <row r="2645" spans="10:10" x14ac:dyDescent="0.2">
      <c r="J2645" s="312"/>
    </row>
    <row r="2646" spans="10:10" x14ac:dyDescent="0.2">
      <c r="J2646" s="312"/>
    </row>
    <row r="2647" spans="10:10" x14ac:dyDescent="0.2">
      <c r="J2647" s="312"/>
    </row>
    <row r="2648" spans="10:10" x14ac:dyDescent="0.2">
      <c r="J2648" s="312"/>
    </row>
    <row r="2649" spans="10:10" x14ac:dyDescent="0.2">
      <c r="J2649" s="312"/>
    </row>
    <row r="2650" spans="10:10" x14ac:dyDescent="0.2">
      <c r="J2650" s="312"/>
    </row>
    <row r="2651" spans="10:10" x14ac:dyDescent="0.2">
      <c r="J2651" s="312"/>
    </row>
    <row r="2652" spans="10:10" x14ac:dyDescent="0.2">
      <c r="J2652" s="312"/>
    </row>
    <row r="2653" spans="10:10" x14ac:dyDescent="0.2">
      <c r="J2653" s="312"/>
    </row>
    <row r="2654" spans="10:10" x14ac:dyDescent="0.2">
      <c r="J2654" s="312"/>
    </row>
    <row r="2655" spans="10:10" x14ac:dyDescent="0.2">
      <c r="J2655" s="312"/>
    </row>
    <row r="2656" spans="10:10" x14ac:dyDescent="0.2">
      <c r="J2656" s="312"/>
    </row>
    <row r="2657" spans="10:10" x14ac:dyDescent="0.2">
      <c r="J2657" s="312"/>
    </row>
    <row r="2658" spans="10:10" x14ac:dyDescent="0.2">
      <c r="J2658" s="312"/>
    </row>
    <row r="2659" spans="10:10" x14ac:dyDescent="0.2">
      <c r="J2659" s="312"/>
    </row>
    <row r="2660" spans="10:10" x14ac:dyDescent="0.2">
      <c r="J2660" s="312"/>
    </row>
    <row r="2661" spans="10:10" x14ac:dyDescent="0.2">
      <c r="J2661" s="312"/>
    </row>
    <row r="2662" spans="10:10" x14ac:dyDescent="0.2">
      <c r="J2662" s="312"/>
    </row>
    <row r="2663" spans="10:10" x14ac:dyDescent="0.2">
      <c r="J2663" s="312"/>
    </row>
    <row r="2664" spans="10:10" x14ac:dyDescent="0.2">
      <c r="J2664" s="312"/>
    </row>
    <row r="2665" spans="10:10" x14ac:dyDescent="0.2">
      <c r="J2665" s="312"/>
    </row>
    <row r="2666" spans="10:10" x14ac:dyDescent="0.2">
      <c r="J2666" s="312"/>
    </row>
    <row r="2667" spans="10:10" x14ac:dyDescent="0.2">
      <c r="J2667" s="312"/>
    </row>
    <row r="2668" spans="10:10" x14ac:dyDescent="0.2">
      <c r="J2668" s="312"/>
    </row>
    <row r="2669" spans="10:10" x14ac:dyDescent="0.2">
      <c r="J2669" s="312"/>
    </row>
    <row r="2670" spans="10:10" x14ac:dyDescent="0.2">
      <c r="J2670" s="312"/>
    </row>
    <row r="2671" spans="10:10" x14ac:dyDescent="0.2">
      <c r="J2671" s="312"/>
    </row>
    <row r="2672" spans="10:10" x14ac:dyDescent="0.2">
      <c r="J2672" s="312"/>
    </row>
    <row r="2673" spans="10:10" x14ac:dyDescent="0.2">
      <c r="J2673" s="312"/>
    </row>
    <row r="2674" spans="10:10" x14ac:dyDescent="0.2">
      <c r="J2674" s="312"/>
    </row>
    <row r="2675" spans="10:10" x14ac:dyDescent="0.2">
      <c r="J2675" s="312"/>
    </row>
    <row r="2676" spans="10:10" x14ac:dyDescent="0.2">
      <c r="J2676" s="312"/>
    </row>
    <row r="2677" spans="10:10" x14ac:dyDescent="0.2">
      <c r="J2677" s="312"/>
    </row>
    <row r="2678" spans="10:10" x14ac:dyDescent="0.2">
      <c r="J2678" s="312"/>
    </row>
    <row r="2679" spans="10:10" x14ac:dyDescent="0.2">
      <c r="J2679" s="312"/>
    </row>
    <row r="2680" spans="10:10" x14ac:dyDescent="0.2">
      <c r="J2680" s="312"/>
    </row>
    <row r="2681" spans="10:10" x14ac:dyDescent="0.2">
      <c r="J2681" s="312"/>
    </row>
    <row r="2682" spans="10:10" x14ac:dyDescent="0.2">
      <c r="J2682" s="312"/>
    </row>
    <row r="2683" spans="10:10" x14ac:dyDescent="0.2">
      <c r="J2683" s="312"/>
    </row>
    <row r="2684" spans="10:10" x14ac:dyDescent="0.2">
      <c r="J2684" s="312"/>
    </row>
    <row r="2685" spans="10:10" x14ac:dyDescent="0.2">
      <c r="J2685" s="312"/>
    </row>
    <row r="2686" spans="10:10" x14ac:dyDescent="0.2">
      <c r="J2686" s="312"/>
    </row>
    <row r="2687" spans="10:10" x14ac:dyDescent="0.2">
      <c r="J2687" s="312"/>
    </row>
    <row r="2688" spans="10:10" x14ac:dyDescent="0.2">
      <c r="J2688" s="312"/>
    </row>
    <row r="2689" spans="10:10" x14ac:dyDescent="0.2">
      <c r="J2689" s="312"/>
    </row>
    <row r="2690" spans="10:10" x14ac:dyDescent="0.2">
      <c r="J2690" s="312"/>
    </row>
    <row r="2691" spans="10:10" x14ac:dyDescent="0.2">
      <c r="J2691" s="312"/>
    </row>
    <row r="2692" spans="10:10" x14ac:dyDescent="0.2">
      <c r="J2692" s="312"/>
    </row>
    <row r="2693" spans="10:10" x14ac:dyDescent="0.2">
      <c r="J2693" s="312"/>
    </row>
    <row r="2694" spans="10:10" x14ac:dyDescent="0.2">
      <c r="J2694" s="312"/>
    </row>
    <row r="2695" spans="10:10" x14ac:dyDescent="0.2">
      <c r="J2695" s="312"/>
    </row>
    <row r="2696" spans="10:10" x14ac:dyDescent="0.2">
      <c r="J2696" s="312"/>
    </row>
    <row r="2697" spans="10:10" x14ac:dyDescent="0.2">
      <c r="J2697" s="312"/>
    </row>
    <row r="2698" spans="10:10" x14ac:dyDescent="0.2">
      <c r="J2698" s="312"/>
    </row>
    <row r="2699" spans="10:10" x14ac:dyDescent="0.2">
      <c r="J2699" s="312"/>
    </row>
    <row r="2700" spans="10:10" x14ac:dyDescent="0.2">
      <c r="J2700" s="312"/>
    </row>
    <row r="2701" spans="10:10" x14ac:dyDescent="0.2">
      <c r="J2701" s="312"/>
    </row>
    <row r="2702" spans="10:10" x14ac:dyDescent="0.2">
      <c r="J2702" s="312"/>
    </row>
    <row r="2703" spans="10:10" x14ac:dyDescent="0.2">
      <c r="J2703" s="312"/>
    </row>
    <row r="2704" spans="10:10" x14ac:dyDescent="0.2">
      <c r="J2704" s="312"/>
    </row>
    <row r="2705" spans="10:10" x14ac:dyDescent="0.2">
      <c r="J2705" s="312"/>
    </row>
    <row r="2706" spans="10:10" x14ac:dyDescent="0.2">
      <c r="J2706" s="312"/>
    </row>
    <row r="2707" spans="10:10" x14ac:dyDescent="0.2">
      <c r="J2707" s="312"/>
    </row>
    <row r="2708" spans="10:10" x14ac:dyDescent="0.2">
      <c r="J2708" s="312"/>
    </row>
    <row r="2709" spans="10:10" x14ac:dyDescent="0.2">
      <c r="J2709" s="312"/>
    </row>
    <row r="2710" spans="10:10" x14ac:dyDescent="0.2">
      <c r="J2710" s="312"/>
    </row>
    <row r="2711" spans="10:10" x14ac:dyDescent="0.2">
      <c r="J2711" s="312"/>
    </row>
    <row r="2712" spans="10:10" x14ac:dyDescent="0.2">
      <c r="J2712" s="312"/>
    </row>
    <row r="2713" spans="10:10" x14ac:dyDescent="0.2">
      <c r="J2713" s="312"/>
    </row>
    <row r="2714" spans="10:10" x14ac:dyDescent="0.2">
      <c r="J2714" s="312"/>
    </row>
    <row r="2715" spans="10:10" x14ac:dyDescent="0.2">
      <c r="J2715" s="312"/>
    </row>
    <row r="2716" spans="10:10" x14ac:dyDescent="0.2">
      <c r="J2716" s="312"/>
    </row>
    <row r="2717" spans="10:10" x14ac:dyDescent="0.2">
      <c r="J2717" s="312"/>
    </row>
    <row r="2718" spans="10:10" x14ac:dyDescent="0.2">
      <c r="J2718" s="312"/>
    </row>
    <row r="2719" spans="10:10" x14ac:dyDescent="0.2">
      <c r="J2719" s="312"/>
    </row>
    <row r="2720" spans="10:10" x14ac:dyDescent="0.2">
      <c r="J2720" s="312"/>
    </row>
    <row r="2721" spans="10:10" x14ac:dyDescent="0.2">
      <c r="J2721" s="312"/>
    </row>
    <row r="2722" spans="10:10" x14ac:dyDescent="0.2">
      <c r="J2722" s="312"/>
    </row>
    <row r="2723" spans="10:10" x14ac:dyDescent="0.2">
      <c r="J2723" s="312"/>
    </row>
    <row r="2724" spans="10:10" x14ac:dyDescent="0.2">
      <c r="J2724" s="312"/>
    </row>
    <row r="2725" spans="10:10" x14ac:dyDescent="0.2">
      <c r="J2725" s="312"/>
    </row>
    <row r="2726" spans="10:10" x14ac:dyDescent="0.2">
      <c r="J2726" s="312"/>
    </row>
    <row r="2727" spans="10:10" x14ac:dyDescent="0.2">
      <c r="J2727" s="312"/>
    </row>
    <row r="2728" spans="10:10" x14ac:dyDescent="0.2">
      <c r="J2728" s="312"/>
    </row>
    <row r="2729" spans="10:10" x14ac:dyDescent="0.2">
      <c r="J2729" s="312"/>
    </row>
    <row r="2730" spans="10:10" x14ac:dyDescent="0.2">
      <c r="J2730" s="312"/>
    </row>
    <row r="2731" spans="10:10" x14ac:dyDescent="0.2">
      <c r="J2731" s="312"/>
    </row>
    <row r="2732" spans="10:10" x14ac:dyDescent="0.2">
      <c r="J2732" s="312"/>
    </row>
    <row r="2733" spans="10:10" x14ac:dyDescent="0.2">
      <c r="J2733" s="312"/>
    </row>
    <row r="2734" spans="10:10" x14ac:dyDescent="0.2">
      <c r="J2734" s="312"/>
    </row>
    <row r="2735" spans="10:10" x14ac:dyDescent="0.2">
      <c r="J2735" s="312"/>
    </row>
    <row r="2736" spans="10:10" x14ac:dyDescent="0.2">
      <c r="J2736" s="312"/>
    </row>
    <row r="2737" spans="10:10" x14ac:dyDescent="0.2">
      <c r="J2737" s="312"/>
    </row>
    <row r="2738" spans="10:10" x14ac:dyDescent="0.2">
      <c r="J2738" s="312"/>
    </row>
    <row r="2739" spans="10:10" x14ac:dyDescent="0.2">
      <c r="J2739" s="312"/>
    </row>
    <row r="2740" spans="10:10" x14ac:dyDescent="0.2">
      <c r="J2740" s="312"/>
    </row>
    <row r="2741" spans="10:10" x14ac:dyDescent="0.2">
      <c r="J2741" s="312"/>
    </row>
    <row r="2742" spans="10:10" x14ac:dyDescent="0.2">
      <c r="J2742" s="312"/>
    </row>
    <row r="2743" spans="10:10" x14ac:dyDescent="0.2">
      <c r="J2743" s="312"/>
    </row>
    <row r="2744" spans="10:10" x14ac:dyDescent="0.2">
      <c r="J2744" s="312"/>
    </row>
    <row r="2745" spans="10:10" x14ac:dyDescent="0.2">
      <c r="J2745" s="312"/>
    </row>
    <row r="2746" spans="10:10" x14ac:dyDescent="0.2">
      <c r="J2746" s="312"/>
    </row>
    <row r="2747" spans="10:10" x14ac:dyDescent="0.2">
      <c r="J2747" s="312"/>
    </row>
    <row r="2748" spans="10:10" x14ac:dyDescent="0.2">
      <c r="J2748" s="312"/>
    </row>
    <row r="2749" spans="10:10" x14ac:dyDescent="0.2">
      <c r="J2749" s="312"/>
    </row>
    <row r="2750" spans="10:10" x14ac:dyDescent="0.2">
      <c r="J2750" s="312"/>
    </row>
    <row r="2751" spans="10:10" x14ac:dyDescent="0.2">
      <c r="J2751" s="312"/>
    </row>
    <row r="2752" spans="10:10" x14ac:dyDescent="0.2">
      <c r="J2752" s="312"/>
    </row>
    <row r="2753" spans="10:10" x14ac:dyDescent="0.2">
      <c r="J2753" s="312"/>
    </row>
    <row r="2754" spans="10:10" x14ac:dyDescent="0.2">
      <c r="J2754" s="312"/>
    </row>
    <row r="2755" spans="10:10" x14ac:dyDescent="0.2">
      <c r="J2755" s="312"/>
    </row>
    <row r="2756" spans="10:10" x14ac:dyDescent="0.2">
      <c r="J2756" s="312"/>
    </row>
    <row r="2757" spans="10:10" x14ac:dyDescent="0.2">
      <c r="J2757" s="312"/>
    </row>
    <row r="2758" spans="10:10" x14ac:dyDescent="0.2">
      <c r="J2758" s="312"/>
    </row>
    <row r="2759" spans="10:10" x14ac:dyDescent="0.2">
      <c r="J2759" s="312"/>
    </row>
    <row r="2760" spans="10:10" x14ac:dyDescent="0.2">
      <c r="J2760" s="312"/>
    </row>
    <row r="2761" spans="10:10" x14ac:dyDescent="0.2">
      <c r="J2761" s="312"/>
    </row>
    <row r="2762" spans="10:10" x14ac:dyDescent="0.2">
      <c r="J2762" s="312"/>
    </row>
    <row r="2763" spans="10:10" x14ac:dyDescent="0.2">
      <c r="J2763" s="312"/>
    </row>
    <row r="2764" spans="10:10" x14ac:dyDescent="0.2">
      <c r="J2764" s="312"/>
    </row>
    <row r="2765" spans="10:10" x14ac:dyDescent="0.2">
      <c r="J2765" s="312"/>
    </row>
    <row r="2766" spans="10:10" x14ac:dyDescent="0.2">
      <c r="J2766" s="312"/>
    </row>
    <row r="2767" spans="10:10" x14ac:dyDescent="0.2">
      <c r="J2767" s="312"/>
    </row>
    <row r="2768" spans="10:10" x14ac:dyDescent="0.2">
      <c r="J2768" s="312"/>
    </row>
    <row r="2769" spans="10:10" x14ac:dyDescent="0.2">
      <c r="J2769" s="312"/>
    </row>
    <row r="2770" spans="10:10" x14ac:dyDescent="0.2">
      <c r="J2770" s="312"/>
    </row>
    <row r="2771" spans="10:10" x14ac:dyDescent="0.2">
      <c r="J2771" s="312"/>
    </row>
    <row r="2772" spans="10:10" x14ac:dyDescent="0.2">
      <c r="J2772" s="312"/>
    </row>
    <row r="2773" spans="10:10" x14ac:dyDescent="0.2">
      <c r="J2773" s="312"/>
    </row>
    <row r="2774" spans="10:10" x14ac:dyDescent="0.2">
      <c r="J2774" s="312"/>
    </row>
    <row r="2775" spans="10:10" x14ac:dyDescent="0.2">
      <c r="J2775" s="312"/>
    </row>
    <row r="2776" spans="10:10" x14ac:dyDescent="0.2">
      <c r="J2776" s="312"/>
    </row>
    <row r="2777" spans="10:10" x14ac:dyDescent="0.2">
      <c r="J2777" s="312"/>
    </row>
    <row r="2778" spans="10:10" x14ac:dyDescent="0.2">
      <c r="J2778" s="312"/>
    </row>
    <row r="2779" spans="10:10" x14ac:dyDescent="0.2">
      <c r="J2779" s="312"/>
    </row>
    <row r="2780" spans="10:10" x14ac:dyDescent="0.2">
      <c r="J2780" s="312"/>
    </row>
    <row r="2781" spans="10:10" x14ac:dyDescent="0.2">
      <c r="J2781" s="312"/>
    </row>
    <row r="2782" spans="10:10" x14ac:dyDescent="0.2">
      <c r="J2782" s="312"/>
    </row>
    <row r="2783" spans="10:10" x14ac:dyDescent="0.2">
      <c r="J2783" s="312"/>
    </row>
    <row r="2784" spans="10:10" x14ac:dyDescent="0.2">
      <c r="J2784" s="312"/>
    </row>
    <row r="2785" spans="10:10" x14ac:dyDescent="0.2">
      <c r="J2785" s="312"/>
    </row>
    <row r="2786" spans="10:10" x14ac:dyDescent="0.2">
      <c r="J2786" s="312"/>
    </row>
    <row r="2787" spans="10:10" x14ac:dyDescent="0.2">
      <c r="J2787" s="312"/>
    </row>
    <row r="2788" spans="10:10" x14ac:dyDescent="0.2">
      <c r="J2788" s="312"/>
    </row>
    <row r="2789" spans="10:10" x14ac:dyDescent="0.2">
      <c r="J2789" s="312"/>
    </row>
    <row r="2790" spans="10:10" x14ac:dyDescent="0.2">
      <c r="J2790" s="312"/>
    </row>
    <row r="2791" spans="10:10" x14ac:dyDescent="0.2">
      <c r="J2791" s="312"/>
    </row>
    <row r="2792" spans="10:10" x14ac:dyDescent="0.2">
      <c r="J2792" s="312"/>
    </row>
    <row r="2793" spans="10:10" x14ac:dyDescent="0.2">
      <c r="J2793" s="312"/>
    </row>
    <row r="2794" spans="10:10" x14ac:dyDescent="0.2">
      <c r="J2794" s="312"/>
    </row>
    <row r="2795" spans="10:10" x14ac:dyDescent="0.2">
      <c r="J2795" s="312"/>
    </row>
    <row r="2796" spans="10:10" x14ac:dyDescent="0.2">
      <c r="J2796" s="312"/>
    </row>
    <row r="2797" spans="10:10" x14ac:dyDescent="0.2">
      <c r="J2797" s="312"/>
    </row>
    <row r="2798" spans="10:10" x14ac:dyDescent="0.2">
      <c r="J2798" s="312"/>
    </row>
    <row r="2799" spans="10:10" x14ac:dyDescent="0.2">
      <c r="J2799" s="312"/>
    </row>
    <row r="2800" spans="10:10" x14ac:dyDescent="0.2">
      <c r="J2800" s="312"/>
    </row>
    <row r="2801" spans="10:10" x14ac:dyDescent="0.2">
      <c r="J2801" s="312"/>
    </row>
    <row r="2802" spans="10:10" x14ac:dyDescent="0.2">
      <c r="J2802" s="312"/>
    </row>
    <row r="2803" spans="10:10" x14ac:dyDescent="0.2">
      <c r="J2803" s="312"/>
    </row>
    <row r="2804" spans="10:10" x14ac:dyDescent="0.2">
      <c r="J2804" s="312"/>
    </row>
    <row r="2805" spans="10:10" x14ac:dyDescent="0.2">
      <c r="J2805" s="312"/>
    </row>
    <row r="2806" spans="10:10" x14ac:dyDescent="0.2">
      <c r="J2806" s="312"/>
    </row>
    <row r="2807" spans="10:10" x14ac:dyDescent="0.2">
      <c r="J2807" s="312"/>
    </row>
    <row r="2808" spans="10:10" x14ac:dyDescent="0.2">
      <c r="J2808" s="312"/>
    </row>
    <row r="2809" spans="10:10" x14ac:dyDescent="0.2">
      <c r="J2809" s="312"/>
    </row>
    <row r="2810" spans="10:10" x14ac:dyDescent="0.2">
      <c r="J2810" s="312"/>
    </row>
    <row r="2811" spans="10:10" x14ac:dyDescent="0.2">
      <c r="J2811" s="312"/>
    </row>
    <row r="2812" spans="10:10" x14ac:dyDescent="0.2">
      <c r="J2812" s="312"/>
    </row>
    <row r="2813" spans="10:10" x14ac:dyDescent="0.2">
      <c r="J2813" s="312"/>
    </row>
    <row r="2814" spans="10:10" x14ac:dyDescent="0.2">
      <c r="J2814" s="312"/>
    </row>
    <row r="2815" spans="10:10" x14ac:dyDescent="0.2">
      <c r="J2815" s="312"/>
    </row>
    <row r="2816" spans="10:10" x14ac:dyDescent="0.2">
      <c r="J2816" s="312"/>
    </row>
    <row r="2817" spans="10:10" x14ac:dyDescent="0.2">
      <c r="J2817" s="312"/>
    </row>
    <row r="2818" spans="10:10" x14ac:dyDescent="0.2">
      <c r="J2818" s="312"/>
    </row>
    <row r="2819" spans="10:10" x14ac:dyDescent="0.2">
      <c r="J2819" s="312"/>
    </row>
    <row r="2820" spans="10:10" x14ac:dyDescent="0.2">
      <c r="J2820" s="312"/>
    </row>
    <row r="2821" spans="10:10" x14ac:dyDescent="0.2">
      <c r="J2821" s="312"/>
    </row>
    <row r="2822" spans="10:10" x14ac:dyDescent="0.2">
      <c r="J2822" s="312"/>
    </row>
    <row r="2823" spans="10:10" x14ac:dyDescent="0.2">
      <c r="J2823" s="312"/>
    </row>
    <row r="2824" spans="10:10" x14ac:dyDescent="0.2">
      <c r="J2824" s="312"/>
    </row>
    <row r="2825" spans="10:10" x14ac:dyDescent="0.2">
      <c r="J2825" s="312"/>
    </row>
    <row r="2826" spans="10:10" x14ac:dyDescent="0.2">
      <c r="J2826" s="312"/>
    </row>
    <row r="2827" spans="10:10" x14ac:dyDescent="0.2">
      <c r="J2827" s="312"/>
    </row>
    <row r="2828" spans="10:10" x14ac:dyDescent="0.2">
      <c r="J2828" s="312"/>
    </row>
    <row r="2829" spans="10:10" x14ac:dyDescent="0.2">
      <c r="J2829" s="312"/>
    </row>
    <row r="2830" spans="10:10" x14ac:dyDescent="0.2">
      <c r="J2830" s="312"/>
    </row>
    <row r="2831" spans="10:10" x14ac:dyDescent="0.2">
      <c r="J2831" s="312"/>
    </row>
    <row r="2832" spans="10:10" x14ac:dyDescent="0.2">
      <c r="J2832" s="312"/>
    </row>
    <row r="2833" spans="10:10" x14ac:dyDescent="0.2">
      <c r="J2833" s="312"/>
    </row>
    <row r="2834" spans="10:10" x14ac:dyDescent="0.2">
      <c r="J2834" s="312"/>
    </row>
    <row r="2835" spans="10:10" x14ac:dyDescent="0.2">
      <c r="J2835" s="312"/>
    </row>
    <row r="2836" spans="10:10" x14ac:dyDescent="0.2">
      <c r="J2836" s="312"/>
    </row>
    <row r="2837" spans="10:10" x14ac:dyDescent="0.2">
      <c r="J2837" s="312"/>
    </row>
    <row r="2838" spans="10:10" x14ac:dyDescent="0.2">
      <c r="J2838" s="312"/>
    </row>
    <row r="2839" spans="10:10" x14ac:dyDescent="0.2">
      <c r="J2839" s="312"/>
    </row>
    <row r="2840" spans="10:10" x14ac:dyDescent="0.2">
      <c r="J2840" s="312"/>
    </row>
    <row r="2841" spans="10:10" x14ac:dyDescent="0.2">
      <c r="J2841" s="312"/>
    </row>
    <row r="2842" spans="10:10" x14ac:dyDescent="0.2">
      <c r="J2842" s="312"/>
    </row>
    <row r="2843" spans="10:10" x14ac:dyDescent="0.2">
      <c r="J2843" s="312"/>
    </row>
    <row r="2844" spans="10:10" x14ac:dyDescent="0.2">
      <c r="J2844" s="312"/>
    </row>
    <row r="2845" spans="10:10" x14ac:dyDescent="0.2">
      <c r="J2845" s="312"/>
    </row>
    <row r="2846" spans="10:10" x14ac:dyDescent="0.2">
      <c r="J2846" s="312"/>
    </row>
    <row r="2847" spans="10:10" x14ac:dyDescent="0.2">
      <c r="J2847" s="312"/>
    </row>
    <row r="2848" spans="10:10" x14ac:dyDescent="0.2">
      <c r="J2848" s="312"/>
    </row>
    <row r="2849" spans="10:10" x14ac:dyDescent="0.2">
      <c r="J2849" s="312"/>
    </row>
    <row r="2850" spans="10:10" x14ac:dyDescent="0.2">
      <c r="J2850" s="312"/>
    </row>
    <row r="2851" spans="10:10" x14ac:dyDescent="0.2">
      <c r="J2851" s="312"/>
    </row>
    <row r="2852" spans="10:10" x14ac:dyDescent="0.2">
      <c r="J2852" s="312"/>
    </row>
    <row r="2853" spans="10:10" x14ac:dyDescent="0.2">
      <c r="J2853" s="312"/>
    </row>
    <row r="2854" spans="10:10" x14ac:dyDescent="0.2">
      <c r="J2854" s="312"/>
    </row>
    <row r="2855" spans="10:10" x14ac:dyDescent="0.2">
      <c r="J2855" s="312"/>
    </row>
    <row r="2856" spans="10:10" x14ac:dyDescent="0.2">
      <c r="J2856" s="312"/>
    </row>
    <row r="2857" spans="10:10" x14ac:dyDescent="0.2">
      <c r="J2857" s="312"/>
    </row>
    <row r="2858" spans="10:10" x14ac:dyDescent="0.2">
      <c r="J2858" s="312"/>
    </row>
    <row r="2859" spans="10:10" x14ac:dyDescent="0.2">
      <c r="J2859" s="312"/>
    </row>
    <row r="2860" spans="10:10" x14ac:dyDescent="0.2">
      <c r="J2860" s="312"/>
    </row>
    <row r="2861" spans="10:10" x14ac:dyDescent="0.2">
      <c r="J2861" s="312"/>
    </row>
    <row r="2862" spans="10:10" x14ac:dyDescent="0.2">
      <c r="J2862" s="312"/>
    </row>
    <row r="2863" spans="10:10" x14ac:dyDescent="0.2">
      <c r="J2863" s="312"/>
    </row>
    <row r="2864" spans="10:10" x14ac:dyDescent="0.2">
      <c r="J2864" s="312"/>
    </row>
    <row r="2865" spans="10:10" x14ac:dyDescent="0.2">
      <c r="J2865" s="312"/>
    </row>
    <row r="2866" spans="10:10" x14ac:dyDescent="0.2">
      <c r="J2866" s="312"/>
    </row>
    <row r="2867" spans="10:10" x14ac:dyDescent="0.2">
      <c r="J2867" s="312"/>
    </row>
    <row r="2868" spans="10:10" x14ac:dyDescent="0.2">
      <c r="J2868" s="312"/>
    </row>
    <row r="2869" spans="10:10" x14ac:dyDescent="0.2">
      <c r="J2869" s="312"/>
    </row>
    <row r="2870" spans="10:10" x14ac:dyDescent="0.2">
      <c r="J2870" s="312"/>
    </row>
    <row r="2871" spans="10:10" x14ac:dyDescent="0.2">
      <c r="J2871" s="312"/>
    </row>
    <row r="2872" spans="10:10" x14ac:dyDescent="0.2">
      <c r="J2872" s="312"/>
    </row>
    <row r="2873" spans="10:10" x14ac:dyDescent="0.2">
      <c r="J2873" s="312"/>
    </row>
    <row r="2874" spans="10:10" x14ac:dyDescent="0.2">
      <c r="J2874" s="312"/>
    </row>
    <row r="2875" spans="10:10" x14ac:dyDescent="0.2">
      <c r="J2875" s="312"/>
    </row>
    <row r="2876" spans="10:10" x14ac:dyDescent="0.2">
      <c r="J2876" s="312"/>
    </row>
    <row r="2877" spans="10:10" x14ac:dyDescent="0.2">
      <c r="J2877" s="312"/>
    </row>
    <row r="2878" spans="10:10" x14ac:dyDescent="0.2">
      <c r="J2878" s="312"/>
    </row>
    <row r="2879" spans="10:10" x14ac:dyDescent="0.2">
      <c r="J2879" s="312"/>
    </row>
    <row r="2880" spans="10:10" x14ac:dyDescent="0.2">
      <c r="J2880" s="312"/>
    </row>
    <row r="2881" spans="10:10" x14ac:dyDescent="0.2">
      <c r="J2881" s="312"/>
    </row>
    <row r="2882" spans="10:10" x14ac:dyDescent="0.2">
      <c r="J2882" s="312"/>
    </row>
    <row r="2883" spans="10:10" x14ac:dyDescent="0.2">
      <c r="J2883" s="312"/>
    </row>
    <row r="2884" spans="10:10" x14ac:dyDescent="0.2">
      <c r="J2884" s="312"/>
    </row>
    <row r="2885" spans="10:10" x14ac:dyDescent="0.2">
      <c r="J2885" s="312"/>
    </row>
    <row r="2886" spans="10:10" x14ac:dyDescent="0.2">
      <c r="J2886" s="312"/>
    </row>
    <row r="2887" spans="10:10" x14ac:dyDescent="0.2">
      <c r="J2887" s="312"/>
    </row>
    <row r="2888" spans="10:10" x14ac:dyDescent="0.2">
      <c r="J2888" s="312"/>
    </row>
    <row r="2889" spans="10:10" x14ac:dyDescent="0.2">
      <c r="J2889" s="312"/>
    </row>
    <row r="2890" spans="10:10" x14ac:dyDescent="0.2">
      <c r="J2890" s="312"/>
    </row>
    <row r="2891" spans="10:10" x14ac:dyDescent="0.2">
      <c r="J2891" s="312"/>
    </row>
    <row r="2892" spans="10:10" x14ac:dyDescent="0.2">
      <c r="J2892" s="312"/>
    </row>
    <row r="2893" spans="10:10" x14ac:dyDescent="0.2">
      <c r="J2893" s="312"/>
    </row>
    <row r="2894" spans="10:10" x14ac:dyDescent="0.2">
      <c r="J2894" s="312"/>
    </row>
    <row r="2895" spans="10:10" x14ac:dyDescent="0.2">
      <c r="J2895" s="312"/>
    </row>
    <row r="2896" spans="10:10" x14ac:dyDescent="0.2">
      <c r="J2896" s="312"/>
    </row>
    <row r="2897" spans="10:10" x14ac:dyDescent="0.2">
      <c r="J2897" s="312"/>
    </row>
    <row r="2898" spans="10:10" x14ac:dyDescent="0.2">
      <c r="J2898" s="312"/>
    </row>
    <row r="2899" spans="10:10" x14ac:dyDescent="0.2">
      <c r="J2899" s="312"/>
    </row>
    <row r="2900" spans="10:10" x14ac:dyDescent="0.2">
      <c r="J2900" s="312"/>
    </row>
    <row r="2901" spans="10:10" x14ac:dyDescent="0.2">
      <c r="J2901" s="312"/>
    </row>
    <row r="2902" spans="10:10" x14ac:dyDescent="0.2">
      <c r="J2902" s="312"/>
    </row>
    <row r="2903" spans="10:10" x14ac:dyDescent="0.2">
      <c r="J2903" s="312"/>
    </row>
    <row r="2904" spans="10:10" x14ac:dyDescent="0.2">
      <c r="J2904" s="312"/>
    </row>
    <row r="2905" spans="10:10" x14ac:dyDescent="0.2">
      <c r="J2905" s="312"/>
    </row>
    <row r="2906" spans="10:10" x14ac:dyDescent="0.2">
      <c r="J2906" s="312"/>
    </row>
    <row r="2907" spans="10:10" x14ac:dyDescent="0.2">
      <c r="J2907" s="312"/>
    </row>
    <row r="2908" spans="10:10" x14ac:dyDescent="0.2">
      <c r="J2908" s="312"/>
    </row>
    <row r="2909" spans="10:10" x14ac:dyDescent="0.2">
      <c r="J2909" s="312"/>
    </row>
    <row r="2910" spans="10:10" x14ac:dyDescent="0.2">
      <c r="J2910" s="312"/>
    </row>
    <row r="2911" spans="10:10" x14ac:dyDescent="0.2">
      <c r="J2911" s="312"/>
    </row>
    <row r="2912" spans="10:10" x14ac:dyDescent="0.2">
      <c r="J2912" s="312"/>
    </row>
    <row r="2913" spans="10:10" x14ac:dyDescent="0.2">
      <c r="J2913" s="312"/>
    </row>
    <row r="2914" spans="10:10" x14ac:dyDescent="0.2">
      <c r="J2914" s="312"/>
    </row>
    <row r="2915" spans="10:10" x14ac:dyDescent="0.2">
      <c r="J2915" s="312"/>
    </row>
    <row r="2916" spans="10:10" x14ac:dyDescent="0.2">
      <c r="J2916" s="312"/>
    </row>
    <row r="2917" spans="10:10" x14ac:dyDescent="0.2">
      <c r="J2917" s="312"/>
    </row>
    <row r="2918" spans="10:10" x14ac:dyDescent="0.2">
      <c r="J2918" s="312"/>
    </row>
    <row r="2919" spans="10:10" x14ac:dyDescent="0.2">
      <c r="J2919" s="312"/>
    </row>
    <row r="2920" spans="10:10" x14ac:dyDescent="0.2">
      <c r="J2920" s="312"/>
    </row>
    <row r="2921" spans="10:10" x14ac:dyDescent="0.2">
      <c r="J2921" s="312"/>
    </row>
    <row r="2922" spans="10:10" x14ac:dyDescent="0.2">
      <c r="J2922" s="312"/>
    </row>
    <row r="2923" spans="10:10" x14ac:dyDescent="0.2">
      <c r="J2923" s="312"/>
    </row>
    <row r="2924" spans="10:10" x14ac:dyDescent="0.2">
      <c r="J2924" s="312"/>
    </row>
    <row r="2925" spans="10:10" x14ac:dyDescent="0.2">
      <c r="J2925" s="312"/>
    </row>
    <row r="2926" spans="10:10" x14ac:dyDescent="0.2">
      <c r="J2926" s="312"/>
    </row>
    <row r="2927" spans="10:10" x14ac:dyDescent="0.2">
      <c r="J2927" s="312"/>
    </row>
    <row r="2928" spans="10:10" x14ac:dyDescent="0.2">
      <c r="J2928" s="312"/>
    </row>
    <row r="2929" spans="10:10" x14ac:dyDescent="0.2">
      <c r="J2929" s="312"/>
    </row>
    <row r="2930" spans="10:10" x14ac:dyDescent="0.2">
      <c r="J2930" s="312"/>
    </row>
    <row r="2931" spans="10:10" x14ac:dyDescent="0.2">
      <c r="J2931" s="312"/>
    </row>
    <row r="2932" spans="10:10" x14ac:dyDescent="0.2">
      <c r="J2932" s="312"/>
    </row>
    <row r="2933" spans="10:10" x14ac:dyDescent="0.2">
      <c r="J2933" s="312"/>
    </row>
    <row r="2934" spans="10:10" x14ac:dyDescent="0.2">
      <c r="J2934" s="312"/>
    </row>
    <row r="2935" spans="10:10" x14ac:dyDescent="0.2">
      <c r="J2935" s="312"/>
    </row>
    <row r="2936" spans="10:10" x14ac:dyDescent="0.2">
      <c r="J2936" s="312"/>
    </row>
    <row r="2937" spans="10:10" x14ac:dyDescent="0.2">
      <c r="J2937" s="312"/>
    </row>
    <row r="2938" spans="10:10" x14ac:dyDescent="0.2">
      <c r="J2938" s="312"/>
    </row>
    <row r="2939" spans="10:10" x14ac:dyDescent="0.2">
      <c r="J2939" s="312"/>
    </row>
    <row r="2940" spans="10:10" x14ac:dyDescent="0.2">
      <c r="J2940" s="312"/>
    </row>
    <row r="2941" spans="10:10" x14ac:dyDescent="0.2">
      <c r="J2941" s="312"/>
    </row>
    <row r="2942" spans="10:10" x14ac:dyDescent="0.2">
      <c r="J2942" s="312"/>
    </row>
    <row r="2943" spans="10:10" x14ac:dyDescent="0.2">
      <c r="J2943" s="312"/>
    </row>
    <row r="2944" spans="10:10" x14ac:dyDescent="0.2">
      <c r="J2944" s="312"/>
    </row>
    <row r="2945" spans="10:10" x14ac:dyDescent="0.2">
      <c r="J2945" s="312"/>
    </row>
    <row r="2946" spans="10:10" x14ac:dyDescent="0.2">
      <c r="J2946" s="312"/>
    </row>
    <row r="2947" spans="10:10" x14ac:dyDescent="0.2">
      <c r="J2947" s="312"/>
    </row>
    <row r="2948" spans="10:10" x14ac:dyDescent="0.2">
      <c r="J2948" s="312"/>
    </row>
    <row r="2949" spans="10:10" x14ac:dyDescent="0.2">
      <c r="J2949" s="312"/>
    </row>
    <row r="2950" spans="10:10" x14ac:dyDescent="0.2">
      <c r="J2950" s="312"/>
    </row>
    <row r="2951" spans="10:10" x14ac:dyDescent="0.2">
      <c r="J2951" s="312"/>
    </row>
    <row r="2952" spans="10:10" x14ac:dyDescent="0.2">
      <c r="J2952" s="312"/>
    </row>
    <row r="2953" spans="10:10" x14ac:dyDescent="0.2">
      <c r="J2953" s="312"/>
    </row>
    <row r="2954" spans="10:10" x14ac:dyDescent="0.2">
      <c r="J2954" s="312"/>
    </row>
    <row r="2955" spans="10:10" x14ac:dyDescent="0.2">
      <c r="J2955" s="312"/>
    </row>
    <row r="2956" spans="10:10" x14ac:dyDescent="0.2">
      <c r="J2956" s="312"/>
    </row>
    <row r="2957" spans="10:10" x14ac:dyDescent="0.2">
      <c r="J2957" s="312"/>
    </row>
    <row r="2958" spans="10:10" x14ac:dyDescent="0.2">
      <c r="J2958" s="312"/>
    </row>
    <row r="2959" spans="10:10" x14ac:dyDescent="0.2">
      <c r="J2959" s="312"/>
    </row>
    <row r="2960" spans="10:10" x14ac:dyDescent="0.2">
      <c r="J2960" s="312"/>
    </row>
    <row r="2961" spans="10:10" x14ac:dyDescent="0.2">
      <c r="J2961" s="312"/>
    </row>
    <row r="2962" spans="10:10" x14ac:dyDescent="0.2">
      <c r="J2962" s="312"/>
    </row>
    <row r="2963" spans="10:10" x14ac:dyDescent="0.2">
      <c r="J2963" s="312"/>
    </row>
    <row r="2964" spans="10:10" x14ac:dyDescent="0.2">
      <c r="J2964" s="312"/>
    </row>
    <row r="2965" spans="10:10" x14ac:dyDescent="0.2">
      <c r="J2965" s="312"/>
    </row>
    <row r="2966" spans="10:10" x14ac:dyDescent="0.2">
      <c r="J2966" s="312"/>
    </row>
    <row r="2967" spans="10:10" x14ac:dyDescent="0.2">
      <c r="J2967" s="312"/>
    </row>
    <row r="2968" spans="10:10" x14ac:dyDescent="0.2">
      <c r="J2968" s="312"/>
    </row>
    <row r="2969" spans="10:10" x14ac:dyDescent="0.2">
      <c r="J2969" s="312"/>
    </row>
    <row r="2970" spans="10:10" x14ac:dyDescent="0.2">
      <c r="J2970" s="312"/>
    </row>
    <row r="2971" spans="10:10" x14ac:dyDescent="0.2">
      <c r="J2971" s="312"/>
    </row>
    <row r="2972" spans="10:10" x14ac:dyDescent="0.2">
      <c r="J2972" s="312"/>
    </row>
    <row r="2973" spans="10:10" x14ac:dyDescent="0.2">
      <c r="J2973" s="312"/>
    </row>
    <row r="2974" spans="10:10" x14ac:dyDescent="0.2">
      <c r="J2974" s="312"/>
    </row>
    <row r="2975" spans="10:10" x14ac:dyDescent="0.2">
      <c r="J2975" s="312"/>
    </row>
    <row r="2976" spans="10:10" x14ac:dyDescent="0.2">
      <c r="J2976" s="312"/>
    </row>
    <row r="2977" spans="10:10" x14ac:dyDescent="0.2">
      <c r="J2977" s="312"/>
    </row>
    <row r="2978" spans="10:10" x14ac:dyDescent="0.2">
      <c r="J2978" s="312"/>
    </row>
    <row r="2979" spans="10:10" x14ac:dyDescent="0.2">
      <c r="J2979" s="312"/>
    </row>
    <row r="2980" spans="10:10" x14ac:dyDescent="0.2">
      <c r="J2980" s="312"/>
    </row>
    <row r="2981" spans="10:10" x14ac:dyDescent="0.2">
      <c r="J2981" s="312"/>
    </row>
    <row r="2982" spans="10:10" x14ac:dyDescent="0.2">
      <c r="J2982" s="312"/>
    </row>
    <row r="2983" spans="10:10" x14ac:dyDescent="0.2">
      <c r="J2983" s="312"/>
    </row>
    <row r="2984" spans="10:10" x14ac:dyDescent="0.2">
      <c r="J2984" s="312"/>
    </row>
    <row r="2985" spans="10:10" x14ac:dyDescent="0.2">
      <c r="J2985" s="312"/>
    </row>
    <row r="2986" spans="10:10" x14ac:dyDescent="0.2">
      <c r="J2986" s="312"/>
    </row>
    <row r="2987" spans="10:10" x14ac:dyDescent="0.2">
      <c r="J2987" s="312"/>
    </row>
    <row r="2988" spans="10:10" x14ac:dyDescent="0.2">
      <c r="J2988" s="312"/>
    </row>
    <row r="2989" spans="10:10" x14ac:dyDescent="0.2">
      <c r="J2989" s="312"/>
    </row>
    <row r="2990" spans="10:10" x14ac:dyDescent="0.2">
      <c r="J2990" s="312"/>
    </row>
    <row r="2991" spans="10:10" x14ac:dyDescent="0.2">
      <c r="J2991" s="312"/>
    </row>
    <row r="2992" spans="10:10" x14ac:dyDescent="0.2">
      <c r="J2992" s="312"/>
    </row>
    <row r="2993" spans="10:10" x14ac:dyDescent="0.2">
      <c r="J2993" s="312"/>
    </row>
    <row r="2994" spans="10:10" x14ac:dyDescent="0.2">
      <c r="J2994" s="312"/>
    </row>
    <row r="2995" spans="10:10" x14ac:dyDescent="0.2">
      <c r="J2995" s="312"/>
    </row>
    <row r="2996" spans="10:10" x14ac:dyDescent="0.2">
      <c r="J2996" s="312"/>
    </row>
    <row r="2997" spans="10:10" x14ac:dyDescent="0.2">
      <c r="J2997" s="312"/>
    </row>
    <row r="2998" spans="10:10" x14ac:dyDescent="0.2">
      <c r="J2998" s="312"/>
    </row>
    <row r="2999" spans="10:10" x14ac:dyDescent="0.2">
      <c r="J2999" s="312"/>
    </row>
    <row r="3000" spans="10:10" x14ac:dyDescent="0.2">
      <c r="J3000" s="312"/>
    </row>
    <row r="3001" spans="10:10" x14ac:dyDescent="0.2">
      <c r="J3001" s="312"/>
    </row>
    <row r="3002" spans="10:10" x14ac:dyDescent="0.2">
      <c r="J3002" s="312"/>
    </row>
    <row r="3003" spans="10:10" x14ac:dyDescent="0.2">
      <c r="J3003" s="312"/>
    </row>
    <row r="3004" spans="10:10" x14ac:dyDescent="0.2">
      <c r="J3004" s="312"/>
    </row>
    <row r="3005" spans="10:10" x14ac:dyDescent="0.2">
      <c r="J3005" s="312"/>
    </row>
    <row r="3006" spans="10:10" x14ac:dyDescent="0.2">
      <c r="J3006" s="312"/>
    </row>
    <row r="3007" spans="10:10" x14ac:dyDescent="0.2">
      <c r="J3007" s="312"/>
    </row>
    <row r="3008" spans="10:10" x14ac:dyDescent="0.2">
      <c r="J3008" s="312"/>
    </row>
    <row r="3009" spans="10:10" x14ac:dyDescent="0.2">
      <c r="J3009" s="312"/>
    </row>
    <row r="3010" spans="10:10" x14ac:dyDescent="0.2">
      <c r="J3010" s="312"/>
    </row>
    <row r="3011" spans="10:10" x14ac:dyDescent="0.2">
      <c r="J3011" s="312"/>
    </row>
    <row r="3012" spans="10:10" x14ac:dyDescent="0.2">
      <c r="J3012" s="312"/>
    </row>
    <row r="3013" spans="10:10" x14ac:dyDescent="0.2">
      <c r="J3013" s="312"/>
    </row>
    <row r="3014" spans="10:10" x14ac:dyDescent="0.2">
      <c r="J3014" s="312"/>
    </row>
    <row r="3015" spans="10:10" x14ac:dyDescent="0.2">
      <c r="J3015" s="312"/>
    </row>
    <row r="3016" spans="10:10" x14ac:dyDescent="0.2">
      <c r="J3016" s="312"/>
    </row>
    <row r="3017" spans="10:10" x14ac:dyDescent="0.2">
      <c r="J3017" s="312"/>
    </row>
    <row r="3018" spans="10:10" x14ac:dyDescent="0.2">
      <c r="J3018" s="312"/>
    </row>
    <row r="3019" spans="10:10" x14ac:dyDescent="0.2">
      <c r="J3019" s="312"/>
    </row>
    <row r="3020" spans="10:10" x14ac:dyDescent="0.2">
      <c r="J3020" s="312"/>
    </row>
    <row r="3021" spans="10:10" x14ac:dyDescent="0.2">
      <c r="J3021" s="312"/>
    </row>
    <row r="3022" spans="10:10" x14ac:dyDescent="0.2">
      <c r="J3022" s="312"/>
    </row>
    <row r="3023" spans="10:10" x14ac:dyDescent="0.2">
      <c r="J3023" s="312"/>
    </row>
    <row r="3024" spans="10:10" x14ac:dyDescent="0.2">
      <c r="J3024" s="312"/>
    </row>
    <row r="3025" spans="10:10" x14ac:dyDescent="0.2">
      <c r="J3025" s="312"/>
    </row>
    <row r="3026" spans="10:10" x14ac:dyDescent="0.2">
      <c r="J3026" s="312"/>
    </row>
    <row r="3027" spans="10:10" x14ac:dyDescent="0.2">
      <c r="J3027" s="312"/>
    </row>
    <row r="3028" spans="10:10" x14ac:dyDescent="0.2">
      <c r="J3028" s="312"/>
    </row>
    <row r="3029" spans="10:10" x14ac:dyDescent="0.2">
      <c r="J3029" s="312"/>
    </row>
    <row r="3030" spans="10:10" x14ac:dyDescent="0.2">
      <c r="J3030" s="312"/>
    </row>
    <row r="3031" spans="10:10" x14ac:dyDescent="0.2">
      <c r="J3031" s="312"/>
    </row>
    <row r="3032" spans="10:10" x14ac:dyDescent="0.2">
      <c r="J3032" s="312"/>
    </row>
    <row r="3033" spans="10:10" x14ac:dyDescent="0.2">
      <c r="J3033" s="312"/>
    </row>
    <row r="3034" spans="10:10" x14ac:dyDescent="0.2">
      <c r="J3034" s="312"/>
    </row>
    <row r="3035" spans="10:10" x14ac:dyDescent="0.2">
      <c r="J3035" s="312"/>
    </row>
    <row r="3036" spans="10:10" x14ac:dyDescent="0.2">
      <c r="J3036" s="312"/>
    </row>
    <row r="3037" spans="10:10" x14ac:dyDescent="0.2">
      <c r="J3037" s="312"/>
    </row>
    <row r="3038" spans="10:10" x14ac:dyDescent="0.2">
      <c r="J3038" s="312"/>
    </row>
    <row r="3039" spans="10:10" x14ac:dyDescent="0.2">
      <c r="J3039" s="312"/>
    </row>
    <row r="3040" spans="10:10" x14ac:dyDescent="0.2">
      <c r="J3040" s="312"/>
    </row>
    <row r="3041" spans="10:10" x14ac:dyDescent="0.2">
      <c r="J3041" s="312"/>
    </row>
    <row r="3042" spans="10:10" x14ac:dyDescent="0.2">
      <c r="J3042" s="312"/>
    </row>
    <row r="3043" spans="10:10" x14ac:dyDescent="0.2">
      <c r="J3043" s="312"/>
    </row>
    <row r="3044" spans="10:10" x14ac:dyDescent="0.2">
      <c r="J3044" s="312"/>
    </row>
    <row r="3045" spans="10:10" x14ac:dyDescent="0.2">
      <c r="J3045" s="312"/>
    </row>
    <row r="3046" spans="10:10" x14ac:dyDescent="0.2">
      <c r="J3046" s="312"/>
    </row>
    <row r="3047" spans="10:10" x14ac:dyDescent="0.2">
      <c r="J3047" s="312"/>
    </row>
    <row r="3048" spans="10:10" x14ac:dyDescent="0.2">
      <c r="J3048" s="312"/>
    </row>
    <row r="3049" spans="10:10" x14ac:dyDescent="0.2">
      <c r="J3049" s="312"/>
    </row>
    <row r="3050" spans="10:10" x14ac:dyDescent="0.2">
      <c r="J3050" s="312"/>
    </row>
    <row r="3051" spans="10:10" x14ac:dyDescent="0.2">
      <c r="J3051" s="312"/>
    </row>
    <row r="3052" spans="10:10" x14ac:dyDescent="0.2">
      <c r="J3052" s="312"/>
    </row>
    <row r="3053" spans="10:10" x14ac:dyDescent="0.2">
      <c r="J3053" s="312"/>
    </row>
    <row r="3054" spans="10:10" x14ac:dyDescent="0.2">
      <c r="J3054" s="312"/>
    </row>
    <row r="3055" spans="10:10" x14ac:dyDescent="0.2">
      <c r="J3055" s="312"/>
    </row>
    <row r="3056" spans="10:10" x14ac:dyDescent="0.2">
      <c r="J3056" s="312"/>
    </row>
    <row r="3057" spans="10:10" x14ac:dyDescent="0.2">
      <c r="J3057" s="312"/>
    </row>
    <row r="3058" spans="10:10" x14ac:dyDescent="0.2">
      <c r="J3058" s="312"/>
    </row>
    <row r="3059" spans="10:10" x14ac:dyDescent="0.2">
      <c r="J3059" s="312"/>
    </row>
    <row r="3060" spans="10:10" x14ac:dyDescent="0.2">
      <c r="J3060" s="312"/>
    </row>
    <row r="3061" spans="10:10" x14ac:dyDescent="0.2">
      <c r="J3061" s="312"/>
    </row>
    <row r="3062" spans="10:10" x14ac:dyDescent="0.2">
      <c r="J3062" s="312"/>
    </row>
    <row r="3063" spans="10:10" x14ac:dyDescent="0.2">
      <c r="J3063" s="312"/>
    </row>
    <row r="3064" spans="10:10" x14ac:dyDescent="0.2">
      <c r="J3064" s="312"/>
    </row>
    <row r="3065" spans="10:10" x14ac:dyDescent="0.2">
      <c r="J3065" s="312"/>
    </row>
    <row r="3066" spans="10:10" x14ac:dyDescent="0.2">
      <c r="J3066" s="312"/>
    </row>
    <row r="3067" spans="10:10" x14ac:dyDescent="0.2">
      <c r="J3067" s="312"/>
    </row>
    <row r="3068" spans="10:10" x14ac:dyDescent="0.2">
      <c r="J3068" s="312"/>
    </row>
    <row r="3069" spans="10:10" x14ac:dyDescent="0.2">
      <c r="J3069" s="312"/>
    </row>
    <row r="3070" spans="10:10" x14ac:dyDescent="0.2">
      <c r="J3070" s="312"/>
    </row>
    <row r="3071" spans="10:10" x14ac:dyDescent="0.2">
      <c r="J3071" s="312"/>
    </row>
    <row r="3072" spans="10:10" x14ac:dyDescent="0.2">
      <c r="J3072" s="312"/>
    </row>
    <row r="3073" spans="10:10" x14ac:dyDescent="0.2">
      <c r="J3073" s="312"/>
    </row>
    <row r="3074" spans="10:10" x14ac:dyDescent="0.2">
      <c r="J3074" s="312"/>
    </row>
    <row r="3075" spans="10:10" x14ac:dyDescent="0.2">
      <c r="J3075" s="312"/>
    </row>
    <row r="3076" spans="10:10" x14ac:dyDescent="0.2">
      <c r="J3076" s="312"/>
    </row>
    <row r="3077" spans="10:10" x14ac:dyDescent="0.2">
      <c r="J3077" s="312"/>
    </row>
    <row r="3078" spans="10:10" x14ac:dyDescent="0.2">
      <c r="J3078" s="312"/>
    </row>
    <row r="3079" spans="10:10" x14ac:dyDescent="0.2">
      <c r="J3079" s="312"/>
    </row>
    <row r="3080" spans="10:10" x14ac:dyDescent="0.2">
      <c r="J3080" s="312"/>
    </row>
    <row r="3081" spans="10:10" x14ac:dyDescent="0.2">
      <c r="J3081" s="312"/>
    </row>
    <row r="3082" spans="10:10" x14ac:dyDescent="0.2">
      <c r="J3082" s="312"/>
    </row>
    <row r="3083" spans="10:10" x14ac:dyDescent="0.2">
      <c r="J3083" s="312"/>
    </row>
    <row r="3084" spans="10:10" x14ac:dyDescent="0.2">
      <c r="J3084" s="312"/>
    </row>
    <row r="3085" spans="10:10" x14ac:dyDescent="0.2">
      <c r="J3085" s="312"/>
    </row>
    <row r="3086" spans="10:10" x14ac:dyDescent="0.2">
      <c r="J3086" s="312"/>
    </row>
    <row r="3087" spans="10:10" x14ac:dyDescent="0.2">
      <c r="J3087" s="312"/>
    </row>
    <row r="3088" spans="10:10" x14ac:dyDescent="0.2">
      <c r="J3088" s="312"/>
    </row>
    <row r="3089" spans="10:10" x14ac:dyDescent="0.2">
      <c r="J3089" s="312"/>
    </row>
    <row r="3090" spans="10:10" x14ac:dyDescent="0.2">
      <c r="J3090" s="312"/>
    </row>
    <row r="3091" spans="10:10" x14ac:dyDescent="0.2">
      <c r="J3091" s="312"/>
    </row>
    <row r="3092" spans="10:10" x14ac:dyDescent="0.2">
      <c r="J3092" s="312"/>
    </row>
    <row r="3093" spans="10:10" x14ac:dyDescent="0.2">
      <c r="J3093" s="312"/>
    </row>
    <row r="3094" spans="10:10" x14ac:dyDescent="0.2">
      <c r="J3094" s="312"/>
    </row>
    <row r="3095" spans="10:10" x14ac:dyDescent="0.2">
      <c r="J3095" s="312"/>
    </row>
    <row r="3096" spans="10:10" x14ac:dyDescent="0.2">
      <c r="J3096" s="312"/>
    </row>
    <row r="3097" spans="10:10" x14ac:dyDescent="0.2">
      <c r="J3097" s="312"/>
    </row>
    <row r="3098" spans="10:10" x14ac:dyDescent="0.2">
      <c r="J3098" s="312"/>
    </row>
    <row r="3099" spans="10:10" x14ac:dyDescent="0.2">
      <c r="J3099" s="312"/>
    </row>
    <row r="3100" spans="10:10" x14ac:dyDescent="0.2">
      <c r="J3100" s="312"/>
    </row>
    <row r="3101" spans="10:10" x14ac:dyDescent="0.2">
      <c r="J3101" s="312"/>
    </row>
    <row r="3102" spans="10:10" x14ac:dyDescent="0.2">
      <c r="J3102" s="312"/>
    </row>
    <row r="3103" spans="10:10" x14ac:dyDescent="0.2">
      <c r="J3103" s="312"/>
    </row>
    <row r="3104" spans="10:10" x14ac:dyDescent="0.2">
      <c r="J3104" s="312"/>
    </row>
    <row r="3105" spans="10:10" x14ac:dyDescent="0.2">
      <c r="J3105" s="312"/>
    </row>
    <row r="3106" spans="10:10" x14ac:dyDescent="0.2">
      <c r="J3106" s="312"/>
    </row>
    <row r="3107" spans="10:10" x14ac:dyDescent="0.2">
      <c r="J3107" s="312"/>
    </row>
    <row r="3108" spans="10:10" x14ac:dyDescent="0.2">
      <c r="J3108" s="312"/>
    </row>
    <row r="3109" spans="10:10" x14ac:dyDescent="0.2">
      <c r="J3109" s="312"/>
    </row>
    <row r="3110" spans="10:10" x14ac:dyDescent="0.2">
      <c r="J3110" s="312"/>
    </row>
    <row r="3111" spans="10:10" x14ac:dyDescent="0.2">
      <c r="J3111" s="312"/>
    </row>
    <row r="3112" spans="10:10" x14ac:dyDescent="0.2">
      <c r="J3112" s="312"/>
    </row>
    <row r="3113" spans="10:10" x14ac:dyDescent="0.2">
      <c r="J3113" s="312"/>
    </row>
    <row r="3114" spans="10:10" x14ac:dyDescent="0.2">
      <c r="J3114" s="312"/>
    </row>
    <row r="3115" spans="10:10" x14ac:dyDescent="0.2">
      <c r="J3115" s="312"/>
    </row>
    <row r="3116" spans="10:10" x14ac:dyDescent="0.2">
      <c r="J3116" s="312"/>
    </row>
    <row r="3117" spans="10:10" x14ac:dyDescent="0.2">
      <c r="J3117" s="312"/>
    </row>
    <row r="3118" spans="10:10" x14ac:dyDescent="0.2">
      <c r="J3118" s="312"/>
    </row>
    <row r="3119" spans="10:10" x14ac:dyDescent="0.2">
      <c r="J3119" s="312"/>
    </row>
    <row r="3120" spans="10:10" x14ac:dyDescent="0.2">
      <c r="J3120" s="312"/>
    </row>
    <row r="3121" spans="10:10" x14ac:dyDescent="0.2">
      <c r="J3121" s="312"/>
    </row>
    <row r="3122" spans="10:10" x14ac:dyDescent="0.2">
      <c r="J3122" s="312"/>
    </row>
    <row r="3123" spans="10:10" x14ac:dyDescent="0.2">
      <c r="J3123" s="312"/>
    </row>
    <row r="3124" spans="10:10" x14ac:dyDescent="0.2">
      <c r="J3124" s="312"/>
    </row>
    <row r="3125" spans="10:10" x14ac:dyDescent="0.2">
      <c r="J3125" s="312"/>
    </row>
    <row r="3126" spans="10:10" x14ac:dyDescent="0.2">
      <c r="J3126" s="312"/>
    </row>
    <row r="3127" spans="10:10" x14ac:dyDescent="0.2">
      <c r="J3127" s="312"/>
    </row>
    <row r="3128" spans="10:10" x14ac:dyDescent="0.2">
      <c r="J3128" s="312"/>
    </row>
    <row r="3129" spans="10:10" x14ac:dyDescent="0.2">
      <c r="J3129" s="312"/>
    </row>
    <row r="3130" spans="10:10" x14ac:dyDescent="0.2">
      <c r="J3130" s="312"/>
    </row>
    <row r="3131" spans="10:10" x14ac:dyDescent="0.2">
      <c r="J3131" s="312"/>
    </row>
    <row r="3132" spans="10:10" x14ac:dyDescent="0.2">
      <c r="J3132" s="312"/>
    </row>
    <row r="3133" spans="10:10" x14ac:dyDescent="0.2">
      <c r="J3133" s="312"/>
    </row>
    <row r="3134" spans="10:10" x14ac:dyDescent="0.2">
      <c r="J3134" s="312"/>
    </row>
    <row r="3135" spans="10:10" x14ac:dyDescent="0.2">
      <c r="J3135" s="312"/>
    </row>
    <row r="3136" spans="10:10" x14ac:dyDescent="0.2">
      <c r="J3136" s="312"/>
    </row>
    <row r="3137" spans="10:10" x14ac:dyDescent="0.2">
      <c r="J3137" s="312"/>
    </row>
    <row r="3138" spans="10:10" x14ac:dyDescent="0.2">
      <c r="J3138" s="312"/>
    </row>
    <row r="3139" spans="10:10" x14ac:dyDescent="0.2">
      <c r="J3139" s="312"/>
    </row>
    <row r="3140" spans="10:10" x14ac:dyDescent="0.2">
      <c r="J3140" s="312"/>
    </row>
    <row r="3141" spans="10:10" x14ac:dyDescent="0.2">
      <c r="J3141" s="312"/>
    </row>
    <row r="3142" spans="10:10" x14ac:dyDescent="0.2">
      <c r="J3142" s="312"/>
    </row>
    <row r="3143" spans="10:10" x14ac:dyDescent="0.2">
      <c r="J3143" s="312"/>
    </row>
    <row r="3144" spans="10:10" x14ac:dyDescent="0.2">
      <c r="J3144" s="312"/>
    </row>
    <row r="3145" spans="10:10" x14ac:dyDescent="0.2">
      <c r="J3145" s="312"/>
    </row>
    <row r="3146" spans="10:10" x14ac:dyDescent="0.2">
      <c r="J3146" s="312"/>
    </row>
    <row r="3147" spans="10:10" x14ac:dyDescent="0.2">
      <c r="J3147" s="312"/>
    </row>
    <row r="3148" spans="10:10" x14ac:dyDescent="0.2">
      <c r="J3148" s="312"/>
    </row>
    <row r="3149" spans="10:10" x14ac:dyDescent="0.2">
      <c r="J3149" s="312"/>
    </row>
    <row r="3150" spans="10:10" x14ac:dyDescent="0.2">
      <c r="J3150" s="312"/>
    </row>
    <row r="3151" spans="10:10" x14ac:dyDescent="0.2">
      <c r="J3151" s="312"/>
    </row>
    <row r="3152" spans="10:10" x14ac:dyDescent="0.2">
      <c r="J3152" s="312"/>
    </row>
    <row r="3153" spans="10:10" x14ac:dyDescent="0.2">
      <c r="J3153" s="312"/>
    </row>
    <row r="3154" spans="10:10" x14ac:dyDescent="0.2">
      <c r="J3154" s="312"/>
    </row>
    <row r="3155" spans="10:10" x14ac:dyDescent="0.2">
      <c r="J3155" s="312"/>
    </row>
    <row r="3156" spans="10:10" x14ac:dyDescent="0.2">
      <c r="J3156" s="312"/>
    </row>
    <row r="3157" spans="10:10" x14ac:dyDescent="0.2">
      <c r="J3157" s="312"/>
    </row>
    <row r="3158" spans="10:10" x14ac:dyDescent="0.2">
      <c r="J3158" s="312"/>
    </row>
    <row r="3159" spans="10:10" x14ac:dyDescent="0.2">
      <c r="J3159" s="312"/>
    </row>
    <row r="3160" spans="10:10" x14ac:dyDescent="0.2">
      <c r="J3160" s="312"/>
    </row>
    <row r="3161" spans="10:10" x14ac:dyDescent="0.2">
      <c r="J3161" s="312"/>
    </row>
    <row r="3162" spans="10:10" x14ac:dyDescent="0.2">
      <c r="J3162" s="312"/>
    </row>
    <row r="3163" spans="10:10" x14ac:dyDescent="0.2">
      <c r="J3163" s="312"/>
    </row>
    <row r="3164" spans="10:10" x14ac:dyDescent="0.2">
      <c r="J3164" s="312"/>
    </row>
    <row r="3165" spans="10:10" x14ac:dyDescent="0.2">
      <c r="J3165" s="312"/>
    </row>
    <row r="3166" spans="10:10" x14ac:dyDescent="0.2">
      <c r="J3166" s="312"/>
    </row>
    <row r="3167" spans="10:10" x14ac:dyDescent="0.2">
      <c r="J3167" s="312"/>
    </row>
    <row r="3168" spans="10:10" x14ac:dyDescent="0.2">
      <c r="J3168" s="312"/>
    </row>
    <row r="3169" spans="10:10" x14ac:dyDescent="0.2">
      <c r="J3169" s="312"/>
    </row>
    <row r="3170" spans="10:10" x14ac:dyDescent="0.2">
      <c r="J3170" s="312"/>
    </row>
    <row r="3171" spans="10:10" x14ac:dyDescent="0.2">
      <c r="J3171" s="312"/>
    </row>
    <row r="3172" spans="10:10" x14ac:dyDescent="0.2">
      <c r="J3172" s="312"/>
    </row>
    <row r="3173" spans="10:10" x14ac:dyDescent="0.2">
      <c r="J3173" s="312"/>
    </row>
    <row r="3174" spans="10:10" x14ac:dyDescent="0.2">
      <c r="J3174" s="312"/>
    </row>
    <row r="3175" spans="10:10" x14ac:dyDescent="0.2">
      <c r="J3175" s="312"/>
    </row>
    <row r="3176" spans="10:10" x14ac:dyDescent="0.2">
      <c r="J3176" s="312"/>
    </row>
    <row r="3177" spans="10:10" x14ac:dyDescent="0.2">
      <c r="J3177" s="312"/>
    </row>
    <row r="3178" spans="10:10" x14ac:dyDescent="0.2">
      <c r="J3178" s="312"/>
    </row>
    <row r="3179" spans="10:10" x14ac:dyDescent="0.2">
      <c r="J3179" s="312"/>
    </row>
    <row r="3180" spans="10:10" x14ac:dyDescent="0.2">
      <c r="J3180" s="312"/>
    </row>
    <row r="3181" spans="10:10" x14ac:dyDescent="0.2">
      <c r="J3181" s="312"/>
    </row>
    <row r="3182" spans="10:10" x14ac:dyDescent="0.2">
      <c r="J3182" s="312"/>
    </row>
    <row r="3183" spans="10:10" x14ac:dyDescent="0.2">
      <c r="J3183" s="312"/>
    </row>
    <row r="3184" spans="10:10" x14ac:dyDescent="0.2">
      <c r="J3184" s="312"/>
    </row>
    <row r="3185" spans="10:10" x14ac:dyDescent="0.2">
      <c r="J3185" s="312"/>
    </row>
    <row r="3186" spans="10:10" x14ac:dyDescent="0.2">
      <c r="J3186" s="312"/>
    </row>
    <row r="3187" spans="10:10" x14ac:dyDescent="0.2">
      <c r="J3187" s="312"/>
    </row>
    <row r="3188" spans="10:10" x14ac:dyDescent="0.2">
      <c r="J3188" s="312"/>
    </row>
    <row r="3189" spans="10:10" x14ac:dyDescent="0.2">
      <c r="J3189" s="312"/>
    </row>
    <row r="3190" spans="10:10" x14ac:dyDescent="0.2">
      <c r="J3190" s="312"/>
    </row>
    <row r="3191" spans="10:10" x14ac:dyDescent="0.2">
      <c r="J3191" s="312"/>
    </row>
    <row r="3192" spans="10:10" x14ac:dyDescent="0.2">
      <c r="J3192" s="312"/>
    </row>
    <row r="3193" spans="10:10" x14ac:dyDescent="0.2">
      <c r="J3193" s="312"/>
    </row>
    <row r="3194" spans="10:10" x14ac:dyDescent="0.2">
      <c r="J3194" s="312"/>
    </row>
    <row r="3195" spans="10:10" x14ac:dyDescent="0.2">
      <c r="J3195" s="312"/>
    </row>
    <row r="3196" spans="10:10" x14ac:dyDescent="0.2">
      <c r="J3196" s="312"/>
    </row>
    <row r="3197" spans="10:10" x14ac:dyDescent="0.2">
      <c r="J3197" s="312"/>
    </row>
    <row r="3198" spans="10:10" x14ac:dyDescent="0.2">
      <c r="J3198" s="312"/>
    </row>
    <row r="3199" spans="10:10" x14ac:dyDescent="0.2">
      <c r="J3199" s="312"/>
    </row>
    <row r="3200" spans="10:10" x14ac:dyDescent="0.2">
      <c r="J3200" s="312"/>
    </row>
    <row r="3201" spans="10:10" x14ac:dyDescent="0.2">
      <c r="J3201" s="312"/>
    </row>
    <row r="3202" spans="10:10" x14ac:dyDescent="0.2">
      <c r="J3202" s="312"/>
    </row>
    <row r="3203" spans="10:10" x14ac:dyDescent="0.2">
      <c r="J3203" s="312"/>
    </row>
    <row r="3204" spans="10:10" x14ac:dyDescent="0.2">
      <c r="J3204" s="312"/>
    </row>
    <row r="3205" spans="10:10" x14ac:dyDescent="0.2">
      <c r="J3205" s="312"/>
    </row>
    <row r="3206" spans="10:10" x14ac:dyDescent="0.2">
      <c r="J3206" s="312"/>
    </row>
    <row r="3207" spans="10:10" x14ac:dyDescent="0.2">
      <c r="J3207" s="312"/>
    </row>
    <row r="3208" spans="10:10" x14ac:dyDescent="0.2">
      <c r="J3208" s="312"/>
    </row>
    <row r="3209" spans="10:10" x14ac:dyDescent="0.2">
      <c r="J3209" s="312"/>
    </row>
    <row r="3210" spans="10:10" x14ac:dyDescent="0.2">
      <c r="J3210" s="312"/>
    </row>
    <row r="3211" spans="10:10" x14ac:dyDescent="0.2">
      <c r="J3211" s="312"/>
    </row>
    <row r="3212" spans="10:10" x14ac:dyDescent="0.2">
      <c r="J3212" s="312"/>
    </row>
    <row r="3213" spans="10:10" x14ac:dyDescent="0.2">
      <c r="J3213" s="312"/>
    </row>
    <row r="3214" spans="10:10" x14ac:dyDescent="0.2">
      <c r="J3214" s="312"/>
    </row>
    <row r="3215" spans="10:10" x14ac:dyDescent="0.2">
      <c r="J3215" s="312"/>
    </row>
    <row r="3216" spans="10:10" x14ac:dyDescent="0.2">
      <c r="J3216" s="312"/>
    </row>
    <row r="3217" spans="10:10" x14ac:dyDescent="0.2">
      <c r="J3217" s="312"/>
    </row>
    <row r="3218" spans="10:10" x14ac:dyDescent="0.2">
      <c r="J3218" s="312"/>
    </row>
    <row r="3219" spans="10:10" x14ac:dyDescent="0.2">
      <c r="J3219" s="312"/>
    </row>
    <row r="3220" spans="10:10" x14ac:dyDescent="0.2">
      <c r="J3220" s="312"/>
    </row>
    <row r="3221" spans="10:10" x14ac:dyDescent="0.2">
      <c r="J3221" s="312"/>
    </row>
    <row r="3222" spans="10:10" x14ac:dyDescent="0.2">
      <c r="J3222" s="312"/>
    </row>
    <row r="3223" spans="10:10" x14ac:dyDescent="0.2">
      <c r="J3223" s="312"/>
    </row>
    <row r="3224" spans="10:10" x14ac:dyDescent="0.2">
      <c r="J3224" s="312"/>
    </row>
    <row r="3225" spans="10:10" x14ac:dyDescent="0.2">
      <c r="J3225" s="312"/>
    </row>
    <row r="3226" spans="10:10" x14ac:dyDescent="0.2">
      <c r="J3226" s="312"/>
    </row>
    <row r="3227" spans="10:10" x14ac:dyDescent="0.2">
      <c r="J3227" s="312"/>
    </row>
    <row r="3228" spans="10:10" x14ac:dyDescent="0.2">
      <c r="J3228" s="312"/>
    </row>
    <row r="3229" spans="10:10" x14ac:dyDescent="0.2">
      <c r="J3229" s="312"/>
    </row>
    <row r="3230" spans="10:10" x14ac:dyDescent="0.2">
      <c r="J3230" s="312"/>
    </row>
    <row r="3231" spans="10:10" x14ac:dyDescent="0.2">
      <c r="J3231" s="312"/>
    </row>
    <row r="3232" spans="10:10" x14ac:dyDescent="0.2">
      <c r="J3232" s="312"/>
    </row>
    <row r="3233" spans="10:10" x14ac:dyDescent="0.2">
      <c r="J3233" s="312"/>
    </row>
    <row r="3234" spans="10:10" x14ac:dyDescent="0.2">
      <c r="J3234" s="312"/>
    </row>
    <row r="3235" spans="10:10" x14ac:dyDescent="0.2">
      <c r="J3235" s="312"/>
    </row>
    <row r="3236" spans="10:10" x14ac:dyDescent="0.2">
      <c r="J3236" s="312"/>
    </row>
    <row r="3237" spans="10:10" x14ac:dyDescent="0.2">
      <c r="J3237" s="312"/>
    </row>
    <row r="3238" spans="10:10" x14ac:dyDescent="0.2">
      <c r="J3238" s="312"/>
    </row>
    <row r="3239" spans="10:10" x14ac:dyDescent="0.2">
      <c r="J3239" s="312"/>
    </row>
    <row r="3240" spans="10:10" x14ac:dyDescent="0.2">
      <c r="J3240" s="312"/>
    </row>
    <row r="3241" spans="10:10" x14ac:dyDescent="0.2">
      <c r="J3241" s="312"/>
    </row>
    <row r="3242" spans="10:10" x14ac:dyDescent="0.2">
      <c r="J3242" s="312"/>
    </row>
    <row r="3243" spans="10:10" x14ac:dyDescent="0.2">
      <c r="J3243" s="312"/>
    </row>
    <row r="3244" spans="10:10" x14ac:dyDescent="0.2">
      <c r="J3244" s="312"/>
    </row>
    <row r="3245" spans="10:10" x14ac:dyDescent="0.2">
      <c r="J3245" s="312"/>
    </row>
    <row r="3246" spans="10:10" x14ac:dyDescent="0.2">
      <c r="J3246" s="312"/>
    </row>
    <row r="3247" spans="10:10" x14ac:dyDescent="0.2">
      <c r="J3247" s="312"/>
    </row>
    <row r="3248" spans="10:10" x14ac:dyDescent="0.2">
      <c r="J3248" s="312"/>
    </row>
    <row r="3249" spans="10:10" x14ac:dyDescent="0.2">
      <c r="J3249" s="312"/>
    </row>
    <row r="3250" spans="10:10" x14ac:dyDescent="0.2">
      <c r="J3250" s="312"/>
    </row>
    <row r="3251" spans="10:10" x14ac:dyDescent="0.2">
      <c r="J3251" s="312"/>
    </row>
    <row r="3252" spans="10:10" x14ac:dyDescent="0.2">
      <c r="J3252" s="312"/>
    </row>
    <row r="3253" spans="10:10" x14ac:dyDescent="0.2">
      <c r="J3253" s="312"/>
    </row>
    <row r="3254" spans="10:10" x14ac:dyDescent="0.2">
      <c r="J3254" s="312"/>
    </row>
    <row r="3255" spans="10:10" x14ac:dyDescent="0.2">
      <c r="J3255" s="312"/>
    </row>
    <row r="3256" spans="10:10" x14ac:dyDescent="0.2">
      <c r="J3256" s="312"/>
    </row>
    <row r="3257" spans="10:10" x14ac:dyDescent="0.2">
      <c r="J3257" s="312"/>
    </row>
    <row r="3258" spans="10:10" x14ac:dyDescent="0.2">
      <c r="J3258" s="312"/>
    </row>
    <row r="3259" spans="10:10" x14ac:dyDescent="0.2">
      <c r="J3259" s="312"/>
    </row>
    <row r="3260" spans="10:10" x14ac:dyDescent="0.2">
      <c r="J3260" s="312"/>
    </row>
    <row r="3261" spans="10:10" x14ac:dyDescent="0.2">
      <c r="J3261" s="312"/>
    </row>
    <row r="3262" spans="10:10" x14ac:dyDescent="0.2">
      <c r="J3262" s="312"/>
    </row>
    <row r="3263" spans="10:10" x14ac:dyDescent="0.2">
      <c r="J3263" s="312"/>
    </row>
    <row r="3264" spans="10:10" x14ac:dyDescent="0.2">
      <c r="J3264" s="312"/>
    </row>
    <row r="3265" spans="10:10" x14ac:dyDescent="0.2">
      <c r="J3265" s="312"/>
    </row>
    <row r="3266" spans="10:10" x14ac:dyDescent="0.2">
      <c r="J3266" s="312"/>
    </row>
    <row r="3267" spans="10:10" x14ac:dyDescent="0.2">
      <c r="J3267" s="312"/>
    </row>
    <row r="3268" spans="10:10" x14ac:dyDescent="0.2">
      <c r="J3268" s="312"/>
    </row>
    <row r="3269" spans="10:10" x14ac:dyDescent="0.2">
      <c r="J3269" s="312"/>
    </row>
    <row r="3270" spans="10:10" x14ac:dyDescent="0.2">
      <c r="J3270" s="312"/>
    </row>
    <row r="3271" spans="10:10" x14ac:dyDescent="0.2">
      <c r="J3271" s="312"/>
    </row>
    <row r="3272" spans="10:10" x14ac:dyDescent="0.2">
      <c r="J3272" s="312"/>
    </row>
    <row r="3273" spans="10:10" x14ac:dyDescent="0.2">
      <c r="J3273" s="312"/>
    </row>
    <row r="3274" spans="10:10" x14ac:dyDescent="0.2">
      <c r="J3274" s="312"/>
    </row>
    <row r="3275" spans="10:10" x14ac:dyDescent="0.2">
      <c r="J3275" s="312"/>
    </row>
    <row r="3276" spans="10:10" x14ac:dyDescent="0.2">
      <c r="J3276" s="312"/>
    </row>
    <row r="3277" spans="10:10" x14ac:dyDescent="0.2">
      <c r="J3277" s="312"/>
    </row>
    <row r="3278" spans="10:10" x14ac:dyDescent="0.2">
      <c r="J3278" s="312"/>
    </row>
    <row r="3279" spans="10:10" x14ac:dyDescent="0.2">
      <c r="J3279" s="312"/>
    </row>
    <row r="3280" spans="10:10" x14ac:dyDescent="0.2">
      <c r="J3280" s="312"/>
    </row>
    <row r="3281" spans="10:10" x14ac:dyDescent="0.2">
      <c r="J3281" s="312"/>
    </row>
    <row r="3282" spans="10:10" x14ac:dyDescent="0.2">
      <c r="J3282" s="312"/>
    </row>
    <row r="3283" spans="10:10" x14ac:dyDescent="0.2">
      <c r="J3283" s="312"/>
    </row>
    <row r="3284" spans="10:10" x14ac:dyDescent="0.2">
      <c r="J3284" s="312"/>
    </row>
    <row r="3285" spans="10:10" x14ac:dyDescent="0.2">
      <c r="J3285" s="312"/>
    </row>
    <row r="3286" spans="10:10" x14ac:dyDescent="0.2">
      <c r="J3286" s="312"/>
    </row>
    <row r="3287" spans="10:10" x14ac:dyDescent="0.2">
      <c r="J3287" s="312"/>
    </row>
    <row r="3288" spans="10:10" x14ac:dyDescent="0.2">
      <c r="J3288" s="312"/>
    </row>
    <row r="3289" spans="10:10" x14ac:dyDescent="0.2">
      <c r="J3289" s="312"/>
    </row>
    <row r="3290" spans="10:10" x14ac:dyDescent="0.2">
      <c r="J3290" s="312"/>
    </row>
    <row r="3291" spans="10:10" x14ac:dyDescent="0.2">
      <c r="J3291" s="312"/>
    </row>
    <row r="3292" spans="10:10" x14ac:dyDescent="0.2">
      <c r="J3292" s="312"/>
    </row>
    <row r="3293" spans="10:10" x14ac:dyDescent="0.2">
      <c r="J3293" s="312"/>
    </row>
    <row r="3294" spans="10:10" x14ac:dyDescent="0.2">
      <c r="J3294" s="312"/>
    </row>
    <row r="3295" spans="10:10" x14ac:dyDescent="0.2">
      <c r="J3295" s="312"/>
    </row>
    <row r="3296" spans="10:10" x14ac:dyDescent="0.2">
      <c r="J3296" s="312"/>
    </row>
    <row r="3297" spans="10:10" x14ac:dyDescent="0.2">
      <c r="J3297" s="312"/>
    </row>
    <row r="3298" spans="10:10" x14ac:dyDescent="0.2">
      <c r="J3298" s="312"/>
    </row>
    <row r="3299" spans="10:10" x14ac:dyDescent="0.2">
      <c r="J3299" s="312"/>
    </row>
    <row r="3300" spans="10:10" x14ac:dyDescent="0.2">
      <c r="J3300" s="312"/>
    </row>
    <row r="3301" spans="10:10" x14ac:dyDescent="0.2">
      <c r="J3301" s="312"/>
    </row>
    <row r="3302" spans="10:10" x14ac:dyDescent="0.2">
      <c r="J3302" s="312"/>
    </row>
    <row r="3303" spans="10:10" x14ac:dyDescent="0.2">
      <c r="J3303" s="312"/>
    </row>
    <row r="3304" spans="10:10" x14ac:dyDescent="0.2">
      <c r="J3304" s="312"/>
    </row>
    <row r="3305" spans="10:10" x14ac:dyDescent="0.2">
      <c r="J3305" s="312"/>
    </row>
    <row r="3306" spans="10:10" x14ac:dyDescent="0.2">
      <c r="J3306" s="312"/>
    </row>
    <row r="3307" spans="10:10" x14ac:dyDescent="0.2">
      <c r="J3307" s="312"/>
    </row>
    <row r="3308" spans="10:10" x14ac:dyDescent="0.2">
      <c r="J3308" s="312"/>
    </row>
    <row r="3309" spans="10:10" x14ac:dyDescent="0.2">
      <c r="J3309" s="312"/>
    </row>
    <row r="3310" spans="10:10" x14ac:dyDescent="0.2">
      <c r="J3310" s="312"/>
    </row>
    <row r="3311" spans="10:10" x14ac:dyDescent="0.2">
      <c r="J3311" s="312"/>
    </row>
    <row r="3312" spans="10:10" x14ac:dyDescent="0.2">
      <c r="J3312" s="312"/>
    </row>
    <row r="3313" spans="10:10" x14ac:dyDescent="0.2">
      <c r="J3313" s="312"/>
    </row>
    <row r="3314" spans="10:10" x14ac:dyDescent="0.2">
      <c r="J3314" s="312"/>
    </row>
    <row r="3315" spans="10:10" x14ac:dyDescent="0.2">
      <c r="J3315" s="312"/>
    </row>
    <row r="3316" spans="10:10" x14ac:dyDescent="0.2">
      <c r="J3316" s="312"/>
    </row>
    <row r="3317" spans="10:10" x14ac:dyDescent="0.2">
      <c r="J3317" s="312"/>
    </row>
    <row r="3318" spans="10:10" x14ac:dyDescent="0.2">
      <c r="J3318" s="312"/>
    </row>
    <row r="3319" spans="10:10" x14ac:dyDescent="0.2">
      <c r="J3319" s="312"/>
    </row>
    <row r="3320" spans="10:10" x14ac:dyDescent="0.2">
      <c r="J3320" s="312"/>
    </row>
    <row r="3321" spans="10:10" x14ac:dyDescent="0.2">
      <c r="J3321" s="312"/>
    </row>
    <row r="3322" spans="10:10" x14ac:dyDescent="0.2">
      <c r="J3322" s="312"/>
    </row>
    <row r="3323" spans="10:10" x14ac:dyDescent="0.2">
      <c r="J3323" s="312"/>
    </row>
    <row r="3324" spans="10:10" x14ac:dyDescent="0.2">
      <c r="J3324" s="312"/>
    </row>
    <row r="3325" spans="10:10" x14ac:dyDescent="0.2">
      <c r="J3325" s="312"/>
    </row>
    <row r="3326" spans="10:10" x14ac:dyDescent="0.2">
      <c r="J3326" s="312"/>
    </row>
    <row r="3327" spans="10:10" x14ac:dyDescent="0.2">
      <c r="J3327" s="312"/>
    </row>
    <row r="3328" spans="10:10" x14ac:dyDescent="0.2">
      <c r="J3328" s="312"/>
    </row>
    <row r="3329" spans="10:10" x14ac:dyDescent="0.2">
      <c r="J3329" s="312"/>
    </row>
    <row r="3330" spans="10:10" x14ac:dyDescent="0.2">
      <c r="J3330" s="312"/>
    </row>
    <row r="3331" spans="10:10" x14ac:dyDescent="0.2">
      <c r="J3331" s="312"/>
    </row>
    <row r="3332" spans="10:10" x14ac:dyDescent="0.2">
      <c r="J3332" s="312"/>
    </row>
    <row r="3333" spans="10:10" x14ac:dyDescent="0.2">
      <c r="J3333" s="312"/>
    </row>
    <row r="3334" spans="10:10" x14ac:dyDescent="0.2">
      <c r="J3334" s="312"/>
    </row>
    <row r="3335" spans="10:10" x14ac:dyDescent="0.2">
      <c r="J3335" s="312"/>
    </row>
    <row r="3336" spans="10:10" x14ac:dyDescent="0.2">
      <c r="J3336" s="312"/>
    </row>
    <row r="3337" spans="10:10" x14ac:dyDescent="0.2">
      <c r="J3337" s="312"/>
    </row>
    <row r="3338" spans="10:10" x14ac:dyDescent="0.2">
      <c r="J3338" s="312"/>
    </row>
    <row r="3339" spans="10:10" x14ac:dyDescent="0.2">
      <c r="J3339" s="312"/>
    </row>
    <row r="3340" spans="10:10" x14ac:dyDescent="0.2">
      <c r="J3340" s="312"/>
    </row>
    <row r="3341" spans="10:10" x14ac:dyDescent="0.2">
      <c r="J3341" s="312"/>
    </row>
    <row r="3342" spans="10:10" x14ac:dyDescent="0.2">
      <c r="J3342" s="312"/>
    </row>
    <row r="3343" spans="10:10" x14ac:dyDescent="0.2">
      <c r="J3343" s="312"/>
    </row>
    <row r="3344" spans="10:10" x14ac:dyDescent="0.2">
      <c r="J3344" s="312"/>
    </row>
    <row r="3345" spans="10:10" x14ac:dyDescent="0.2">
      <c r="J3345" s="312"/>
    </row>
    <row r="3346" spans="10:10" x14ac:dyDescent="0.2">
      <c r="J3346" s="312"/>
    </row>
    <row r="3347" spans="10:10" x14ac:dyDescent="0.2">
      <c r="J3347" s="312"/>
    </row>
    <row r="3348" spans="10:10" x14ac:dyDescent="0.2">
      <c r="J3348" s="312"/>
    </row>
    <row r="3349" spans="10:10" x14ac:dyDescent="0.2">
      <c r="J3349" s="312"/>
    </row>
    <row r="3350" spans="10:10" x14ac:dyDescent="0.2">
      <c r="J3350" s="312"/>
    </row>
    <row r="3351" spans="10:10" x14ac:dyDescent="0.2">
      <c r="J3351" s="312"/>
    </row>
    <row r="3352" spans="10:10" x14ac:dyDescent="0.2">
      <c r="J3352" s="312"/>
    </row>
    <row r="3353" spans="10:10" x14ac:dyDescent="0.2">
      <c r="J3353" s="312"/>
    </row>
    <row r="3354" spans="10:10" x14ac:dyDescent="0.2">
      <c r="J3354" s="312"/>
    </row>
    <row r="3355" spans="10:10" x14ac:dyDescent="0.2">
      <c r="J3355" s="312"/>
    </row>
    <row r="3356" spans="10:10" x14ac:dyDescent="0.2">
      <c r="J3356" s="312"/>
    </row>
    <row r="3357" spans="10:10" x14ac:dyDescent="0.2">
      <c r="J3357" s="312"/>
    </row>
    <row r="3358" spans="10:10" x14ac:dyDescent="0.2">
      <c r="J3358" s="312"/>
    </row>
    <row r="3359" spans="10:10" x14ac:dyDescent="0.2">
      <c r="J3359" s="312"/>
    </row>
    <row r="3360" spans="10:10" x14ac:dyDescent="0.2">
      <c r="J3360" s="312"/>
    </row>
    <row r="3361" spans="10:10" x14ac:dyDescent="0.2">
      <c r="J3361" s="312"/>
    </row>
    <row r="3362" spans="10:10" x14ac:dyDescent="0.2">
      <c r="J3362" s="312"/>
    </row>
    <row r="3363" spans="10:10" x14ac:dyDescent="0.2">
      <c r="J3363" s="312"/>
    </row>
    <row r="3364" spans="10:10" x14ac:dyDescent="0.2">
      <c r="J3364" s="312"/>
    </row>
    <row r="3365" spans="10:10" x14ac:dyDescent="0.2">
      <c r="J3365" s="312"/>
    </row>
    <row r="3366" spans="10:10" x14ac:dyDescent="0.2">
      <c r="J3366" s="312"/>
    </row>
    <row r="3367" spans="10:10" x14ac:dyDescent="0.2">
      <c r="J3367" s="312"/>
    </row>
    <row r="3368" spans="10:10" x14ac:dyDescent="0.2">
      <c r="J3368" s="312"/>
    </row>
    <row r="3369" spans="10:10" x14ac:dyDescent="0.2">
      <c r="J3369" s="312"/>
    </row>
    <row r="3370" spans="10:10" x14ac:dyDescent="0.2">
      <c r="J3370" s="312"/>
    </row>
    <row r="3371" spans="10:10" x14ac:dyDescent="0.2">
      <c r="J3371" s="312"/>
    </row>
    <row r="3372" spans="10:10" x14ac:dyDescent="0.2">
      <c r="J3372" s="312"/>
    </row>
    <row r="3373" spans="10:10" x14ac:dyDescent="0.2">
      <c r="J3373" s="312"/>
    </row>
    <row r="3374" spans="10:10" x14ac:dyDescent="0.2">
      <c r="J3374" s="312"/>
    </row>
    <row r="3375" spans="10:10" x14ac:dyDescent="0.2">
      <c r="J3375" s="312"/>
    </row>
    <row r="3376" spans="10:10" x14ac:dyDescent="0.2">
      <c r="J3376" s="312"/>
    </row>
    <row r="3377" spans="10:10" x14ac:dyDescent="0.2">
      <c r="J3377" s="312"/>
    </row>
    <row r="3378" spans="10:10" x14ac:dyDescent="0.2">
      <c r="J3378" s="312"/>
    </row>
    <row r="3379" spans="10:10" x14ac:dyDescent="0.2">
      <c r="J3379" s="312"/>
    </row>
    <row r="3380" spans="10:10" x14ac:dyDescent="0.2">
      <c r="J3380" s="312"/>
    </row>
    <row r="3381" spans="10:10" x14ac:dyDescent="0.2">
      <c r="J3381" s="312"/>
    </row>
    <row r="3382" spans="10:10" x14ac:dyDescent="0.2">
      <c r="J3382" s="312"/>
    </row>
    <row r="3383" spans="10:10" x14ac:dyDescent="0.2">
      <c r="J3383" s="312"/>
    </row>
    <row r="3384" spans="10:10" x14ac:dyDescent="0.2">
      <c r="J3384" s="312"/>
    </row>
    <row r="3385" spans="10:10" x14ac:dyDescent="0.2">
      <c r="J3385" s="312"/>
    </row>
    <row r="3386" spans="10:10" x14ac:dyDescent="0.2">
      <c r="J3386" s="312"/>
    </row>
    <row r="3387" spans="10:10" x14ac:dyDescent="0.2">
      <c r="J3387" s="312"/>
    </row>
    <row r="3388" spans="10:10" x14ac:dyDescent="0.2">
      <c r="J3388" s="312"/>
    </row>
    <row r="3389" spans="10:10" x14ac:dyDescent="0.2">
      <c r="J3389" s="312"/>
    </row>
    <row r="3390" spans="10:10" x14ac:dyDescent="0.2">
      <c r="J3390" s="312"/>
    </row>
    <row r="3391" spans="10:10" x14ac:dyDescent="0.2">
      <c r="J3391" s="312"/>
    </row>
    <row r="3392" spans="10:10" x14ac:dyDescent="0.2">
      <c r="J3392" s="312"/>
    </row>
    <row r="3393" spans="10:10" x14ac:dyDescent="0.2">
      <c r="J3393" s="312"/>
    </row>
    <row r="3394" spans="10:10" x14ac:dyDescent="0.2">
      <c r="J3394" s="312"/>
    </row>
    <row r="3395" spans="10:10" x14ac:dyDescent="0.2">
      <c r="J3395" s="312"/>
    </row>
    <row r="3396" spans="10:10" x14ac:dyDescent="0.2">
      <c r="J3396" s="312"/>
    </row>
    <row r="3397" spans="10:10" x14ac:dyDescent="0.2">
      <c r="J3397" s="312"/>
    </row>
    <row r="3398" spans="10:10" x14ac:dyDescent="0.2">
      <c r="J3398" s="312"/>
    </row>
    <row r="3399" spans="10:10" x14ac:dyDescent="0.2">
      <c r="J3399" s="312"/>
    </row>
    <row r="3400" spans="10:10" x14ac:dyDescent="0.2">
      <c r="J3400" s="312"/>
    </row>
    <row r="3401" spans="10:10" x14ac:dyDescent="0.2">
      <c r="J3401" s="312"/>
    </row>
    <row r="3402" spans="10:10" x14ac:dyDescent="0.2">
      <c r="J3402" s="312"/>
    </row>
    <row r="3403" spans="10:10" x14ac:dyDescent="0.2">
      <c r="J3403" s="312"/>
    </row>
    <row r="3404" spans="10:10" x14ac:dyDescent="0.2">
      <c r="J3404" s="312"/>
    </row>
    <row r="3405" spans="10:10" x14ac:dyDescent="0.2">
      <c r="J3405" s="312"/>
    </row>
    <row r="3406" spans="10:10" x14ac:dyDescent="0.2">
      <c r="J3406" s="312"/>
    </row>
    <row r="3407" spans="10:10" x14ac:dyDescent="0.2">
      <c r="J3407" s="312"/>
    </row>
    <row r="3408" spans="10:10" x14ac:dyDescent="0.2">
      <c r="J3408" s="312"/>
    </row>
    <row r="3409" spans="10:10" x14ac:dyDescent="0.2">
      <c r="J3409" s="312"/>
    </row>
    <row r="3410" spans="10:10" x14ac:dyDescent="0.2">
      <c r="J3410" s="312"/>
    </row>
    <row r="3411" spans="10:10" x14ac:dyDescent="0.2">
      <c r="J3411" s="312"/>
    </row>
    <row r="3412" spans="10:10" x14ac:dyDescent="0.2">
      <c r="J3412" s="312"/>
    </row>
    <row r="3413" spans="10:10" x14ac:dyDescent="0.2">
      <c r="J3413" s="312"/>
    </row>
    <row r="3414" spans="10:10" x14ac:dyDescent="0.2">
      <c r="J3414" s="312"/>
    </row>
    <row r="3415" spans="10:10" x14ac:dyDescent="0.2">
      <c r="J3415" s="312"/>
    </row>
    <row r="3416" spans="10:10" x14ac:dyDescent="0.2">
      <c r="J3416" s="312"/>
    </row>
    <row r="3417" spans="10:10" x14ac:dyDescent="0.2">
      <c r="J3417" s="312"/>
    </row>
    <row r="3418" spans="10:10" x14ac:dyDescent="0.2">
      <c r="J3418" s="312"/>
    </row>
    <row r="3419" spans="10:10" x14ac:dyDescent="0.2">
      <c r="J3419" s="312"/>
    </row>
    <row r="3420" spans="10:10" x14ac:dyDescent="0.2">
      <c r="J3420" s="312"/>
    </row>
    <row r="3421" spans="10:10" x14ac:dyDescent="0.2">
      <c r="J3421" s="312"/>
    </row>
    <row r="3422" spans="10:10" x14ac:dyDescent="0.2">
      <c r="J3422" s="312"/>
    </row>
    <row r="3423" spans="10:10" x14ac:dyDescent="0.2">
      <c r="J3423" s="312"/>
    </row>
    <row r="3424" spans="10:10" x14ac:dyDescent="0.2">
      <c r="J3424" s="312"/>
    </row>
    <row r="3425" spans="10:10" x14ac:dyDescent="0.2">
      <c r="J3425" s="312"/>
    </row>
    <row r="3426" spans="10:10" x14ac:dyDescent="0.2">
      <c r="J3426" s="312"/>
    </row>
    <row r="3427" spans="10:10" x14ac:dyDescent="0.2">
      <c r="J3427" s="312"/>
    </row>
    <row r="3428" spans="10:10" x14ac:dyDescent="0.2">
      <c r="J3428" s="312"/>
    </row>
    <row r="3429" spans="10:10" x14ac:dyDescent="0.2">
      <c r="J3429" s="312"/>
    </row>
    <row r="3430" spans="10:10" x14ac:dyDescent="0.2">
      <c r="J3430" s="312"/>
    </row>
    <row r="3431" spans="10:10" x14ac:dyDescent="0.2">
      <c r="J3431" s="312"/>
    </row>
    <row r="3432" spans="10:10" x14ac:dyDescent="0.2">
      <c r="J3432" s="312"/>
    </row>
    <row r="3433" spans="10:10" x14ac:dyDescent="0.2">
      <c r="J3433" s="312"/>
    </row>
    <row r="3434" spans="10:10" x14ac:dyDescent="0.2">
      <c r="J3434" s="312"/>
    </row>
    <row r="3435" spans="10:10" x14ac:dyDescent="0.2">
      <c r="J3435" s="312"/>
    </row>
    <row r="3436" spans="10:10" x14ac:dyDescent="0.2">
      <c r="J3436" s="312"/>
    </row>
    <row r="3437" spans="10:10" x14ac:dyDescent="0.2">
      <c r="J3437" s="312"/>
    </row>
    <row r="3438" spans="10:10" x14ac:dyDescent="0.2">
      <c r="J3438" s="312"/>
    </row>
    <row r="3439" spans="10:10" x14ac:dyDescent="0.2">
      <c r="J3439" s="312"/>
    </row>
    <row r="3440" spans="10:10" x14ac:dyDescent="0.2">
      <c r="J3440" s="312"/>
    </row>
    <row r="3441" spans="10:10" x14ac:dyDescent="0.2">
      <c r="J3441" s="312"/>
    </row>
    <row r="3442" spans="10:10" x14ac:dyDescent="0.2">
      <c r="J3442" s="312"/>
    </row>
    <row r="3443" spans="10:10" x14ac:dyDescent="0.2">
      <c r="J3443" s="312"/>
    </row>
    <row r="3444" spans="10:10" x14ac:dyDescent="0.2">
      <c r="J3444" s="312"/>
    </row>
    <row r="3445" spans="10:10" x14ac:dyDescent="0.2">
      <c r="J3445" s="312"/>
    </row>
    <row r="3446" spans="10:10" x14ac:dyDescent="0.2">
      <c r="J3446" s="312"/>
    </row>
    <row r="3447" spans="10:10" x14ac:dyDescent="0.2">
      <c r="J3447" s="312"/>
    </row>
    <row r="3448" spans="10:10" x14ac:dyDescent="0.2">
      <c r="J3448" s="312"/>
    </row>
    <row r="3449" spans="10:10" x14ac:dyDescent="0.2">
      <c r="J3449" s="312"/>
    </row>
    <row r="3450" spans="10:10" x14ac:dyDescent="0.2">
      <c r="J3450" s="312"/>
    </row>
    <row r="3451" spans="10:10" x14ac:dyDescent="0.2">
      <c r="J3451" s="312"/>
    </row>
    <row r="3452" spans="10:10" x14ac:dyDescent="0.2">
      <c r="J3452" s="312"/>
    </row>
    <row r="3453" spans="10:10" x14ac:dyDescent="0.2">
      <c r="J3453" s="312"/>
    </row>
    <row r="3454" spans="10:10" x14ac:dyDescent="0.2">
      <c r="J3454" s="312"/>
    </row>
    <row r="3455" spans="10:10" x14ac:dyDescent="0.2">
      <c r="J3455" s="312"/>
    </row>
    <row r="3456" spans="10:10" x14ac:dyDescent="0.2">
      <c r="J3456" s="312"/>
    </row>
    <row r="3457" spans="10:10" x14ac:dyDescent="0.2">
      <c r="J3457" s="312"/>
    </row>
    <row r="3458" spans="10:10" x14ac:dyDescent="0.2">
      <c r="J3458" s="312"/>
    </row>
    <row r="3459" spans="10:10" x14ac:dyDescent="0.2">
      <c r="J3459" s="312"/>
    </row>
    <row r="3460" spans="10:10" x14ac:dyDescent="0.2">
      <c r="J3460" s="312"/>
    </row>
    <row r="3461" spans="10:10" x14ac:dyDescent="0.2">
      <c r="J3461" s="312"/>
    </row>
    <row r="3462" spans="10:10" x14ac:dyDescent="0.2">
      <c r="J3462" s="312"/>
    </row>
    <row r="3463" spans="10:10" x14ac:dyDescent="0.2">
      <c r="J3463" s="312"/>
    </row>
    <row r="3464" spans="10:10" x14ac:dyDescent="0.2">
      <c r="J3464" s="312"/>
    </row>
    <row r="3465" spans="10:10" x14ac:dyDescent="0.2">
      <c r="J3465" s="312"/>
    </row>
    <row r="3466" spans="10:10" x14ac:dyDescent="0.2">
      <c r="J3466" s="312"/>
    </row>
    <row r="3467" spans="10:10" x14ac:dyDescent="0.2">
      <c r="J3467" s="312"/>
    </row>
    <row r="3468" spans="10:10" x14ac:dyDescent="0.2">
      <c r="J3468" s="312"/>
    </row>
    <row r="3469" spans="10:10" x14ac:dyDescent="0.2">
      <c r="J3469" s="312"/>
    </row>
    <row r="3470" spans="10:10" x14ac:dyDescent="0.2">
      <c r="J3470" s="312"/>
    </row>
    <row r="3471" spans="10:10" x14ac:dyDescent="0.2">
      <c r="J3471" s="312"/>
    </row>
    <row r="3472" spans="10:10" x14ac:dyDescent="0.2">
      <c r="J3472" s="312"/>
    </row>
    <row r="3473" spans="10:10" x14ac:dyDescent="0.2">
      <c r="J3473" s="312"/>
    </row>
    <row r="3474" spans="10:10" x14ac:dyDescent="0.2">
      <c r="J3474" s="312"/>
    </row>
    <row r="3475" spans="10:10" x14ac:dyDescent="0.2">
      <c r="J3475" s="312"/>
    </row>
    <row r="3476" spans="10:10" x14ac:dyDescent="0.2">
      <c r="J3476" s="312"/>
    </row>
    <row r="3477" spans="10:10" x14ac:dyDescent="0.2">
      <c r="J3477" s="312"/>
    </row>
    <row r="3478" spans="10:10" x14ac:dyDescent="0.2">
      <c r="J3478" s="312"/>
    </row>
    <row r="3479" spans="10:10" x14ac:dyDescent="0.2">
      <c r="J3479" s="312"/>
    </row>
    <row r="3480" spans="10:10" x14ac:dyDescent="0.2">
      <c r="J3480" s="312"/>
    </row>
  </sheetData>
  <mergeCells count="6">
    <mergeCell ref="M9:O10"/>
    <mergeCell ref="C2:E2"/>
    <mergeCell ref="J2:J3"/>
    <mergeCell ref="C3:E3"/>
    <mergeCell ref="M5:O6"/>
    <mergeCell ref="M7:O8"/>
  </mergeCells>
  <hyperlinks>
    <hyperlink ref="M1" location="'Main'!A1" display="Main" xr:uid="{00000000-0004-0000-1000-000000000000}"/>
  </hyperlinks>
  <pageMargins left="0.75" right="0.75" top="1" bottom="1" header="0.5" footer="0.5"/>
  <pageSetup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4449" r:id="rId4" name="Button 1">
              <controlPr defaultSize="0" print="0" autoFill="0" autoPict="0" macro="[0]!ExportFile">
                <anchor moveWithCells="1" sizeWithCells="1">
                  <from>
                    <xdr:col>6</xdr:col>
                    <xdr:colOff>57150</xdr:colOff>
                    <xdr:row>1</xdr:row>
                    <xdr:rowOff>38100</xdr:rowOff>
                  </from>
                  <to>
                    <xdr:col>6</xdr:col>
                    <xdr:colOff>628650</xdr:colOff>
                    <xdr:row>2</xdr:row>
                    <xdr:rowOff>247650</xdr:rowOff>
                  </to>
                </anchor>
              </controlPr>
            </control>
          </mc:Choice>
        </mc:AlternateContent>
        <mc:AlternateContent xmlns:mc="http://schemas.openxmlformats.org/markup-compatibility/2006">
          <mc:Choice Requires="x14">
            <control shapeId="104450" r:id="rId5" name="Button 2">
              <controlPr defaultSize="0" print="0" autoFill="0" autoPict="0" macro="[0]!GenerateOtherProperties">
                <anchor moveWithCells="1" sizeWithCells="1">
                  <from>
                    <xdr:col>5</xdr:col>
                    <xdr:colOff>76200</xdr:colOff>
                    <xdr:row>1</xdr:row>
                    <xdr:rowOff>28575</xdr:rowOff>
                  </from>
                  <to>
                    <xdr:col>5</xdr:col>
                    <xdr:colOff>723900</xdr:colOff>
                    <xdr:row>2</xdr:row>
                    <xdr:rowOff>247650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
  <dimension ref="B3:F23"/>
  <sheetViews>
    <sheetView workbookViewId="0">
      <selection activeCell="C6" sqref="C6"/>
    </sheetView>
  </sheetViews>
  <sheetFormatPr defaultRowHeight="12.75" x14ac:dyDescent="0.2"/>
  <cols>
    <col min="2" max="2" width="19" bestFit="1" customWidth="1"/>
    <col min="3" max="3" width="15.28515625" bestFit="1" customWidth="1"/>
    <col min="4" max="4" width="13.7109375" bestFit="1" customWidth="1"/>
    <col min="5" max="5" width="12.7109375" bestFit="1" customWidth="1"/>
    <col min="6" max="6" width="11.5703125" bestFit="1" customWidth="1"/>
  </cols>
  <sheetData>
    <row r="3" spans="2:6" x14ac:dyDescent="0.2">
      <c r="B3" s="96"/>
      <c r="C3" s="96"/>
      <c r="D3" s="96"/>
      <c r="E3" s="96"/>
    </row>
    <row r="4" spans="2:6" x14ac:dyDescent="0.2">
      <c r="B4" s="1"/>
      <c r="C4" s="1"/>
      <c r="D4" s="1"/>
      <c r="E4" s="1"/>
    </row>
    <row r="5" spans="2:6" x14ac:dyDescent="0.2">
      <c r="B5" s="14" t="s">
        <v>288</v>
      </c>
      <c r="C5" s="14" t="s">
        <v>292</v>
      </c>
      <c r="D5" s="14" t="s">
        <v>293</v>
      </c>
      <c r="E5" s="14" t="s">
        <v>316</v>
      </c>
      <c r="F5" s="14" t="s">
        <v>601</v>
      </c>
    </row>
    <row r="6" spans="2:6" x14ac:dyDescent="0.2">
      <c r="B6" s="3" t="s">
        <v>108</v>
      </c>
      <c r="C6" s="3" t="s">
        <v>716</v>
      </c>
      <c r="D6" s="1" t="s">
        <v>719</v>
      </c>
      <c r="E6" s="1" t="s">
        <v>716</v>
      </c>
      <c r="F6" t="s">
        <v>718</v>
      </c>
    </row>
    <row r="7" spans="2:6" x14ac:dyDescent="0.2">
      <c r="B7" s="3" t="s">
        <v>285</v>
      </c>
      <c r="C7" s="3" t="s">
        <v>718</v>
      </c>
      <c r="D7" s="1" t="s">
        <v>803</v>
      </c>
      <c r="E7" s="1" t="s">
        <v>718</v>
      </c>
      <c r="F7" t="s">
        <v>803</v>
      </c>
    </row>
    <row r="8" spans="2:6" x14ac:dyDescent="0.2">
      <c r="B8" s="3" t="s">
        <v>109</v>
      </c>
      <c r="C8" s="3" t="s">
        <v>719</v>
      </c>
      <c r="D8" s="1"/>
      <c r="E8" s="1" t="s">
        <v>805</v>
      </c>
      <c r="F8" t="s">
        <v>804</v>
      </c>
    </row>
    <row r="9" spans="2:6" x14ac:dyDescent="0.2">
      <c r="B9" s="3" t="s">
        <v>286</v>
      </c>
      <c r="C9" s="3" t="s">
        <v>803</v>
      </c>
      <c r="D9" s="1"/>
      <c r="E9" s="1" t="s">
        <v>806</v>
      </c>
      <c r="F9" t="s">
        <v>805</v>
      </c>
    </row>
    <row r="10" spans="2:6" x14ac:dyDescent="0.2">
      <c r="B10" s="3" t="s">
        <v>287</v>
      </c>
      <c r="C10" s="3" t="s">
        <v>805</v>
      </c>
      <c r="D10" s="1"/>
      <c r="E10" s="1" t="s">
        <v>807</v>
      </c>
      <c r="F10" t="s">
        <v>806</v>
      </c>
    </row>
    <row r="11" spans="2:6" x14ac:dyDescent="0.2">
      <c r="B11" s="1"/>
      <c r="C11" s="3" t="s">
        <v>806</v>
      </c>
      <c r="D11" s="1"/>
      <c r="E11" s="1" t="s">
        <v>808</v>
      </c>
      <c r="F11" t="s">
        <v>807</v>
      </c>
    </row>
    <row r="12" spans="2:6" x14ac:dyDescent="0.2">
      <c r="B12" s="1"/>
      <c r="C12" s="3" t="s">
        <v>807</v>
      </c>
      <c r="D12" s="1"/>
      <c r="E12" s="1" t="s">
        <v>809</v>
      </c>
      <c r="F12" t="s">
        <v>808</v>
      </c>
    </row>
    <row r="13" spans="2:6" x14ac:dyDescent="0.2">
      <c r="B13" s="1"/>
      <c r="C13" s="3" t="s">
        <v>808</v>
      </c>
      <c r="D13" s="1"/>
      <c r="E13" s="1" t="s">
        <v>810</v>
      </c>
      <c r="F13" t="s">
        <v>809</v>
      </c>
    </row>
    <row r="14" spans="2:6" x14ac:dyDescent="0.2">
      <c r="B14" s="1"/>
      <c r="C14" s="3" t="s">
        <v>809</v>
      </c>
      <c r="D14" s="1"/>
      <c r="E14" s="1" t="s">
        <v>811</v>
      </c>
      <c r="F14" t="s">
        <v>810</v>
      </c>
    </row>
    <row r="15" spans="2:6" x14ac:dyDescent="0.2">
      <c r="B15" s="1"/>
      <c r="C15" s="3" t="s">
        <v>810</v>
      </c>
      <c r="D15" s="1"/>
      <c r="E15" s="1" t="s">
        <v>717</v>
      </c>
      <c r="F15" t="s">
        <v>811</v>
      </c>
    </row>
    <row r="16" spans="2:6" x14ac:dyDescent="0.2">
      <c r="B16" s="1"/>
      <c r="C16" s="3" t="s">
        <v>811</v>
      </c>
      <c r="D16" s="1"/>
      <c r="E16" s="1" t="s">
        <v>720</v>
      </c>
      <c r="F16" t="s">
        <v>717</v>
      </c>
    </row>
    <row r="17" spans="3:6" x14ac:dyDescent="0.2">
      <c r="C17" t="s">
        <v>717</v>
      </c>
      <c r="E17" t="s">
        <v>812</v>
      </c>
      <c r="F17" t="s">
        <v>720</v>
      </c>
    </row>
    <row r="18" spans="3:6" x14ac:dyDescent="0.2">
      <c r="C18" t="s">
        <v>720</v>
      </c>
      <c r="E18" t="s">
        <v>813</v>
      </c>
      <c r="F18" t="s">
        <v>812</v>
      </c>
    </row>
    <row r="19" spans="3:6" x14ac:dyDescent="0.2">
      <c r="C19" t="s">
        <v>812</v>
      </c>
      <c r="E19" t="s">
        <v>814</v>
      </c>
      <c r="F19" t="s">
        <v>813</v>
      </c>
    </row>
    <row r="20" spans="3:6" x14ac:dyDescent="0.2">
      <c r="C20" t="s">
        <v>813</v>
      </c>
      <c r="E20" t="s">
        <v>815</v>
      </c>
      <c r="F20" t="s">
        <v>814</v>
      </c>
    </row>
    <row r="21" spans="3:6" x14ac:dyDescent="0.2">
      <c r="C21" t="s">
        <v>814</v>
      </c>
      <c r="E21" t="s">
        <v>816</v>
      </c>
      <c r="F21" t="s">
        <v>815</v>
      </c>
    </row>
    <row r="22" spans="3:6" x14ac:dyDescent="0.2">
      <c r="C22" t="s">
        <v>815</v>
      </c>
      <c r="F22" t="s">
        <v>816</v>
      </c>
    </row>
    <row r="23" spans="3:6" x14ac:dyDescent="0.2">
      <c r="C23" t="s">
        <v>816</v>
      </c>
    </row>
  </sheetData>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166</vt:i4>
      </vt:variant>
    </vt:vector>
  </HeadingPairs>
  <TitlesOfParts>
    <vt:vector size="184" baseType="lpstr">
      <vt:lpstr>Sensitivity</vt:lpstr>
      <vt:lpstr>README</vt:lpstr>
      <vt:lpstr>Tracking</vt:lpstr>
      <vt:lpstr>Parameters</vt:lpstr>
      <vt:lpstr>Layout</vt:lpstr>
      <vt:lpstr>Plants</vt:lpstr>
      <vt:lpstr>USLECalcs</vt:lpstr>
      <vt:lpstr>Land</vt:lpstr>
      <vt:lpstr>Soil</vt:lpstr>
      <vt:lpstr>Watersheds</vt:lpstr>
      <vt:lpstr>Lakes</vt:lpstr>
      <vt:lpstr>Fish</vt:lpstr>
      <vt:lpstr>1 Sources</vt:lpstr>
      <vt:lpstr>2 Volume</vt:lpstr>
      <vt:lpstr>3 Cmpts</vt:lpstr>
      <vt:lpstr>4 Props</vt:lpstr>
      <vt:lpstr>5 OtherProps</vt:lpstr>
      <vt:lpstr>Info</vt:lpstr>
      <vt:lpstr>__VBA__first_air_parcel_choice</vt:lpstr>
      <vt:lpstr>__VBA__first_component_plant_compartment</vt:lpstr>
      <vt:lpstr>__VBA__first_composite_plant_compartment</vt:lpstr>
      <vt:lpstr>__VBA__first_coordinate_x</vt:lpstr>
      <vt:lpstr>__VBA__first_coordinate_y</vt:lpstr>
      <vt:lpstr>__VBA__first_diet_property</vt:lpstr>
      <vt:lpstr>__VBA__first_emission_chemical</vt:lpstr>
      <vt:lpstr>__VBA__first_erosion_parcel</vt:lpstr>
      <vt:lpstr>__VBA__first_erosion_rate</vt:lpstr>
      <vt:lpstr>__VBA__first_fish_biomass</vt:lpstr>
      <vt:lpstr>__VBA__first_fish_BW</vt:lpstr>
      <vt:lpstr>__VBA__first_fish_lake</vt:lpstr>
      <vt:lpstr>__VBA__first_fish_location</vt:lpstr>
      <vt:lpstr>__VBA__first_fish_name</vt:lpstr>
      <vt:lpstr>__VBA__first_foodchain_lake</vt:lpstr>
      <vt:lpstr>__VBA__first_GW_depth</vt:lpstr>
      <vt:lpstr>__VBA__first_gw_fraction_sand</vt:lpstr>
      <vt:lpstr>__VBA__first_gw_organic_carbon</vt:lpstr>
      <vt:lpstr>__VBA__first_gw_pH</vt:lpstr>
      <vt:lpstr>__VBA__first_gw_porosity</vt:lpstr>
      <vt:lpstr>__VBA__first_gw_rho</vt:lpstr>
      <vt:lpstr>__VBA__first_lake_algae_density</vt:lpstr>
      <vt:lpstr>__VBA__first_lake_annual_discharge</vt:lpstr>
      <vt:lpstr>__VBA__first_lake_carbon_content</vt:lpstr>
      <vt:lpstr>__VBA__first_lake_chloride_conc</vt:lpstr>
      <vt:lpstr>__VBA__first_lake_chlorophyll_conc</vt:lpstr>
      <vt:lpstr>__VBA__first_lake_depth</vt:lpstr>
      <vt:lpstr>__VBA__first_lake_flush_rate</vt:lpstr>
      <vt:lpstr>__VBA__first_lake_name</vt:lpstr>
      <vt:lpstr>__VBA__first_lake_pH</vt:lpstr>
      <vt:lpstr>__VBA__first_lake_sediment_depth</vt:lpstr>
      <vt:lpstr>__VBA__first_lake_suspended_sed</vt:lpstr>
      <vt:lpstr>__VBA__first_lake_temperature_K</vt:lpstr>
      <vt:lpstr>__VBA__first_land_parcel_choice</vt:lpstr>
      <vt:lpstr>__VBA__first_land_parcel_name</vt:lpstr>
      <vt:lpstr>__VBA__first_land_use</vt:lpstr>
      <vt:lpstr>__VBA__first_parameter_prop_form</vt:lpstr>
      <vt:lpstr>__VBA__first_parameter_prop_name</vt:lpstr>
      <vt:lpstr>__VBA__first_parameter_prop_scope</vt:lpstr>
      <vt:lpstr>__VBA__first_parameter_prop_source</vt:lpstr>
      <vt:lpstr>__VBA__first_parameter_prop_value</vt:lpstr>
      <vt:lpstr>__VBA__first_parcel_area_m2</vt:lpstr>
      <vt:lpstr>__VBA__first_parcel_category</vt:lpstr>
      <vt:lpstr>__VBA__first_parcel_category_choice</vt:lpstr>
      <vt:lpstr>__VBA__first_parcel_land_use</vt:lpstr>
      <vt:lpstr>__VBA__first_parcel_name</vt:lpstr>
      <vt:lpstr>__VBA__first_parcel_point_count</vt:lpstr>
      <vt:lpstr>__VBA__first_parcel_points</vt:lpstr>
      <vt:lpstr>__VBA__first_plant_compartment</vt:lpstr>
      <vt:lpstr>__VBA__first_point_name</vt:lpstr>
      <vt:lpstr>__VBA__first_rootsoil_air_content</vt:lpstr>
      <vt:lpstr>__VBA__first_rootsoil_depth</vt:lpstr>
      <vt:lpstr>__VBA__first_rootsoil_fraction_sand</vt:lpstr>
      <vt:lpstr>__VBA__first_rootsoil_organic_carbon</vt:lpstr>
      <vt:lpstr>__VBA__first_rootsoil_pH</vt:lpstr>
      <vt:lpstr>__VBA__first_rootsoil_rho</vt:lpstr>
      <vt:lpstr>__VBA__first_rootsoil_vertical_velocity</vt:lpstr>
      <vt:lpstr>__VBA__first_rootsoil_water_content</vt:lpstr>
      <vt:lpstr>__VBA__first_SD_ratio</vt:lpstr>
      <vt:lpstr>__VBA__first_sed_carbon_content</vt:lpstr>
      <vt:lpstr>__VBA__first_sed_pH</vt:lpstr>
      <vt:lpstr>__VBA__first_sed_resuspension_velocity</vt:lpstr>
      <vt:lpstr>__VBA__first_sed_rho</vt:lpstr>
      <vt:lpstr>__VBA__first_soil_parcel_area</vt:lpstr>
      <vt:lpstr>__VBA__first_source_elevation</vt:lpstr>
      <vt:lpstr>__VBA__first_source_location</vt:lpstr>
      <vt:lpstr>__VBA__first_source_name</vt:lpstr>
      <vt:lpstr>__VBA__first_source_x</vt:lpstr>
      <vt:lpstr>__VBA__first_source_y</vt:lpstr>
      <vt:lpstr>__VBA__first_stack_chemical_emission_rate</vt:lpstr>
      <vt:lpstr>__VBA__first_surface_parcel_choice</vt:lpstr>
      <vt:lpstr>__VBA__first_surfsoil_air_content</vt:lpstr>
      <vt:lpstr>__VBA__first_surfsoil_area_for_diffusion</vt:lpstr>
      <vt:lpstr>__VBA__first_surfsoil_area_for_erosion</vt:lpstr>
      <vt:lpstr>__VBA__first_surfsoil_area_for_runoff</vt:lpstr>
      <vt:lpstr>__VBA__first_surfsoil_boundary_thickness</vt:lpstr>
      <vt:lpstr>__VBA__first_surfsoil_depth</vt:lpstr>
      <vt:lpstr>__VBA__first_surfsoil_erosion_rate</vt:lpstr>
      <vt:lpstr>__VBA__first_surfsoil_fraction_sand</vt:lpstr>
      <vt:lpstr>__VBA__first_surfsoil_organic_carbon</vt:lpstr>
      <vt:lpstr>__VBA__first_surfsoil_pH</vt:lpstr>
      <vt:lpstr>__VBA__first_surfsoil_rho</vt:lpstr>
      <vt:lpstr>__VBA__first_surfsoil_runoff_rate</vt:lpstr>
      <vt:lpstr>__VBA__first_surfsoil_vertical_velocity</vt:lpstr>
      <vt:lpstr>__VBA__first_surfsoil_water_content</vt:lpstr>
      <vt:lpstr>__VBA__first_unit_soil_loss</vt:lpstr>
      <vt:lpstr>__VBA__first_vadosesoil_air_content</vt:lpstr>
      <vt:lpstr>__VBA__first_vadosesoil_depth</vt:lpstr>
      <vt:lpstr>__VBA__first_vadosesoil_fraction_sand</vt:lpstr>
      <vt:lpstr>__VBA__first_vadosesoil_organic_carbon</vt:lpstr>
      <vt:lpstr>__VBA__first_vadosesoil_pH</vt:lpstr>
      <vt:lpstr>__VBA__first_vadosesoil_rho</vt:lpstr>
      <vt:lpstr>__VBA__first_vadosesoil_vertical_velocity</vt:lpstr>
      <vt:lpstr>__VBA__first_water_parcel_choice</vt:lpstr>
      <vt:lpstr>__VBA__first_water_volume_element</vt:lpstr>
      <vt:lpstr>__VBA__first_watershed_area</vt:lpstr>
      <vt:lpstr>__VBA__first_watershed_erosion_area</vt:lpstr>
      <vt:lpstr>__VBA__first_watershed_erosion_rate</vt:lpstr>
      <vt:lpstr>__VBA__first_watershed_fraction</vt:lpstr>
      <vt:lpstr>__VBA__first_watershed_parcel_area</vt:lpstr>
      <vt:lpstr>__VBA__first_watershed_receiving_parcel</vt:lpstr>
      <vt:lpstr>__VBA__first_watershed_receiving_sink</vt:lpstr>
      <vt:lpstr>__VBA__first_watershed_sending_parcel</vt:lpstr>
      <vt:lpstr>__VBA__top_left_cmpts</vt:lpstr>
      <vt:lpstr>__VBA__top_left_otherprops</vt:lpstr>
      <vt:lpstr>__VBA__top_left_props</vt:lpstr>
      <vt:lpstr>__VBA__top_left_sources</vt:lpstr>
      <vt:lpstr>__VBA__top_left_volume</vt:lpstr>
      <vt:lpstr>__VBA__top_output_cmpts</vt:lpstr>
      <vt:lpstr>__VBA__top_output_otherprops</vt:lpstr>
      <vt:lpstr>__VBA__top_output_props</vt:lpstr>
      <vt:lpstr>__VBA__top_output_sources</vt:lpstr>
      <vt:lpstr>__VBA__top_output_volume</vt:lpstr>
      <vt:lpstr>__VBA__top_right_cmpts</vt:lpstr>
      <vt:lpstr>__VBA__top_right_otherprops</vt:lpstr>
      <vt:lpstr>__VBA__top_right_props</vt:lpstr>
      <vt:lpstr>__VBA__top_right_sources</vt:lpstr>
      <vt:lpstr>__VBA__top_right_volume</vt:lpstr>
      <vt:lpstr>__VBA__watershed_runoff_header</vt:lpstr>
      <vt:lpstr>__VBA__watershed_sink_header</vt:lpstr>
      <vt:lpstr>acre_per_m2</vt:lpstr>
      <vt:lpstr>air_height</vt:lpstr>
      <vt:lpstr>air_temp</vt:lpstr>
      <vt:lpstr>average_US_erosion_rate</vt:lpstr>
      <vt:lpstr>coordinate_system</vt:lpstr>
      <vt:lpstr>cumulative_rain</vt:lpstr>
      <vt:lpstr>enrichment_ratio_inorganics</vt:lpstr>
      <vt:lpstr>enrichment_ratio_organics</vt:lpstr>
      <vt:lpstr>ft2_per_acre</vt:lpstr>
      <vt:lpstr>ft2_per_m2</vt:lpstr>
      <vt:lpstr>GW_thickness</vt:lpstr>
      <vt:lpstr>horiz_wind_speed</vt:lpstr>
      <vt:lpstr>HTML_evaluation_pt</vt:lpstr>
      <vt:lpstr>kg_per_ton</vt:lpstr>
      <vt:lpstr>layout_offset_E</vt:lpstr>
      <vt:lpstr>layout_offset_N</vt:lpstr>
      <vt:lpstr>m2_per_mi2</vt:lpstr>
      <vt:lpstr>metdata_file</vt:lpstr>
      <vt:lpstr>mixing_height</vt:lpstr>
      <vt:lpstr>output_dir</vt:lpstr>
      <vt:lpstr>output_time_step</vt:lpstr>
      <vt:lpstr>precip_fraction_evap</vt:lpstr>
      <vt:lpstr>precip_fraction_runoff</vt:lpstr>
      <vt:lpstr>precip_fraction_seepage</vt:lpstr>
      <vt:lpstr>precipitation_rate</vt:lpstr>
      <vt:lpstr>pretty_scenario_name</vt:lpstr>
      <vt:lpstr>rain</vt:lpstr>
      <vt:lpstr>scenario_description</vt:lpstr>
      <vt:lpstr>scenario_name</vt:lpstr>
      <vt:lpstr>SD_coeff_areas</vt:lpstr>
      <vt:lpstr>SD_coeff_intercepts</vt:lpstr>
      <vt:lpstr>SD_coeff_slopes</vt:lpstr>
      <vt:lpstr>seconds_per_yr</vt:lpstr>
      <vt:lpstr>setupfile_dir</vt:lpstr>
      <vt:lpstr>simulation_end</vt:lpstr>
      <vt:lpstr>simulation_start</vt:lpstr>
      <vt:lpstr>simulation_time_step</vt:lpstr>
      <vt:lpstr>soil_porosity</vt:lpstr>
      <vt:lpstr>tilled_rootsoil_thickness</vt:lpstr>
      <vt:lpstr>tilled_surfsoil_thickness</vt:lpstr>
      <vt:lpstr>untilled_rootsoil_thickness</vt:lpstr>
      <vt:lpstr>untilled_surfsoil_thickness</vt:lpstr>
      <vt:lpstr>vadosesoil_thickness</vt:lpstr>
      <vt:lpstr>vert_wind_speed</vt:lpstr>
      <vt:lpstr>wind</vt:lpstr>
      <vt:lpstr>wind_direction</vt:lpstr>
    </vt:vector>
  </TitlesOfParts>
  <Company>ICF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FaTE Scenario Builder</dc:title>
  <dc:creator>Kumar, Sangeetha</dc:creator>
  <dc:description>Collects parameters required and prepares input files for a TRIM.FaTE scenario.</dc:description>
  <cp:lastModifiedBy>McCoy, Josiah</cp:lastModifiedBy>
  <cp:lastPrinted>2009-04-23T17:33:39Z</cp:lastPrinted>
  <dcterms:created xsi:type="dcterms:W3CDTF">2005-01-03T18:09:28Z</dcterms:created>
  <dcterms:modified xsi:type="dcterms:W3CDTF">2020-01-13T16:02:14Z</dcterms:modified>
</cp:coreProperties>
</file>